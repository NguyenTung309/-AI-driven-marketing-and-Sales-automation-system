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n Issues Log" sheetId="1" state="visible" r:id="rId1"/>
    <sheet xmlns:r="http://schemas.openxmlformats.org/officeDocument/2006/relationships" name="Tổng hợp" sheetId="2" state="visible" r:id="rId2"/>
  </sheets>
  <definedNames>
    <definedName name="_xlnm._FilterDatabase" localSheetId="0" hidden="1">'Open Issues Log'!$A$4:$M$85</definedName>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1F3864"/>
      <sz val="14"/>
    </font>
    <font>
      <name val="Arial"/>
      <i val="1"/>
      <color rgb="00555555"/>
      <sz val="10"/>
    </font>
    <font>
      <name val="Arial"/>
      <b val="1"/>
      <color rgb="00FFFFFF"/>
      <sz val="10"/>
    </font>
    <font>
      <name val="Arial"/>
      <sz val="10"/>
    </font>
    <font>
      <name val="Arial"/>
      <b val="1"/>
      <sz val="10"/>
    </font>
    <font>
      <name val="Arial"/>
      <b val="1"/>
      <color rgb="00C55A11"/>
      <sz val="10"/>
    </font>
    <font>
      <name val="Arial"/>
      <color rgb="00548235"/>
      <sz val="10"/>
    </font>
    <font>
      <name val="Consolas"/>
      <color rgb="007F7F7F"/>
      <sz val="9"/>
    </font>
    <font>
      <name val="Arial"/>
      <b val="1"/>
      <color rgb="00C00000"/>
      <sz val="10"/>
    </font>
    <font>
      <name val="Arial"/>
      <color rgb="00BF8F00"/>
      <sz val="10"/>
    </font>
    <font>
      <name val="Arial"/>
      <b val="1"/>
      <color rgb="001F3864"/>
      <sz val="13"/>
    </font>
    <font>
      <name val="Arial"/>
      <b val="1"/>
      <color rgb="001F3864"/>
      <sz val="11"/>
    </font>
    <font>
      <name val="Arial"/>
      <i val="1"/>
      <color rgb="00777777"/>
      <sz val="9"/>
    </font>
  </fonts>
  <fills count="4">
    <fill>
      <patternFill/>
    </fill>
    <fill>
      <patternFill patternType="gray125"/>
    </fill>
    <fill>
      <patternFill patternType="solid">
        <fgColor rgb="001F4E79"/>
      </patternFill>
    </fill>
    <fill>
      <patternFill patternType="solid">
        <fgColor rgb="00F2F5FB"/>
      </patternFill>
    </fill>
  </fills>
  <borders count="2">
    <border>
      <left/>
      <right/>
      <top/>
      <bottom/>
      <diagonal/>
    </border>
    <border>
      <left style="thin">
        <color rgb="008EA9DB"/>
      </left>
      <right style="thin">
        <color rgb="008EA9DB"/>
      </right>
      <top style="thin">
        <color rgb="008EA9DB"/>
      </top>
      <bottom style="thin">
        <color rgb="008EA9DB"/>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5" fillId="0" borderId="1" applyAlignment="1" pivotButton="0" quotePrefix="0" xfId="0">
      <alignment horizontal="center" vertical="top"/>
    </xf>
    <xf numFmtId="0" fontId="4" fillId="0" borderId="1" applyAlignment="1" pivotButton="0" quotePrefix="0" xfId="0">
      <alignment vertical="top"/>
    </xf>
    <xf numFmtId="0" fontId="4" fillId="0" borderId="1" applyAlignment="1" pivotButton="0" quotePrefix="0" xfId="0">
      <alignment vertical="top" wrapText="1"/>
    </xf>
    <xf numFmtId="0" fontId="7" fillId="0" borderId="1" applyAlignment="1" pivotButton="0" quotePrefix="0" xfId="0">
      <alignment horizontal="center" vertical="top"/>
    </xf>
    <xf numFmtId="0" fontId="6" fillId="0" borderId="1" applyAlignment="1" pivotButton="0" quotePrefix="0" xfId="0">
      <alignment horizontal="center" vertical="top"/>
    </xf>
    <xf numFmtId="0" fontId="8" fillId="0" borderId="1" applyAlignment="1" pivotButton="0" quotePrefix="0" xfId="0">
      <alignment vertical="top"/>
    </xf>
    <xf numFmtId="0" fontId="5" fillId="3" borderId="1" applyAlignment="1" pivotButton="0" quotePrefix="0" xfId="0">
      <alignment horizontal="center" vertical="top"/>
    </xf>
    <xf numFmtId="0" fontId="4" fillId="3" borderId="1" applyAlignment="1" pivotButton="0" quotePrefix="0" xfId="0">
      <alignment vertical="top"/>
    </xf>
    <xf numFmtId="0" fontId="4" fillId="3" borderId="1" applyAlignment="1" pivotButton="0" quotePrefix="0" xfId="0">
      <alignment vertical="top" wrapText="1"/>
    </xf>
    <xf numFmtId="0" fontId="7" fillId="3" borderId="1" applyAlignment="1" pivotButton="0" quotePrefix="0" xfId="0">
      <alignment horizontal="center" vertical="top"/>
    </xf>
    <xf numFmtId="0" fontId="6" fillId="3" borderId="1" applyAlignment="1" pivotButton="0" quotePrefix="0" xfId="0">
      <alignment horizontal="center" vertical="top"/>
    </xf>
    <xf numFmtId="0" fontId="8" fillId="3" borderId="1" applyAlignment="1" pivotButton="0" quotePrefix="0" xfId="0">
      <alignment vertical="top"/>
    </xf>
    <xf numFmtId="0" fontId="9" fillId="3" borderId="1" applyAlignment="1" pivotButton="0" quotePrefix="0" xfId="0">
      <alignment horizontal="center" vertical="top"/>
    </xf>
    <xf numFmtId="0" fontId="10" fillId="0" borderId="1" applyAlignment="1" pivotButton="0" quotePrefix="0" xfId="0">
      <alignment horizontal="center" vertical="top"/>
    </xf>
    <xf numFmtId="0" fontId="9" fillId="0" borderId="1" applyAlignment="1" pivotButton="0" quotePrefix="0" xfId="0">
      <alignment horizontal="center" vertical="top"/>
    </xf>
    <xf numFmtId="0" fontId="10" fillId="3" borderId="1" applyAlignment="1" pivotButton="0" quotePrefix="0" xfId="0">
      <alignment horizontal="center" vertical="top"/>
    </xf>
    <xf numFmtId="0" fontId="11" fillId="0" borderId="0" pivotButton="0" quotePrefix="0" xfId="0"/>
    <xf numFmtId="0" fontId="5" fillId="0" borderId="0" pivotButton="0" quotePrefix="0" xfId="0"/>
    <xf numFmtId="0" fontId="4" fillId="0" borderId="0" applyAlignment="1" pivotButton="0" quotePrefix="0" xfId="0">
      <alignment horizontal="center"/>
    </xf>
    <xf numFmtId="0" fontId="12" fillId="0" borderId="0" pivotButton="0" quotePrefix="0" xfId="0"/>
    <xf numFmtId="0" fontId="4" fillId="0" borderId="0" pivotButton="0" quotePrefix="0" xfId="0"/>
    <xf numFmtId="0" fontId="1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9" customWidth="1" min="1" max="1"/>
    <col width="18" customWidth="1" min="2" max="2"/>
    <col width="62" customWidth="1" min="3" max="3"/>
    <col width="14" customWidth="1" min="4" max="4"/>
    <col width="18" customWidth="1" min="5" max="5"/>
    <col width="16" customWidth="1" min="6" max="6"/>
    <col width="10" customWidth="1" min="7" max="7"/>
    <col width="10" customWidth="1" min="8" max="8"/>
    <col width="12" customWidth="1" min="9" max="9"/>
    <col width="26" customWidth="1" min="10" max="10"/>
    <col width="58" customWidth="1" min="11" max="11"/>
    <col width="13" customWidth="1" min="12" max="12"/>
    <col width="11" customWidth="1" min="13" max="13"/>
  </cols>
  <sheetData>
    <row r="1">
      <c r="A1" s="1" t="inlineStr">
        <is>
          <t>Open Issues Log — Clawbot v4 (AI-driven Marketing &amp; Sales Automation)</t>
        </is>
      </c>
    </row>
    <row r="2">
      <c r="A2" s="2" t="inlineStr">
        <is>
          <t>Nhật ký lỗi trong quá trình code — trích xuất từ git history (272 commit, 2026-05-27 → 2026-08-05)</t>
        </is>
      </c>
    </row>
    <row r="4" ht="32" customHeight="1">
      <c r="A4" s="3" t="inlineStr">
        <is>
          <t>Issue ID</t>
        </is>
      </c>
      <c r="B4" s="3" t="inlineStr">
        <is>
          <t>Thời gian ghi nhận</t>
        </is>
      </c>
      <c r="C4" s="3" t="inlineStr">
        <is>
          <t>Description (mô tả lỗi)</t>
        </is>
      </c>
      <c r="D4" s="3" t="inlineStr">
        <is>
          <t>Type</t>
        </is>
      </c>
      <c r="E4" s="3" t="inlineStr">
        <is>
          <t>Raised by</t>
        </is>
      </c>
      <c r="F4" s="3" t="inlineStr">
        <is>
          <t>Owner (người xử lý)</t>
        </is>
      </c>
      <c r="G4" s="3" t="inlineStr">
        <is>
          <t>Status</t>
        </is>
      </c>
      <c r="H4" s="3" t="inlineStr">
        <is>
          <t>Priority</t>
        </is>
      </c>
      <c r="I4" s="3" t="inlineStr">
        <is>
          <t>Deadline</t>
        </is>
      </c>
      <c r="J4" s="3" t="inlineStr">
        <is>
          <t>Affected Area</t>
        </is>
      </c>
      <c r="K4" s="3" t="inlineStr">
        <is>
          <t>Resolution / Decision</t>
        </is>
      </c>
      <c r="L4" s="3" t="inlineStr">
        <is>
          <t>Resolved Date</t>
        </is>
      </c>
      <c r="M4" s="3" t="inlineStr">
        <is>
          <t>Commit</t>
        </is>
      </c>
    </row>
    <row r="5">
      <c r="A5" s="4" t="inlineStr">
        <is>
          <t>OI-01</t>
        </is>
      </c>
      <c r="B5" s="5" t="inlineStr">
        <is>
          <t>2026-06-02 22:37</t>
        </is>
      </c>
      <c r="C5" s="6" t="inlineStr">
        <is>
          <t>EF Core coi khóa Guid do client gán là khóa tự sinh → ingestor append message báo lỗi khi lưu</t>
        </is>
      </c>
      <c r="D5" s="5" t="inlineStr">
        <is>
          <t>Bug</t>
        </is>
      </c>
      <c r="E5" s="5" t="inlineStr">
        <is>
          <t>Dev / test suite</t>
        </is>
      </c>
      <c r="F5" s="5" t="inlineStr">
        <is>
          <t>NguyenTung309</t>
        </is>
      </c>
      <c r="G5" s="7" t="inlineStr">
        <is>
          <t>Closed</t>
        </is>
      </c>
      <c r="H5" s="8" t="inlineStr">
        <is>
          <t>High</t>
        </is>
      </c>
      <c r="I5" s="5" t="inlineStr"/>
      <c r="J5" s="5" t="inlineStr">
        <is>
          <t>Infrastructure / EF Core</t>
        </is>
      </c>
      <c r="K5" s="6" t="inlineStr">
        <is>
          <t>Cấu hình khóa Guid client-assigned thành ValueGeneratedNever</t>
        </is>
      </c>
      <c r="L5" s="5" t="inlineStr">
        <is>
          <t>2026-06-02</t>
        </is>
      </c>
      <c r="M5" s="9" t="inlineStr">
        <is>
          <t>ea9f142</t>
        </is>
      </c>
    </row>
    <row r="6">
      <c r="A6" s="10" t="inlineStr">
        <is>
          <t>OI-02</t>
        </is>
      </c>
      <c r="B6" s="11" t="inlineStr">
        <is>
          <t>2026-06-04 09:54</t>
        </is>
      </c>
      <c r="C6" s="12" t="inlineStr">
        <is>
          <t>Solution không build được: Clawbot.Gateway bị override TargetFramework net10; thiếu using System.Threading.RateLimiting; PancakeHmacMiddleware gọi GetMetadata&lt;bool&gt;(string) không hợp lệ trên YARP</t>
        </is>
      </c>
      <c r="D6" s="11" t="inlineStr">
        <is>
          <t>Build Error</t>
        </is>
      </c>
      <c r="E6" s="11" t="inlineStr">
        <is>
          <t>Dev</t>
        </is>
      </c>
      <c r="F6" s="11" t="inlineStr">
        <is>
          <t>NguyenTung309</t>
        </is>
      </c>
      <c r="G6" s="13" t="inlineStr">
        <is>
          <t>Closed</t>
        </is>
      </c>
      <c r="H6" s="14" t="inlineStr">
        <is>
          <t>High</t>
        </is>
      </c>
      <c r="I6" s="11" t="inlineStr"/>
      <c r="J6" s="11" t="inlineStr">
        <is>
          <t>Gateway / YARP</t>
        </is>
      </c>
      <c r="K6" s="12" t="inlineStr">
        <is>
          <t>Retarget net8, chuyển sang src/gateway, đọc RequiresHmac qua RouteModel metadata, pin SDK 8.0.418. Build 0/0</t>
        </is>
      </c>
      <c r="L6" s="11" t="inlineStr">
        <is>
          <t>2026-06-04</t>
        </is>
      </c>
      <c r="M6" s="15" t="inlineStr">
        <is>
          <t>afe9738</t>
        </is>
      </c>
    </row>
    <row r="7">
      <c r="A7" s="4" t="inlineStr">
        <is>
          <t>OI-03</t>
        </is>
      </c>
      <c r="B7" s="5" t="inlineStr">
        <is>
          <t>2026-06-06 10:35</t>
        </is>
      </c>
      <c r="C7" s="6" t="inlineStr">
        <is>
          <t>Lỗi luồng đăng nhập (login flow) không chạy đúng</t>
        </is>
      </c>
      <c r="D7" s="5" t="inlineStr">
        <is>
          <t>Bug</t>
        </is>
      </c>
      <c r="E7" s="5" t="inlineStr">
        <is>
          <t>Dev</t>
        </is>
      </c>
      <c r="F7" s="5" t="inlineStr">
        <is>
          <t>Thanglm240723</t>
        </is>
      </c>
      <c r="G7" s="7" t="inlineStr">
        <is>
          <t>Closed</t>
        </is>
      </c>
      <c r="H7" s="8" t="inlineStr">
        <is>
          <t>High</t>
        </is>
      </c>
      <c r="I7" s="5" t="inlineStr"/>
      <c r="J7" s="5" t="inlineStr">
        <is>
          <t>Frontend / Auth</t>
        </is>
      </c>
      <c r="K7" s="6" t="inlineStr">
        <is>
          <t>Sửa lại login và login flow</t>
        </is>
      </c>
      <c r="L7" s="5" t="inlineStr">
        <is>
          <t>2026-06-06</t>
        </is>
      </c>
      <c r="M7" s="9" t="inlineStr">
        <is>
          <t>1c4d7f6</t>
        </is>
      </c>
    </row>
    <row r="8">
      <c r="A8" s="10" t="inlineStr">
        <is>
          <t>OI-04</t>
        </is>
      </c>
      <c r="B8" s="11" t="inlineStr">
        <is>
          <t>2026-06-10 16:21</t>
        </is>
      </c>
      <c r="C8" s="12" t="inlineStr">
        <is>
          <t>RabbitMQ publish thất bại làm SaveChanges báo lỗi dù transaction DB đã commit → caller retry sai, ghi trùng dữ liệu</t>
        </is>
      </c>
      <c r="D8" s="11" t="inlineStr">
        <is>
          <t>Bug</t>
        </is>
      </c>
      <c r="E8" s="11" t="inlineStr">
        <is>
          <t>Code review</t>
        </is>
      </c>
      <c r="F8" s="11" t="inlineStr">
        <is>
          <t>NguyenTung309</t>
        </is>
      </c>
      <c r="G8" s="13" t="inlineStr">
        <is>
          <t>Closed</t>
        </is>
      </c>
      <c r="H8" s="14" t="inlineStr">
        <is>
          <t>High</t>
        </is>
      </c>
      <c r="I8" s="11" t="inlineStr"/>
      <c r="J8" s="11" t="inlineStr">
        <is>
          <t>Messaging / MassTransit</t>
        </is>
      </c>
      <c r="K8" s="12" t="inlineStr">
        <is>
          <t>DomainEventDispatchInterceptor bọc try/catch + log; sự kiện mất tạm thời cho đến khi có outbox</t>
        </is>
      </c>
      <c r="L8" s="11" t="inlineStr">
        <is>
          <t>2026-06-10</t>
        </is>
      </c>
      <c r="M8" s="15" t="inlineStr">
        <is>
          <t>4ee53b2</t>
        </is>
      </c>
    </row>
    <row r="9">
      <c r="A9" s="4" t="inlineStr">
        <is>
          <t>OI-05</t>
        </is>
      </c>
      <c r="B9" s="5" t="inlineStr">
        <is>
          <t>2026-06-13 16:38</t>
        </is>
      </c>
      <c r="C9" s="6" t="inlineStr">
        <is>
          <t>Migration 0013 dùng lệnh GO nhưng runner chạy cả file trong 1 SqlCommand → migration fail</t>
        </is>
      </c>
      <c r="D9" s="5" t="inlineStr">
        <is>
          <t>Build Error</t>
        </is>
      </c>
      <c r="E9" s="5" t="inlineStr">
        <is>
          <t>Code review</t>
        </is>
      </c>
      <c r="F9" s="5" t="inlineStr">
        <is>
          <t>NguyenTung309</t>
        </is>
      </c>
      <c r="G9" s="7" t="inlineStr">
        <is>
          <t>Closed</t>
        </is>
      </c>
      <c r="H9" s="8" t="inlineStr">
        <is>
          <t>High</t>
        </is>
      </c>
      <c r="I9" s="5" t="inlineStr"/>
      <c r="J9" s="5" t="inlineStr">
        <is>
          <t>DB Migrations</t>
        </is>
      </c>
      <c r="K9" s="6" t="inlineStr">
        <is>
          <t>Bỏ GO, tách index trên cột users thêm mới sang file 0014 (batch riêng)</t>
        </is>
      </c>
      <c r="L9" s="5" t="inlineStr">
        <is>
          <t>2026-06-13</t>
        </is>
      </c>
      <c r="M9" s="9" t="inlineStr">
        <is>
          <t>c42da30</t>
        </is>
      </c>
    </row>
    <row r="10">
      <c r="A10" s="10" t="inlineStr">
        <is>
          <t>OI-06</t>
        </is>
      </c>
      <c r="B10" s="11" t="inlineStr">
        <is>
          <t>2026-06-13 16:38</t>
        </is>
      </c>
      <c r="C10" s="12" t="inlineStr">
        <is>
          <t>Lỗ hổng bảo mật IDOR cross-tenant: AdminUsersEndpoints update/enable/disable/reset-password không kiểm tra tenant (AppUser không phải ITenantOwned)</t>
        </is>
      </c>
      <c r="D10" s="11" t="inlineStr">
        <is>
          <t>Security</t>
        </is>
      </c>
      <c r="E10" s="11" t="inlineStr">
        <is>
          <t>Code review</t>
        </is>
      </c>
      <c r="F10" s="11" t="inlineStr">
        <is>
          <t>NguyenTung309</t>
        </is>
      </c>
      <c r="G10" s="13" t="inlineStr">
        <is>
          <t>Closed</t>
        </is>
      </c>
      <c r="H10" s="16" t="inlineStr">
        <is>
          <t>Critical</t>
        </is>
      </c>
      <c r="I10" s="11" t="inlineStr"/>
      <c r="J10" s="11" t="inlineStr">
        <is>
          <t>API / Admin Users</t>
        </is>
      </c>
      <c r="K10" s="12" t="inlineStr">
        <is>
          <t>Thêm tenant guard FindInTenantAsync trên toàn bộ endpoint admin user</t>
        </is>
      </c>
      <c r="L10" s="11" t="inlineStr">
        <is>
          <t>2026-06-13</t>
        </is>
      </c>
      <c r="M10" s="15" t="inlineStr">
        <is>
          <t>c42da30</t>
        </is>
      </c>
    </row>
    <row r="11">
      <c r="A11" s="4" t="inlineStr">
        <is>
          <t>OI-07</t>
        </is>
      </c>
      <c r="B11" s="5" t="inlineStr">
        <is>
          <t>2026-06-13 16:38</t>
        </is>
      </c>
      <c r="C11" s="6" t="inlineStr">
        <is>
          <t>Alert của IdleConversationAlertJob / AnomalyAlertJob không lưu vào notification center; /api/agents và toggle không hoạt động vì thiếu 8 dòng AgentConfig; login vẫn cho phép user đã bị admin vô hiệu hóa</t>
        </is>
      </c>
      <c r="D11" s="5" t="inlineStr">
        <is>
          <t>Bug</t>
        </is>
      </c>
      <c r="E11" s="5" t="inlineStr">
        <is>
          <t>Code review</t>
        </is>
      </c>
      <c r="F11" s="5" t="inlineStr">
        <is>
          <t>NguyenTung309</t>
        </is>
      </c>
      <c r="G11" s="7" t="inlineStr">
        <is>
          <t>Closed</t>
        </is>
      </c>
      <c r="H11" s="17" t="inlineStr">
        <is>
          <t>Medium</t>
        </is>
      </c>
      <c r="I11" s="5" t="inlineStr"/>
      <c r="J11" s="5" t="inlineStr">
        <is>
          <t>Jobs / RBAC / Auth</t>
        </is>
      </c>
      <c r="K11" s="6" t="inlineStr">
        <is>
          <t>Nối INotificationPublisher vào 2 job, RbacSeeder seed 8 AgentConfig/tenant, login kiểm tra AppUser.IsActive</t>
        </is>
      </c>
      <c r="L11" s="5" t="inlineStr">
        <is>
          <t>2026-06-13</t>
        </is>
      </c>
      <c r="M11" s="9" t="inlineStr">
        <is>
          <t>c42da30</t>
        </is>
      </c>
    </row>
    <row r="12">
      <c r="A12" s="10" t="inlineStr">
        <is>
          <t>OI-08</t>
        </is>
      </c>
      <c r="B12" s="11" t="inlineStr">
        <is>
          <t>2026-06-13 20:33</t>
        </is>
      </c>
      <c r="C12" s="12" t="inlineStr">
        <is>
          <t>Lead warm lại lần 2 bị dính UNIQUE(sequence_id, lead_id) → message rơi vào dead-letter queue</t>
        </is>
      </c>
      <c r="D12" s="11" t="inlineStr">
        <is>
          <t>Bug</t>
        </is>
      </c>
      <c r="E12" s="11" t="inlineStr">
        <is>
          <t>Code review</t>
        </is>
      </c>
      <c r="F12" s="11" t="inlineStr">
        <is>
          <t>NguyenTung309</t>
        </is>
      </c>
      <c r="G12" s="13" t="inlineStr">
        <is>
          <t>Closed</t>
        </is>
      </c>
      <c r="H12" s="14" t="inlineStr">
        <is>
          <t>High</t>
        </is>
      </c>
      <c r="I12" s="11" t="inlineStr"/>
      <c r="J12" s="11" t="inlineStr">
        <is>
          <t>Drip / Lead pipeline</t>
        </is>
      </c>
      <c r="K12" s="12" t="inlineStr">
        <is>
          <t>LeadBecameWarmConsumer kiểm tra MỌI enrollment (không chỉ active) trước khi enroll</t>
        </is>
      </c>
      <c r="L12" s="11" t="inlineStr">
        <is>
          <t>2026-06-13</t>
        </is>
      </c>
      <c r="M12" s="15" t="inlineStr">
        <is>
          <t>c01da60</t>
        </is>
      </c>
    </row>
    <row r="13">
      <c r="A13" s="4" t="inlineStr">
        <is>
          <t>OI-09</t>
        </is>
      </c>
      <c r="B13" s="5" t="inlineStr">
        <is>
          <t>2026-06-14 09:21</t>
        </is>
      </c>
      <c r="C13" s="6" t="inlineStr">
        <is>
          <t>Pancake API base URL đang là placeholder pages.fm/api/public_api/v1 → trả về HTML shell của web app thay vì JSON, mọi call đều hỏng</t>
        </is>
      </c>
      <c r="D13" s="5" t="inlineStr">
        <is>
          <t>Config Error</t>
        </is>
      </c>
      <c r="E13" s="5" t="inlineStr">
        <is>
          <t>Live probe / spike</t>
        </is>
      </c>
      <c r="F13" s="5" t="inlineStr">
        <is>
          <t>NguyenTung309</t>
        </is>
      </c>
      <c r="G13" s="7" t="inlineStr">
        <is>
          <t>Closed</t>
        </is>
      </c>
      <c r="H13" s="18" t="inlineStr">
        <is>
          <t>Critical</t>
        </is>
      </c>
      <c r="I13" s="5" t="inlineStr"/>
      <c r="J13" s="5" t="inlineStr">
        <is>
          <t>Channels / Pancake</t>
        </is>
      </c>
      <c r="K13" s="6" t="inlineStr">
        <is>
          <t>Đổi base URL sang pancake.vn/api/v1 trong PancakeConfig, Resolver, appsettings AgentService</t>
        </is>
      </c>
      <c r="L13" s="5" t="inlineStr">
        <is>
          <t>2026-06-14</t>
        </is>
      </c>
      <c r="M13" s="9" t="inlineStr">
        <is>
          <t>3811cc5</t>
        </is>
      </c>
    </row>
    <row r="14">
      <c r="A14" s="10" t="inlineStr">
        <is>
          <t>OI-10</t>
        </is>
      </c>
      <c r="B14" s="11" t="inlineStr">
        <is>
          <t>2026-06-16 01:09</t>
        </is>
      </c>
      <c r="C14" s="12" t="inlineStr">
        <is>
          <t>Vòng lặp auto-spam: hệ thống tự trả lời chính tin của mình, gửi tin liên tục</t>
        </is>
      </c>
      <c r="D14" s="11" t="inlineStr">
        <is>
          <t>Bug</t>
        </is>
      </c>
      <c r="E14" s="11" t="inlineStr">
        <is>
          <t>Dev</t>
        </is>
      </c>
      <c r="F14" s="11" t="inlineStr">
        <is>
          <t>Thanglm240723</t>
        </is>
      </c>
      <c r="G14" s="13" t="inlineStr">
        <is>
          <t>Closed</t>
        </is>
      </c>
      <c r="H14" s="16" t="inlineStr">
        <is>
          <t>Critical</t>
        </is>
      </c>
      <c r="I14" s="11" t="inlineStr"/>
      <c r="J14" s="11" t="inlineStr">
        <is>
          <t>Inbox / Ingestor</t>
        </is>
      </c>
      <c r="K14" s="12" t="inlineStr">
        <is>
          <t>Chặn vòng lặp + thêm IngestAsync pipeline và ITenantResolver</t>
        </is>
      </c>
      <c r="L14" s="11" t="inlineStr">
        <is>
          <t>2026-06-16</t>
        </is>
      </c>
      <c r="M14" s="15" t="inlineStr">
        <is>
          <t>23fc151</t>
        </is>
      </c>
    </row>
    <row r="15">
      <c r="A15" s="4" t="inlineStr">
        <is>
          <t>OI-11</t>
        </is>
      </c>
      <c r="B15" s="5" t="inlineStr">
        <is>
          <t>2026-06-16 14:46</t>
        </is>
      </c>
      <c r="C15" s="6" t="inlineStr">
        <is>
          <t>SplitThread trả về rỗng → pagePart trống, không gửi được tin ra Pancake</t>
        </is>
      </c>
      <c r="D15" s="5" t="inlineStr">
        <is>
          <t>Bug</t>
        </is>
      </c>
      <c r="E15" s="5" t="inlineStr">
        <is>
          <t>Dev</t>
        </is>
      </c>
      <c r="F15" s="5" t="inlineStr">
        <is>
          <t>Thanglm240723</t>
        </is>
      </c>
      <c r="G15" s="7" t="inlineStr">
        <is>
          <t>Closed</t>
        </is>
      </c>
      <c r="H15" s="8" t="inlineStr">
        <is>
          <t>High</t>
        </is>
      </c>
      <c r="I15" s="5" t="inlineStr"/>
      <c r="J15" s="5" t="inlineStr">
        <is>
          <t>Channels / Pancake adapter</t>
        </is>
      </c>
      <c r="K15" s="6" t="inlineStr">
        <is>
          <t>Fallback pagePart về cfg.PageId khi SplitThread rỗng</t>
        </is>
      </c>
      <c r="L15" s="5" t="inlineStr">
        <is>
          <t>2026-06-16</t>
        </is>
      </c>
      <c r="M15" s="9" t="inlineStr">
        <is>
          <t>b8dff03</t>
        </is>
      </c>
    </row>
    <row r="16">
      <c r="A16" s="10" t="inlineStr">
        <is>
          <t>OI-12</t>
        </is>
      </c>
      <c r="B16" s="11" t="inlineStr">
        <is>
          <t>2026-06-16 15:14</t>
        </is>
      </c>
      <c r="C16" s="12" t="inlineStr">
        <is>
          <t>Test không compile: PancakeConfigResolverTests có method mồ côi ngoài class; cảnh báo analyzer CA1001/CA1725</t>
        </is>
      </c>
      <c r="D16" s="11" t="inlineStr">
        <is>
          <t>Build Error</t>
        </is>
      </c>
      <c r="E16" s="11" t="inlineStr">
        <is>
          <t>CI / build</t>
        </is>
      </c>
      <c r="F16" s="11" t="inlineStr">
        <is>
          <t>Thanglm240723</t>
        </is>
      </c>
      <c r="G16" s="13" t="inlineStr">
        <is>
          <t>Closed</t>
        </is>
      </c>
      <c r="H16" s="19" t="inlineStr">
        <is>
          <t>Medium</t>
        </is>
      </c>
      <c r="I16" s="11" t="inlineStr"/>
      <c r="J16" s="11" t="inlineStr">
        <is>
          <t>Tests</t>
        </is>
      </c>
      <c r="K16" s="12" t="inlineStr">
        <is>
          <t>Sửa cú pháp test, thêm PancakeAdapterSendTests cho SendAsync</t>
        </is>
      </c>
      <c r="L16" s="11" t="inlineStr">
        <is>
          <t>2026-06-16</t>
        </is>
      </c>
      <c r="M16" s="15" t="inlineStr">
        <is>
          <t>6d305e4</t>
        </is>
      </c>
    </row>
    <row r="17">
      <c r="A17" s="4" t="inlineStr">
        <is>
          <t>OI-13</t>
        </is>
      </c>
      <c r="B17" s="5" t="inlineStr">
        <is>
          <t>2026-06-16 18:29</t>
        </is>
      </c>
      <c r="C17" s="6" t="inlineStr">
        <is>
          <t>Sai cấu hình (config) khi chạy</t>
        </is>
      </c>
      <c r="D17" s="5" t="inlineStr">
        <is>
          <t>Config Error</t>
        </is>
      </c>
      <c r="E17" s="5" t="inlineStr">
        <is>
          <t>Dev</t>
        </is>
      </c>
      <c r="F17" s="5" t="inlineStr">
        <is>
          <t>Thanglm240723</t>
        </is>
      </c>
      <c r="G17" s="7" t="inlineStr">
        <is>
          <t>Closed</t>
        </is>
      </c>
      <c r="H17" s="17" t="inlineStr">
        <is>
          <t>Medium</t>
        </is>
      </c>
      <c r="I17" s="5" t="inlineStr"/>
      <c r="J17" s="5" t="inlineStr">
        <is>
          <t>Config</t>
        </is>
      </c>
      <c r="K17" s="6" t="inlineStr">
        <is>
          <t>Fix lại config</t>
        </is>
      </c>
      <c r="L17" s="5" t="inlineStr">
        <is>
          <t>2026-06-16</t>
        </is>
      </c>
      <c r="M17" s="9" t="inlineStr">
        <is>
          <t>bf7a28c</t>
        </is>
      </c>
    </row>
    <row r="18">
      <c r="A18" s="10" t="inlineStr">
        <is>
          <t>OI-14</t>
        </is>
      </c>
      <c r="B18" s="11" t="inlineStr">
        <is>
          <t>2026-06-17 10:25</t>
        </is>
      </c>
      <c r="C18" s="12" t="inlineStr">
        <is>
          <t>Merge nhánh login gây hỏng → phải revert toàn bộ</t>
        </is>
      </c>
      <c r="D18" s="11" t="inlineStr">
        <is>
          <t>Regression</t>
        </is>
      </c>
      <c r="E18" s="11" t="inlineStr">
        <is>
          <t>Dev</t>
        </is>
      </c>
      <c r="F18" s="11" t="inlineStr">
        <is>
          <t>thanglm240723</t>
        </is>
      </c>
      <c r="G18" s="13" t="inlineStr">
        <is>
          <t>Closed</t>
        </is>
      </c>
      <c r="H18" s="14" t="inlineStr">
        <is>
          <t>High</t>
        </is>
      </c>
      <c r="I18" s="11" t="inlineStr"/>
      <c r="J18" s="11" t="inlineStr">
        <is>
          <t>Auth</t>
        </is>
      </c>
      <c r="K18" s="12" t="inlineStr">
        <is>
          <t>Revert commit merge login</t>
        </is>
      </c>
      <c r="L18" s="11" t="inlineStr">
        <is>
          <t>2026-06-17</t>
        </is>
      </c>
      <c r="M18" s="15" t="inlineStr">
        <is>
          <t>2c73a31</t>
        </is>
      </c>
    </row>
    <row r="19">
      <c r="A19" s="4" t="inlineStr">
        <is>
          <t>OI-15</t>
        </is>
      </c>
      <c r="B19" s="5" t="inlineStr">
        <is>
          <t>2026-06-17 12:00</t>
        </is>
      </c>
      <c r="C19" s="6" t="inlineStr">
        <is>
          <t>Lỗi đăng nhập do thiếu đăng ký DI (service không resolve được lúc runtime)</t>
        </is>
      </c>
      <c r="D19" s="5" t="inlineStr">
        <is>
          <t>Bug</t>
        </is>
      </c>
      <c r="E19" s="5" t="inlineStr">
        <is>
          <t>Dev</t>
        </is>
      </c>
      <c r="F19" s="5" t="inlineStr">
        <is>
          <t>Thanglm240723</t>
        </is>
      </c>
      <c r="G19" s="7" t="inlineStr">
        <is>
          <t>Closed</t>
        </is>
      </c>
      <c r="H19" s="8" t="inlineStr">
        <is>
          <t>High</t>
        </is>
      </c>
      <c r="I19" s="5" t="inlineStr"/>
      <c r="J19" s="5" t="inlineStr">
        <is>
          <t>API / DI container</t>
        </is>
      </c>
      <c r="K19" s="6" t="inlineStr">
        <is>
          <t>Đăng ký đầy đủ service trong DI</t>
        </is>
      </c>
      <c r="L19" s="5" t="inlineStr">
        <is>
          <t>2026-06-17</t>
        </is>
      </c>
      <c r="M19" s="9" t="inlineStr">
        <is>
          <t>f0519db</t>
        </is>
      </c>
    </row>
    <row r="20">
      <c r="A20" s="10" t="inlineStr">
        <is>
          <t>OI-16</t>
        </is>
      </c>
      <c r="B20" s="11" t="inlineStr">
        <is>
          <t>2026-06-17 16:19</t>
        </is>
      </c>
      <c r="C20" s="12" t="inlineStr">
        <is>
          <t>Không đăng nhập được môi trường dev vì chưa seed tenant + tài khoản admin</t>
        </is>
      </c>
      <c r="D20" s="11" t="inlineStr">
        <is>
          <t>Config Error</t>
        </is>
      </c>
      <c r="E20" s="11" t="inlineStr">
        <is>
          <t>Dev</t>
        </is>
      </c>
      <c r="F20" s="11" t="inlineStr">
        <is>
          <t>NguyenTung309</t>
        </is>
      </c>
      <c r="G20" s="13" t="inlineStr">
        <is>
          <t>Closed</t>
        </is>
      </c>
      <c r="H20" s="14" t="inlineStr">
        <is>
          <t>High</t>
        </is>
      </c>
      <c r="I20" s="11" t="inlineStr"/>
      <c r="J20" s="11" t="inlineStr">
        <is>
          <t>Seed / Auth</t>
        </is>
      </c>
      <c r="K20" s="12" t="inlineStr">
        <is>
          <t>Seed dev tenant và admin login trong quy trình local run</t>
        </is>
      </c>
      <c r="L20" s="11" t="inlineStr">
        <is>
          <t>2026-06-17</t>
        </is>
      </c>
      <c r="M20" s="15" t="inlineStr">
        <is>
          <t>10d07e8</t>
        </is>
      </c>
    </row>
    <row r="21">
      <c r="A21" s="4" t="inlineStr">
        <is>
          <t>OI-17</t>
        </is>
      </c>
      <c r="B21" s="5" t="inlineStr">
        <is>
          <t>2026-06-17 17:55</t>
        </is>
      </c>
      <c r="C21" s="6" t="inlineStr">
        <is>
          <t>Sai config trên nhánh làm việc</t>
        </is>
      </c>
      <c r="D21" s="5" t="inlineStr">
        <is>
          <t>Config Error</t>
        </is>
      </c>
      <c r="E21" s="5" t="inlineStr">
        <is>
          <t>Dev</t>
        </is>
      </c>
      <c r="F21" s="5" t="inlineStr">
        <is>
          <t>Thanglm240723</t>
        </is>
      </c>
      <c r="G21" s="7" t="inlineStr">
        <is>
          <t>Closed</t>
        </is>
      </c>
      <c r="H21" s="7" t="inlineStr">
        <is>
          <t>Low</t>
        </is>
      </c>
      <c r="I21" s="5" t="inlineStr"/>
      <c r="J21" s="5" t="inlineStr">
        <is>
          <t>Config</t>
        </is>
      </c>
      <c r="K21" s="6" t="inlineStr">
        <is>
          <t>Fix config (nhánh thang/fix)</t>
        </is>
      </c>
      <c r="L21" s="5" t="inlineStr">
        <is>
          <t>2026-06-17</t>
        </is>
      </c>
      <c r="M21" s="9" t="inlineStr">
        <is>
          <t>7e96068</t>
        </is>
      </c>
    </row>
    <row r="22">
      <c r="A22" s="10" t="inlineStr">
        <is>
          <t>OI-18</t>
        </is>
      </c>
      <c r="B22" s="11" t="inlineStr">
        <is>
          <t>2026-06-20 00:08</t>
        </is>
      </c>
      <c r="C22" s="12" t="inlineStr">
        <is>
          <t>Policy phân quyền cũ (legacy perm policies) không còn khớp với hệ thống permission mới → chặn nhầm request</t>
        </is>
      </c>
      <c r="D22" s="11" t="inlineStr">
        <is>
          <t>Tech Debt</t>
        </is>
      </c>
      <c r="E22" s="11" t="inlineStr">
        <is>
          <t>Dev</t>
        </is>
      </c>
      <c r="F22" s="11" t="inlineStr">
        <is>
          <t>NguyenTung309</t>
        </is>
      </c>
      <c r="G22" s="13" t="inlineStr">
        <is>
          <t>Closed</t>
        </is>
      </c>
      <c r="H22" s="19" t="inlineStr">
        <is>
          <t>Medium</t>
        </is>
      </c>
      <c r="I22" s="11" t="inlineStr"/>
      <c r="J22" s="11" t="inlineStr">
        <is>
          <t>RBAC / Authorization</t>
        </is>
      </c>
      <c r="K22" s="12" t="inlineStr">
        <is>
          <t>Migrate legacy policies sang permission filters</t>
        </is>
      </c>
      <c r="L22" s="11" t="inlineStr">
        <is>
          <t>2026-06-20</t>
        </is>
      </c>
      <c r="M22" s="15" t="inlineStr">
        <is>
          <t>24dc467</t>
        </is>
      </c>
    </row>
    <row r="23">
      <c r="A23" s="4" t="inlineStr">
        <is>
          <t>OI-19</t>
        </is>
      </c>
      <c r="B23" s="5" t="inlineStr">
        <is>
          <t>2026-06-21 17:00</t>
        </is>
      </c>
      <c r="C23" s="6" t="inlineStr">
        <is>
          <t>Lỗi API config và luồng pull dữ liệu</t>
        </is>
      </c>
      <c r="D23" s="5" t="inlineStr">
        <is>
          <t>Bug</t>
        </is>
      </c>
      <c r="E23" s="5" t="inlineStr">
        <is>
          <t>Dev</t>
        </is>
      </c>
      <c r="F23" s="5" t="inlineStr">
        <is>
          <t>Thanglm240723</t>
        </is>
      </c>
      <c r="G23" s="7" t="inlineStr">
        <is>
          <t>Closed</t>
        </is>
      </c>
      <c r="H23" s="17" t="inlineStr">
        <is>
          <t>Medium</t>
        </is>
      </c>
      <c r="I23" s="5" t="inlineStr"/>
      <c r="J23" s="5" t="inlineStr">
        <is>
          <t>API / Config</t>
        </is>
      </c>
      <c r="K23" s="6" t="inlineStr">
        <is>
          <t>Fix bug api config và pull</t>
        </is>
      </c>
      <c r="L23" s="5" t="inlineStr">
        <is>
          <t>2026-06-21</t>
        </is>
      </c>
      <c r="M23" s="9" t="inlineStr">
        <is>
          <t>1cfdf0b</t>
        </is>
      </c>
    </row>
    <row r="24">
      <c r="A24" s="10" t="inlineStr">
        <is>
          <t>OI-20</t>
        </is>
      </c>
      <c r="B24" s="11" t="inlineStr">
        <is>
          <t>2026-06-23 00:10</t>
        </is>
      </c>
      <c r="C24" s="12" t="inlineStr">
        <is>
          <t>Thiếu ReopenIfNeeded/Snooze trên Conversation; cảnh báo analyzer CA1806 do bỏ qua kết quả TryParse</t>
        </is>
      </c>
      <c r="D24" s="11" t="inlineStr">
        <is>
          <t>Bug</t>
        </is>
      </c>
      <c r="E24" s="11" t="inlineStr">
        <is>
          <t>Code review</t>
        </is>
      </c>
      <c r="F24" s="11" t="inlineStr">
        <is>
          <t>Thanglm240723</t>
        </is>
      </c>
      <c r="G24" s="13" t="inlineStr">
        <is>
          <t>Closed</t>
        </is>
      </c>
      <c r="H24" s="19" t="inlineStr">
        <is>
          <t>Medium</t>
        </is>
      </c>
      <c r="I24" s="11" t="inlineStr"/>
      <c r="J24" s="11" t="inlineStr">
        <is>
          <t>Domain / Conversation</t>
        </is>
      </c>
      <c r="K24" s="12" t="inlineStr">
        <is>
          <t>Thêm 2 method + sửa TryParse CA1806</t>
        </is>
      </c>
      <c r="L24" s="11" t="inlineStr">
        <is>
          <t>2026-06-23</t>
        </is>
      </c>
      <c r="M24" s="15" t="inlineStr">
        <is>
          <t>3e9e58a</t>
        </is>
      </c>
    </row>
    <row r="25">
      <c r="A25" s="4" t="inlineStr">
        <is>
          <t>OI-21</t>
        </is>
      </c>
      <c r="B25" s="5" t="inlineStr">
        <is>
          <t>2026-06-23 00:37</t>
        </is>
      </c>
      <c r="C25" s="6" t="inlineStr">
        <is>
          <t>Admin không phải thành viên inbox vẫn gửi được tin / gắn nhãn / ghi chú (vượt quyền view-only)</t>
        </is>
      </c>
      <c r="D25" s="5" t="inlineStr">
        <is>
          <t>Security</t>
        </is>
      </c>
      <c r="E25" s="5" t="inlineStr">
        <is>
          <t>Code review</t>
        </is>
      </c>
      <c r="F25" s="5" t="inlineStr">
        <is>
          <t>Thanglm240723</t>
        </is>
      </c>
      <c r="G25" s="7" t="inlineStr">
        <is>
          <t>Closed</t>
        </is>
      </c>
      <c r="H25" s="8" t="inlineStr">
        <is>
          <t>High</t>
        </is>
      </c>
      <c r="I25" s="5" t="inlineStr"/>
      <c r="J25" s="5" t="inlineStr">
        <is>
          <t>API / Inbox permission</t>
        </is>
      </c>
      <c r="K25" s="6" t="inlineStr">
        <is>
          <t>Chặn send/label/note cho admin không phải member</t>
        </is>
      </c>
      <c r="L25" s="5" t="inlineStr">
        <is>
          <t>2026-06-23</t>
        </is>
      </c>
      <c r="M25" s="9" t="inlineStr">
        <is>
          <t>7be2c5c</t>
        </is>
      </c>
    </row>
    <row r="26">
      <c r="A26" s="10" t="inlineStr">
        <is>
          <t>OI-22</t>
        </is>
      </c>
      <c r="B26" s="11" t="inlineStr">
        <is>
          <t>2026-06-23 00:40</t>
        </is>
      </c>
      <c r="C26" s="12" t="inlineStr">
        <is>
          <t>AdminInboxEndpoints bị lỗi encoding dấu nháy → file source hỏng</t>
        </is>
      </c>
      <c r="D26" s="11" t="inlineStr">
        <is>
          <t>Build Error</t>
        </is>
      </c>
      <c r="E26" s="11" t="inlineStr">
        <is>
          <t>Dev</t>
        </is>
      </c>
      <c r="F26" s="11" t="inlineStr">
        <is>
          <t>Thanglm240723</t>
        </is>
      </c>
      <c r="G26" s="13" t="inlineStr">
        <is>
          <t>Closed</t>
        </is>
      </c>
      <c r="H26" s="19" t="inlineStr">
        <is>
          <t>Medium</t>
        </is>
      </c>
      <c r="I26" s="11" t="inlineStr"/>
      <c r="J26" s="11" t="inlineStr">
        <is>
          <t>API / AdminInboxEndpoints</t>
        </is>
      </c>
      <c r="K26" s="12" t="inlineStr">
        <is>
          <t>Sửa lại encoding dấu nháy</t>
        </is>
      </c>
      <c r="L26" s="11" t="inlineStr">
        <is>
          <t>2026-06-23</t>
        </is>
      </c>
      <c r="M26" s="15" t="inlineStr">
        <is>
          <t>6750847</t>
        </is>
      </c>
    </row>
    <row r="27">
      <c r="A27" s="4" t="inlineStr">
        <is>
          <t>OI-23</t>
        </is>
      </c>
      <c r="B27" s="5" t="inlineStr">
        <is>
          <t>2026-06-23 00:57</t>
        </is>
      </c>
      <c r="C27" s="6" t="inlineStr">
        <is>
          <t>Audit log khởi tạo sai; Unassign gây NullReference; endpoint notes truyền thiếu tham số</t>
        </is>
      </c>
      <c r="D27" s="5" t="inlineStr">
        <is>
          <t>Bug</t>
        </is>
      </c>
      <c r="E27" s="5" t="inlineStr">
        <is>
          <t>Code review</t>
        </is>
      </c>
      <c r="F27" s="5" t="inlineStr">
        <is>
          <t>Thanglm240723</t>
        </is>
      </c>
      <c r="G27" s="7" t="inlineStr">
        <is>
          <t>Closed</t>
        </is>
      </c>
      <c r="H27" s="17" t="inlineStr">
        <is>
          <t>Medium</t>
        </is>
      </c>
      <c r="I27" s="5" t="inlineStr"/>
      <c r="J27" s="5" t="inlineStr">
        <is>
          <t>API / Audit + Notes</t>
        </is>
      </c>
      <c r="K27" s="6" t="inlineStr">
        <is>
          <t>Sửa init audit log, thêm null-safety cho Unassign, sửa params notes</t>
        </is>
      </c>
      <c r="L27" s="5" t="inlineStr">
        <is>
          <t>2026-06-23</t>
        </is>
      </c>
      <c r="M27" s="9" t="inlineStr">
        <is>
          <t>6413ca8</t>
        </is>
      </c>
    </row>
    <row r="28">
      <c r="A28" s="10" t="inlineStr">
        <is>
          <t>OI-24</t>
        </is>
      </c>
      <c r="B28" s="11" t="inlineStr">
        <is>
          <t>2026-06-23 15:21</t>
        </is>
      </c>
      <c r="C28" s="12" t="inlineStr">
        <is>
          <t>12 lỗi từ code review Spec 15: regex sai, thiếu import, không lưu token, không reopen hội thoại, sai direction tin nhắn, thiếu senderId, sai thứ tự copilot, thiếu quyền delete, thiếu SignalR event, sai người tạo note, component chưa nối</t>
        </is>
      </c>
      <c r="D28" s="11" t="inlineStr">
        <is>
          <t>Bug</t>
        </is>
      </c>
      <c r="E28" s="11" t="inlineStr">
        <is>
          <t>Code review</t>
        </is>
      </c>
      <c r="F28" s="11" t="inlineStr">
        <is>
          <t>Thanglm240723</t>
        </is>
      </c>
      <c r="G28" s="13" t="inlineStr">
        <is>
          <t>Closed</t>
        </is>
      </c>
      <c r="H28" s="14" t="inlineStr">
        <is>
          <t>High</t>
        </is>
      </c>
      <c r="I28" s="11" t="inlineStr"/>
      <c r="J28" s="11" t="inlineStr">
        <is>
          <t>Full-stack (Agent Hub)</t>
        </is>
      </c>
      <c r="K28" s="12" t="inlineStr">
        <is>
          <t>Fix toàn bộ issue trong 1 đợt</t>
        </is>
      </c>
      <c r="L28" s="11" t="inlineStr">
        <is>
          <t>2026-06-23</t>
        </is>
      </c>
      <c r="M28" s="15" t="inlineStr">
        <is>
          <t>1a79e22</t>
        </is>
      </c>
    </row>
    <row r="29">
      <c r="A29" s="4" t="inlineStr">
        <is>
          <t>OI-25</t>
        </is>
      </c>
      <c r="B29" s="5" t="inlineStr">
        <is>
          <t>2026-06-23 15:28</t>
        </is>
      </c>
      <c r="C29" s="6" t="inlineStr">
        <is>
          <t>DailySummaryJob gọi sai constructor NotificationRequest, sai direction, sai scope uid → job chạy lỗi</t>
        </is>
      </c>
      <c r="D29" s="5" t="inlineStr">
        <is>
          <t>Bug</t>
        </is>
      </c>
      <c r="E29" s="5" t="inlineStr">
        <is>
          <t>Dev</t>
        </is>
      </c>
      <c r="F29" s="5" t="inlineStr">
        <is>
          <t>Thanglm240723</t>
        </is>
      </c>
      <c r="G29" s="7" t="inlineStr">
        <is>
          <t>Closed</t>
        </is>
      </c>
      <c r="H29" s="8" t="inlineStr">
        <is>
          <t>High</t>
        </is>
      </c>
      <c r="I29" s="5" t="inlineStr"/>
      <c r="J29" s="5" t="inlineStr">
        <is>
          <t>Jobs / Notification</t>
        </is>
      </c>
      <c r="K29" s="6" t="inlineStr">
        <is>
          <t>Viết lại DailySummaryJob (ctor đúng + LoggerMessage + fix direction + uid scope)</t>
        </is>
      </c>
      <c r="L29" s="5" t="inlineStr">
        <is>
          <t>2026-06-23</t>
        </is>
      </c>
      <c r="M29" s="9" t="inlineStr">
        <is>
          <t>8be01df</t>
        </is>
      </c>
    </row>
    <row r="30">
      <c r="A30" s="10" t="inlineStr">
        <is>
          <t>OI-26</t>
        </is>
      </c>
      <c r="B30" s="11" t="inlineStr">
        <is>
          <t>2026-06-23 20:08</t>
        </is>
      </c>
      <c r="C30" s="12" t="inlineStr">
        <is>
          <t>Schema local bị lệch; FK agents.llm_config_id gây lỗi cascade-path của SQL Server khi tạo bảng</t>
        </is>
      </c>
      <c r="D30" s="11" t="inlineStr">
        <is>
          <t>Data Issue</t>
        </is>
      </c>
      <c r="E30" s="11" t="inlineStr">
        <is>
          <t>Dev</t>
        </is>
      </c>
      <c r="F30" s="11" t="inlineStr">
        <is>
          <t>NguyenTung309</t>
        </is>
      </c>
      <c r="G30" s="13" t="inlineStr">
        <is>
          <t>Closed</t>
        </is>
      </c>
      <c r="H30" s="14" t="inlineStr">
        <is>
          <t>High</t>
        </is>
      </c>
      <c r="I30" s="11" t="inlineStr"/>
      <c r="J30" s="11" t="inlineStr">
        <is>
          <t>DB / run-all.bat</t>
        </is>
      </c>
      <c r="K30" s="12" t="inlineStr">
        <is>
          <t>Luôn chạy runtime schema repair idempotent; đổi FK sang NO ACTION</t>
        </is>
      </c>
      <c r="L30" s="11" t="inlineStr">
        <is>
          <t>2026-06-23</t>
        </is>
      </c>
      <c r="M30" s="15" t="inlineStr">
        <is>
          <t>475f85a</t>
        </is>
      </c>
    </row>
    <row r="31">
      <c r="A31" s="4" t="inlineStr">
        <is>
          <t>OI-27</t>
        </is>
      </c>
      <c r="B31" s="5" t="inlineStr">
        <is>
          <t>2026-06-23 20:35</t>
        </is>
      </c>
      <c r="C31" s="6" t="inlineStr">
        <is>
          <t>Seed demo không chọn được tenant; câu lệnh repair thiếu SET options bắt buộc của SQL Server</t>
        </is>
      </c>
      <c r="D31" s="5" t="inlineStr">
        <is>
          <t>Config Error</t>
        </is>
      </c>
      <c r="E31" s="5" t="inlineStr">
        <is>
          <t>Dev</t>
        </is>
      </c>
      <c r="F31" s="5" t="inlineStr">
        <is>
          <t>NguyenTung309</t>
        </is>
      </c>
      <c r="G31" s="7" t="inlineStr">
        <is>
          <t>Closed</t>
        </is>
      </c>
      <c r="H31" s="17" t="inlineStr">
        <is>
          <t>Medium</t>
        </is>
      </c>
      <c r="I31" s="5" t="inlineStr"/>
      <c r="J31" s="5" t="inlineStr">
        <is>
          <t>Seed / run-all.bat</t>
        </is>
      </c>
      <c r="K31" s="6" t="inlineStr">
        <is>
          <t>Parse --tenant, đảm bảo tenant tồn tại, truyền TenantSlug qua sqlcmd, set SET options</t>
        </is>
      </c>
      <c r="L31" s="5" t="inlineStr">
        <is>
          <t>2026-06-23</t>
        </is>
      </c>
      <c r="M31" s="9" t="inlineStr">
        <is>
          <t>a054f60</t>
        </is>
      </c>
    </row>
    <row r="32">
      <c r="A32" s="10" t="inlineStr">
        <is>
          <t>OI-28</t>
        </is>
      </c>
      <c r="B32" s="11" t="inlineStr">
        <is>
          <t>2026-06-24 19:50</t>
        </is>
      </c>
      <c r="C32" s="12" t="inlineStr">
        <is>
          <t>Runtime lỗi: cột scopes_json không tồn tại trong bảng api_keys</t>
        </is>
      </c>
      <c r="D32" s="11" t="inlineStr">
        <is>
          <t>Data Issue</t>
        </is>
      </c>
      <c r="E32" s="11" t="inlineStr">
        <is>
          <t>Runtime log</t>
        </is>
      </c>
      <c r="F32" s="11" t="inlineStr">
        <is>
          <t>NguyenTung309</t>
        </is>
      </c>
      <c r="G32" s="13" t="inlineStr">
        <is>
          <t>Closed</t>
        </is>
      </c>
      <c r="H32" s="14" t="inlineStr">
        <is>
          <t>High</t>
        </is>
      </c>
      <c r="I32" s="11" t="inlineStr"/>
      <c r="J32" s="11" t="inlineStr">
        <is>
          <t>DB / api_keys</t>
        </is>
      </c>
      <c r="K32" s="12" t="inlineStr">
        <is>
          <t>Thêm bước auto-apply EF migration trong run-all.bat</t>
        </is>
      </c>
      <c r="L32" s="11" t="inlineStr">
        <is>
          <t>2026-06-24</t>
        </is>
      </c>
      <c r="M32" s="15" t="inlineStr">
        <is>
          <t>97bb6ff</t>
        </is>
      </c>
    </row>
    <row r="33">
      <c r="A33" s="4" t="inlineStr">
        <is>
          <t>OI-29</t>
        </is>
      </c>
      <c r="B33" s="5" t="inlineStr">
        <is>
          <t>2026-06-24 19:50</t>
        </is>
      </c>
      <c r="C33" s="6" t="inlineStr">
        <is>
          <t>Frontend gọi /api/channels/pancake trả về 404 (backend đặt route khác)</t>
        </is>
      </c>
      <c r="D33" s="5" t="inlineStr">
        <is>
          <t>Bug</t>
        </is>
      </c>
      <c r="E33" s="5" t="inlineStr">
        <is>
          <t>Runtime log</t>
        </is>
      </c>
      <c r="F33" s="5" t="inlineStr">
        <is>
          <t>NguyenTung309</t>
        </is>
      </c>
      <c r="G33" s="7" t="inlineStr">
        <is>
          <t>Closed</t>
        </is>
      </c>
      <c r="H33" s="8" t="inlineStr">
        <is>
          <t>High</t>
        </is>
      </c>
      <c r="I33" s="5" t="inlineStr"/>
      <c r="J33" s="5" t="inlineStr">
        <is>
          <t>API / Channels</t>
        </is>
      </c>
      <c r="K33" s="6" t="inlineStr">
        <is>
          <t>Thêm route /api/channels/pancake đúng như FE mong đợi</t>
        </is>
      </c>
      <c r="L33" s="5" t="inlineStr">
        <is>
          <t>2026-06-24</t>
        </is>
      </c>
      <c r="M33" s="9" t="inlineStr">
        <is>
          <t>97bb6ff</t>
        </is>
      </c>
    </row>
    <row r="34">
      <c r="A34" s="10" t="inlineStr">
        <is>
          <t>OI-30</t>
        </is>
      </c>
      <c r="B34" s="11" t="inlineStr">
        <is>
          <t>2026-06-24 19:50</t>
        </is>
      </c>
      <c r="C34" s="12" t="inlineStr">
        <is>
          <t>Trang audit-logs crash khi serialize JSON vì trường IPAddress không serialize được</t>
        </is>
      </c>
      <c r="D34" s="11" t="inlineStr">
        <is>
          <t>Bug</t>
        </is>
      </c>
      <c r="E34" s="11" t="inlineStr">
        <is>
          <t>Runtime log</t>
        </is>
      </c>
      <c r="F34" s="11" t="inlineStr">
        <is>
          <t>NguyenTung309</t>
        </is>
      </c>
      <c r="G34" s="13" t="inlineStr">
        <is>
          <t>Closed</t>
        </is>
      </c>
      <c r="H34" s="14" t="inlineStr">
        <is>
          <t>High</t>
        </is>
      </c>
      <c r="I34" s="11" t="inlineStr"/>
      <c r="J34" s="11" t="inlineStr">
        <is>
          <t>API / Audit logs</t>
        </is>
      </c>
      <c r="K34" s="12" t="inlineStr">
        <is>
          <t>Gọi IPAddress.ToString() trong projection</t>
        </is>
      </c>
      <c r="L34" s="11" t="inlineStr">
        <is>
          <t>2026-06-24</t>
        </is>
      </c>
      <c r="M34" s="15" t="inlineStr">
        <is>
          <t>97bb6ff</t>
        </is>
      </c>
    </row>
    <row r="35">
      <c r="A35" s="4" t="inlineStr">
        <is>
          <t>OI-31</t>
        </is>
      </c>
      <c r="B35" s="5" t="inlineStr">
        <is>
          <t>2026-06-24 19:50</t>
        </is>
      </c>
      <c r="C35" s="6" t="inlineStr">
        <is>
          <t>Frontend gọi /api/kb/modules trả về 404</t>
        </is>
      </c>
      <c r="D35" s="5" t="inlineStr">
        <is>
          <t>Bug</t>
        </is>
      </c>
      <c r="E35" s="5" t="inlineStr">
        <is>
          <t>Runtime log</t>
        </is>
      </c>
      <c r="F35" s="5" t="inlineStr">
        <is>
          <t>NguyenTung309</t>
        </is>
      </c>
      <c r="G35" s="7" t="inlineStr">
        <is>
          <t>Closed</t>
        </is>
      </c>
      <c r="H35" s="17" t="inlineStr">
        <is>
          <t>Medium</t>
        </is>
      </c>
      <c r="I35" s="5" t="inlineStr"/>
      <c r="J35" s="5" t="inlineStr">
        <is>
          <t>API / Knowledge Base</t>
        </is>
      </c>
      <c r="K35" s="6" t="inlineStr">
        <is>
          <t>Thêm route /api/kb/modules</t>
        </is>
      </c>
      <c r="L35" s="5" t="inlineStr">
        <is>
          <t>2026-06-24</t>
        </is>
      </c>
      <c r="M35" s="9" t="inlineStr">
        <is>
          <t>97bb6ff</t>
        </is>
      </c>
    </row>
    <row r="36">
      <c r="A36" s="10" t="inlineStr">
        <is>
          <t>OI-32</t>
        </is>
      </c>
      <c r="B36" s="11" t="inlineStr">
        <is>
          <t>2026-06-24 19:50</t>
        </is>
      </c>
      <c r="C36" s="12" t="inlineStr">
        <is>
          <t>Planner parse JSON thất bại khi LLM trả về văn xuôi trước khối markdown → kế hoạch không sinh được</t>
        </is>
      </c>
      <c r="D36" s="11" t="inlineStr">
        <is>
          <t>Bug</t>
        </is>
      </c>
      <c r="E36" s="11" t="inlineStr">
        <is>
          <t>Runtime log</t>
        </is>
      </c>
      <c r="F36" s="11" t="inlineStr">
        <is>
          <t>NguyenTung309</t>
        </is>
      </c>
      <c r="G36" s="13" t="inlineStr">
        <is>
          <t>Closed</t>
        </is>
      </c>
      <c r="H36" s="14" t="inlineStr">
        <is>
          <t>High</t>
        </is>
      </c>
      <c r="I36" s="11" t="inlineStr"/>
      <c r="J36" s="11" t="inlineStr">
        <is>
          <t>AI / Planner</t>
        </is>
      </c>
      <c r="K36" s="12" t="inlineStr">
        <is>
          <t>Fence stripper xử lý phần prose dẫn trước markdown</t>
        </is>
      </c>
      <c r="L36" s="11" t="inlineStr">
        <is>
          <t>2026-06-24</t>
        </is>
      </c>
      <c r="M36" s="15" t="inlineStr">
        <is>
          <t>97bb6ff</t>
        </is>
      </c>
    </row>
    <row r="37">
      <c r="A37" s="4" t="inlineStr">
        <is>
          <t>OI-33</t>
        </is>
      </c>
      <c r="B37" s="5" t="inlineStr">
        <is>
          <t>2026-06-24 20:02</t>
        </is>
      </c>
      <c r="C37" s="6" t="inlineStr">
        <is>
          <t>Không chạy được EF migration vì máy không cài dotnet-ef tool</t>
        </is>
      </c>
      <c r="D37" s="5" t="inlineStr">
        <is>
          <t>Environment</t>
        </is>
      </c>
      <c r="E37" s="5" t="inlineStr">
        <is>
          <t>Dev</t>
        </is>
      </c>
      <c r="F37" s="5" t="inlineStr">
        <is>
          <t>NguyenTung309</t>
        </is>
      </c>
      <c r="G37" s="7" t="inlineStr">
        <is>
          <t>Closed</t>
        </is>
      </c>
      <c r="H37" s="17" t="inlineStr">
        <is>
          <t>Medium</t>
        </is>
      </c>
      <c r="I37" s="5" t="inlineStr"/>
      <c r="J37" s="5" t="inlineStr">
        <is>
          <t>DevOps / Migrations</t>
        </is>
      </c>
      <c r="K37" s="6" t="inlineStr">
        <is>
          <t>Bỏ bước EF migration, thêm cột scopes_json vào khối SQL repair (default '[]')</t>
        </is>
      </c>
      <c r="L37" s="5" t="inlineStr">
        <is>
          <t>2026-06-24</t>
        </is>
      </c>
      <c r="M37" s="9" t="inlineStr">
        <is>
          <t>3a18fbb</t>
        </is>
      </c>
    </row>
    <row r="38">
      <c r="A38" s="10" t="inlineStr">
        <is>
          <t>OI-34</t>
        </is>
      </c>
      <c r="B38" s="11" t="inlineStr">
        <is>
          <t>2026-06-24 20:04</t>
        </is>
      </c>
      <c r="C38" s="12" t="inlineStr">
        <is>
          <t>Lệch tên cột giữa SQL (scopes) và EF (scopes_json) trên bảng api_keys</t>
        </is>
      </c>
      <c r="D38" s="11" t="inlineStr">
        <is>
          <t>Data Issue</t>
        </is>
      </c>
      <c r="E38" s="11" t="inlineStr">
        <is>
          <t>Dev</t>
        </is>
      </c>
      <c r="F38" s="11" t="inlineStr">
        <is>
          <t>NguyenTung309</t>
        </is>
      </c>
      <c r="G38" s="13" t="inlineStr">
        <is>
          <t>Closed</t>
        </is>
      </c>
      <c r="H38" s="14" t="inlineStr">
        <is>
          <t>High</t>
        </is>
      </c>
      <c r="I38" s="11" t="inlineStr"/>
      <c r="J38" s="11" t="inlineStr">
        <is>
          <t>DB / api_keys</t>
        </is>
      </c>
      <c r="K38" s="12" t="inlineStr">
        <is>
          <t>Migration 0033 rename cột + cập nhật logic repair trong run-all.bat</t>
        </is>
      </c>
      <c r="L38" s="11" t="inlineStr">
        <is>
          <t>2026-06-24</t>
        </is>
      </c>
      <c r="M38" s="15" t="inlineStr">
        <is>
          <t>0ede5f5</t>
        </is>
      </c>
    </row>
    <row r="39">
      <c r="A39" s="4" t="inlineStr">
        <is>
          <t>OI-35</t>
        </is>
      </c>
      <c r="B39" s="5" t="inlineStr">
        <is>
          <t>2026-06-25 00:24</t>
        </is>
      </c>
      <c r="C39" s="6" t="inlineStr">
        <is>
          <t>Model C# thiếu record PancakeFrom/LastSentBy/Customers → không parse được response API Pancake (mất avatar, tên khách)</t>
        </is>
      </c>
      <c r="D39" s="5" t="inlineStr">
        <is>
          <t>Bug</t>
        </is>
      </c>
      <c r="E39" s="5" t="inlineStr">
        <is>
          <t>Dev</t>
        </is>
      </c>
      <c r="F39" s="5" t="inlineStr">
        <is>
          <t>Thanglm240723</t>
        </is>
      </c>
      <c r="G39" s="7" t="inlineStr">
        <is>
          <t>Closed</t>
        </is>
      </c>
      <c r="H39" s="8" t="inlineStr">
        <is>
          <t>High</t>
        </is>
      </c>
      <c r="I39" s="5" t="inlineStr"/>
      <c r="J39" s="5" t="inlineStr">
        <is>
          <t>Channels / Pancake models</t>
        </is>
      </c>
      <c r="K39" s="6" t="inlineStr">
        <is>
          <t>Thêm các record còn thiếu vào model</t>
        </is>
      </c>
      <c r="L39" s="5" t="inlineStr">
        <is>
          <t>2026-06-25</t>
        </is>
      </c>
      <c r="M39" s="9" t="inlineStr">
        <is>
          <t>5d44c18</t>
        </is>
      </c>
    </row>
    <row r="40">
      <c r="A40" s="10" t="inlineStr">
        <is>
          <t>OI-36</t>
        </is>
      </c>
      <c r="B40" s="11" t="inlineStr">
        <is>
          <t>2026-06-25 00:34</t>
        </is>
      </c>
      <c r="C40" s="12" t="inlineStr">
        <is>
          <t>Xác định chiều tin nhắn (inbound/outbound) sai; không lưu avatar; tên inbox không cập nhật; có routing bias sai</t>
        </is>
      </c>
      <c r="D40" s="11" t="inlineStr">
        <is>
          <t>Bug</t>
        </is>
      </c>
      <c r="E40" s="11" t="inlineStr">
        <is>
          <t>Dev</t>
        </is>
      </c>
      <c r="F40" s="11" t="inlineStr">
        <is>
          <t>Thanglm240723</t>
        </is>
      </c>
      <c r="G40" s="13" t="inlineStr">
        <is>
          <t>Closed</t>
        </is>
      </c>
      <c r="H40" s="14" t="inlineStr">
        <is>
          <t>High</t>
        </is>
      </c>
      <c r="I40" s="11" t="inlineStr"/>
      <c r="J40" s="11" t="inlineStr">
        <is>
          <t>Inbox / Ingestor</t>
        </is>
      </c>
      <c r="K40" s="12" t="inlineStr">
        <is>
          <t>Sửa direction detection, lưu avatar, update tên inbox, bỏ routing bias</t>
        </is>
      </c>
      <c r="L40" s="11" t="inlineStr">
        <is>
          <t>2026-06-25</t>
        </is>
      </c>
      <c r="M40" s="15" t="inlineStr">
        <is>
          <t>55a8459</t>
        </is>
      </c>
    </row>
    <row r="41">
      <c r="A41" s="4" t="inlineStr">
        <is>
          <t>OI-37</t>
        </is>
      </c>
      <c r="B41" s="5" t="inlineStr">
        <is>
          <t>2026-06-25 00:48</t>
        </is>
      </c>
      <c r="C41" s="6" t="inlineStr">
        <is>
          <t>FE hiện sai avatar, tên và căn lề cho tin nhắn của khách</t>
        </is>
      </c>
      <c r="D41" s="5" t="inlineStr">
        <is>
          <t>Bug</t>
        </is>
      </c>
      <c r="E41" s="5" t="inlineStr">
        <is>
          <t>Dev</t>
        </is>
      </c>
      <c r="F41" s="5" t="inlineStr">
        <is>
          <t>Thanglm240723</t>
        </is>
      </c>
      <c r="G41" s="7" t="inlineStr">
        <is>
          <t>Closed</t>
        </is>
      </c>
      <c r="H41" s="17" t="inlineStr">
        <is>
          <t>Medium</t>
        </is>
      </c>
      <c r="I41" s="5" t="inlineStr"/>
      <c r="J41" s="5" t="inlineStr">
        <is>
          <t>Frontend / Chat</t>
        </is>
      </c>
      <c r="K41" s="6" t="inlineStr">
        <is>
          <t>Sửa component avatar/name/alignment</t>
        </is>
      </c>
      <c r="L41" s="5" t="inlineStr">
        <is>
          <t>2026-06-25</t>
        </is>
      </c>
      <c r="M41" s="9" t="inlineStr">
        <is>
          <t>f48727a</t>
        </is>
      </c>
    </row>
    <row r="42">
      <c r="A42" s="10" t="inlineStr">
        <is>
          <t>OI-38</t>
        </is>
      </c>
      <c r="B42" s="11" t="inlineStr">
        <is>
          <t>2026-06-25 01:26</t>
        </is>
      </c>
      <c r="C42" s="12" t="inlineStr">
        <is>
          <t>Hội thoại đã tồn tại không được cập nhật metadata contact (tên/avatar/inbox) khi có dữ liệu mới</t>
        </is>
      </c>
      <c r="D42" s="11" t="inlineStr">
        <is>
          <t>Bug</t>
        </is>
      </c>
      <c r="E42" s="11" t="inlineStr">
        <is>
          <t>Dev</t>
        </is>
      </c>
      <c r="F42" s="11" t="inlineStr">
        <is>
          <t>Thanglm240723</t>
        </is>
      </c>
      <c r="G42" s="13" t="inlineStr">
        <is>
          <t>Closed</t>
        </is>
      </c>
      <c r="H42" s="19" t="inlineStr">
        <is>
          <t>Medium</t>
        </is>
      </c>
      <c r="I42" s="11" t="inlineStr"/>
      <c r="J42" s="11" t="inlineStr">
        <is>
          <t>Inbox / Contact</t>
        </is>
      </c>
      <c r="K42" s="12" t="inlineStr">
        <is>
          <t>Thêm UpdateContactMetadataAsync + test TDD cho direction/avatar/inbox name</t>
        </is>
      </c>
      <c r="L42" s="11" t="inlineStr">
        <is>
          <t>2026-06-25</t>
        </is>
      </c>
      <c r="M42" s="15" t="inlineStr">
        <is>
          <t>6fe421d</t>
        </is>
      </c>
    </row>
    <row r="43">
      <c r="A43" s="4" t="inlineStr">
        <is>
          <t>OI-39</t>
        </is>
      </c>
      <c r="B43" s="5" t="inlineStr">
        <is>
          <t>2026-06-25 15:19</t>
        </is>
      </c>
      <c r="C43" s="6" t="inlineStr">
        <is>
          <t>Không resolve được InboxId cho hội thoại cũ trước khi đổi tên; file FE bị chèn ký tự formfeed làm hỏng source</t>
        </is>
      </c>
      <c r="D43" s="5" t="inlineStr">
        <is>
          <t>Bug</t>
        </is>
      </c>
      <c r="E43" s="5" t="inlineStr">
        <is>
          <t>Dev</t>
        </is>
      </c>
      <c r="F43" s="5" t="inlineStr">
        <is>
          <t>Thanglm240723</t>
        </is>
      </c>
      <c r="G43" s="7" t="inlineStr">
        <is>
          <t>Closed</t>
        </is>
      </c>
      <c r="H43" s="17" t="inlineStr">
        <is>
          <t>Medium</t>
        </is>
      </c>
      <c r="I43" s="5" t="inlineStr"/>
      <c r="J43" s="5" t="inlineStr">
        <is>
          <t>Inbox / Frontend</t>
        </is>
      </c>
      <c r="K43" s="6" t="inlineStr">
        <is>
          <t>Resolve InboxId trước khi update, sửa formfeed corruption</t>
        </is>
      </c>
      <c r="L43" s="5" t="inlineStr">
        <is>
          <t>2026-06-25</t>
        </is>
      </c>
      <c r="M43" s="9" t="inlineStr">
        <is>
          <t>804bdd1</t>
        </is>
      </c>
    </row>
    <row r="44">
      <c r="A44" s="10" t="inlineStr">
        <is>
          <t>OI-40</t>
        </is>
      </c>
      <c r="B44" s="11" t="inlineStr">
        <is>
          <t>2026-06-25 16:44</t>
        </is>
      </c>
      <c r="C44" s="12" t="inlineStr">
        <is>
          <t>Minimal API không inject được ILogger qua DI (giới hạn của minimal API) → endpoint lỗi khi khởi tạo</t>
        </is>
      </c>
      <c r="D44" s="11" t="inlineStr">
        <is>
          <t>Bug</t>
        </is>
      </c>
      <c r="E44" s="11" t="inlineStr">
        <is>
          <t>Dev</t>
        </is>
      </c>
      <c r="F44" s="11" t="inlineStr">
        <is>
          <t>Thanglm240723</t>
        </is>
      </c>
      <c r="G44" s="13" t="inlineStr">
        <is>
          <t>Closed</t>
        </is>
      </c>
      <c r="H44" s="19" t="inlineStr">
        <is>
          <t>Medium</t>
        </is>
      </c>
      <c r="I44" s="11" t="inlineStr"/>
      <c r="J44" s="11" t="inlineStr">
        <is>
          <t>API / DI</t>
        </is>
      </c>
      <c r="K44" s="12" t="inlineStr">
        <is>
          <t>Resolve ILogger qua HttpContext</t>
        </is>
      </c>
      <c r="L44" s="11" t="inlineStr">
        <is>
          <t>2026-06-25</t>
        </is>
      </c>
      <c r="M44" s="15" t="inlineStr">
        <is>
          <t>e5aa112</t>
        </is>
      </c>
    </row>
    <row r="45">
      <c r="A45" s="4" t="inlineStr">
        <is>
          <t>OI-41</t>
        </is>
      </c>
      <c r="B45" s="5" t="inlineStr">
        <is>
          <t>2026-06-25 16:49</t>
        </is>
      </c>
      <c r="C45" s="6" t="inlineStr">
        <is>
          <t>File ChatMessageThread bị hỏng template literal → build frontend fail</t>
        </is>
      </c>
      <c r="D45" s="5" t="inlineStr">
        <is>
          <t>Build Error</t>
        </is>
      </c>
      <c r="E45" s="5" t="inlineStr">
        <is>
          <t>CI / build</t>
        </is>
      </c>
      <c r="F45" s="5" t="inlineStr">
        <is>
          <t>Thanglm240723</t>
        </is>
      </c>
      <c r="G45" s="7" t="inlineStr">
        <is>
          <t>Closed</t>
        </is>
      </c>
      <c r="H45" s="8" t="inlineStr">
        <is>
          <t>High</t>
        </is>
      </c>
      <c r="I45" s="5" t="inlineStr"/>
      <c r="J45" s="5" t="inlineStr">
        <is>
          <t>Frontend / Chat</t>
        </is>
      </c>
      <c r="K45" s="6" t="inlineStr">
        <is>
          <t>Khôi phục lại template literal</t>
        </is>
      </c>
      <c r="L45" s="5" t="inlineStr">
        <is>
          <t>2026-06-25</t>
        </is>
      </c>
      <c r="M45" s="9" t="inlineStr">
        <is>
          <t>95e3785</t>
        </is>
      </c>
    </row>
    <row r="46">
      <c r="A46" s="10" t="inlineStr">
        <is>
          <t>OI-42</t>
        </is>
      </c>
      <c r="B46" s="11" t="inlineStr">
        <is>
          <t>2026-06-25 19:49</t>
        </is>
      </c>
      <c r="C46" s="12" t="inlineStr">
        <is>
          <t>Chỉ poll được page cấu hình trong biến môi trường, các inbox khác có token vẫn không nhận tin</t>
        </is>
      </c>
      <c r="D46" s="11" t="inlineStr">
        <is>
          <t>Bug</t>
        </is>
      </c>
      <c r="E46" s="11" t="inlineStr">
        <is>
          <t>Dev</t>
        </is>
      </c>
      <c r="F46" s="11" t="inlineStr">
        <is>
          <t>Thanglm240723</t>
        </is>
      </c>
      <c r="G46" s="13" t="inlineStr">
        <is>
          <t>Closed</t>
        </is>
      </c>
      <c r="H46" s="14" t="inlineStr">
        <is>
          <t>High</t>
        </is>
      </c>
      <c r="I46" s="11" t="inlineStr"/>
      <c r="J46" s="11" t="inlineStr">
        <is>
          <t>Polling / Pancake</t>
        </is>
      </c>
      <c r="K46" s="12" t="inlineStr">
        <is>
          <t>Poll tất cả inbox có token</t>
        </is>
      </c>
      <c r="L46" s="11" t="inlineStr">
        <is>
          <t>2026-06-25</t>
        </is>
      </c>
      <c r="M46" s="15" t="inlineStr">
        <is>
          <t>2f8fb37</t>
        </is>
      </c>
    </row>
    <row r="47">
      <c r="A47" s="4" t="inlineStr">
        <is>
          <t>OI-43</t>
        </is>
      </c>
      <c r="B47" s="5" t="inlineStr">
        <is>
          <t>2026-06-25 22:38</t>
        </is>
      </c>
      <c r="C47" s="6" t="inlineStr">
        <is>
          <t>Đổi kênh nhưng activeId và tab cũ không reset → hiện nhầm hội thoại</t>
        </is>
      </c>
      <c r="D47" s="5" t="inlineStr">
        <is>
          <t>Bug</t>
        </is>
      </c>
      <c r="E47" s="5" t="inlineStr">
        <is>
          <t>Dev</t>
        </is>
      </c>
      <c r="F47" s="5" t="inlineStr">
        <is>
          <t>Thanglm240723</t>
        </is>
      </c>
      <c r="G47" s="7" t="inlineStr">
        <is>
          <t>Closed</t>
        </is>
      </c>
      <c r="H47" s="17" t="inlineStr">
        <is>
          <t>Medium</t>
        </is>
      </c>
      <c r="I47" s="5" t="inlineStr"/>
      <c r="J47" s="5" t="inlineStr">
        <is>
          <t>Frontend / Inbox</t>
        </is>
      </c>
      <c r="K47" s="6" t="inlineStr">
        <is>
          <t>Reset activeId + tabs khi switch channel</t>
        </is>
      </c>
      <c r="L47" s="5" t="inlineStr">
        <is>
          <t>2026-06-25</t>
        </is>
      </c>
      <c r="M47" s="9" t="inlineStr">
        <is>
          <t>f93b1ec</t>
        </is>
      </c>
    </row>
    <row r="48">
      <c r="A48" s="10" t="inlineStr">
        <is>
          <t>OI-44</t>
        </is>
      </c>
      <c r="B48" s="11" t="inlineStr">
        <is>
          <t>2026-06-27 00:13</t>
        </is>
      </c>
      <c r="C48" s="12" t="inlineStr">
        <is>
          <t>Binary runtime native làm repo phình to, push thất bại</t>
        </is>
      </c>
      <c r="D48" s="11" t="inlineStr">
        <is>
          <t>Environment</t>
        </is>
      </c>
      <c r="E48" s="11" t="inlineStr">
        <is>
          <t>Dev</t>
        </is>
      </c>
      <c r="F48" s="11" t="inlineStr">
        <is>
          <t>Thanglm240723</t>
        </is>
      </c>
      <c r="G48" s="13" t="inlineStr">
        <is>
          <t>Closed</t>
        </is>
      </c>
      <c r="H48" s="19" t="inlineStr">
        <is>
          <t>Medium</t>
        </is>
      </c>
      <c r="I48" s="11" t="inlineStr"/>
      <c r="J48" s="11" t="inlineStr">
        <is>
          <t>Repo / Git LFS</t>
        </is>
      </c>
      <c r="K48" s="12" t="inlineStr">
        <is>
          <t>Track bằng Git LFS rồi gỡ hẳn runtime khỏi repo</t>
        </is>
      </c>
      <c r="L48" s="11" t="inlineStr">
        <is>
          <t>2026-06-27</t>
        </is>
      </c>
      <c r="M48" s="15" t="inlineStr">
        <is>
          <t>3553b86</t>
        </is>
      </c>
    </row>
    <row r="49">
      <c r="A49" s="4" t="inlineStr">
        <is>
          <t>OI-45</t>
        </is>
      </c>
      <c r="B49" s="5" t="inlineStr">
        <is>
          <t>2026-06-29 00:30</t>
        </is>
      </c>
      <c r="C49" s="6" t="inlineStr">
        <is>
          <t>Lỗi avatar trong khung chat</t>
        </is>
      </c>
      <c r="D49" s="5" t="inlineStr">
        <is>
          <t>Bug</t>
        </is>
      </c>
      <c r="E49" s="5" t="inlineStr">
        <is>
          <t>Dev</t>
        </is>
      </c>
      <c r="F49" s="5" t="inlineStr">
        <is>
          <t>Thanglm240723</t>
        </is>
      </c>
      <c r="G49" s="7" t="inlineStr">
        <is>
          <t>Closed</t>
        </is>
      </c>
      <c r="H49" s="17" t="inlineStr">
        <is>
          <t>Medium</t>
        </is>
      </c>
      <c r="I49" s="5" t="inlineStr"/>
      <c r="J49" s="5" t="inlineStr">
        <is>
          <t>Frontend / Chat</t>
        </is>
      </c>
      <c r="K49" s="6" t="inlineStr">
        <is>
          <t>Fix bug avatar chat</t>
        </is>
      </c>
      <c r="L49" s="5" t="inlineStr">
        <is>
          <t>2026-06-29</t>
        </is>
      </c>
      <c r="M49" s="9" t="inlineStr">
        <is>
          <t>58ac91e</t>
        </is>
      </c>
    </row>
    <row r="50">
      <c r="A50" s="10" t="inlineStr">
        <is>
          <t>OI-46</t>
        </is>
      </c>
      <c r="B50" s="11" t="inlineStr">
        <is>
          <t>2026-07-01 22:08</t>
        </is>
      </c>
      <c r="C50" s="12" t="inlineStr">
        <is>
          <t>Form thiếu trạng thái lỗi (error state); hành động nguy hiểm (đổi mật khẩu, reset 2FA, xóa token/role/api-key) chạy ngay không xác nhận; ConversationsPage fixed-height tràn layout trên mobile landscape</t>
        </is>
      </c>
      <c r="D50" s="11" t="inlineStr">
        <is>
          <t>UX / Bug</t>
        </is>
      </c>
      <c r="E50" s="11" t="inlineStr">
        <is>
          <t>Code review</t>
        </is>
      </c>
      <c r="F50" s="11" t="inlineStr">
        <is>
          <t>NguyenTung309</t>
        </is>
      </c>
      <c r="G50" s="13" t="inlineStr">
        <is>
          <t>Closed</t>
        </is>
      </c>
      <c r="H50" s="19" t="inlineStr">
        <is>
          <t>Medium</t>
        </is>
      </c>
      <c r="I50" s="11" t="inlineStr"/>
      <c r="J50" s="11" t="inlineStr">
        <is>
          <t>Frontend / Shared UI</t>
        </is>
      </c>
      <c r="K50" s="12" t="inlineStr">
        <is>
          <t>Thêm error prop + aria-describedby, ConfirmDialog dùng chung, sửa layout, thêm loading/empty/error state</t>
        </is>
      </c>
      <c r="L50" s="11" t="inlineStr">
        <is>
          <t>2026-07-01</t>
        </is>
      </c>
      <c r="M50" s="15" t="inlineStr">
        <is>
          <t>f966224</t>
        </is>
      </c>
    </row>
    <row r="51">
      <c r="A51" s="4" t="inlineStr">
        <is>
          <t>OI-47</t>
        </is>
      </c>
      <c r="B51" s="5" t="inlineStr">
        <is>
          <t>2026-07-02 21:56</t>
        </is>
      </c>
      <c r="C51" s="6" t="inlineStr">
        <is>
          <t>Bảng messages thiếu cột attachment_url → lưu tin có file bị lỗi</t>
        </is>
      </c>
      <c r="D51" s="5" t="inlineStr">
        <is>
          <t>Data Issue</t>
        </is>
      </c>
      <c r="E51" s="5" t="inlineStr">
        <is>
          <t>Runtime log</t>
        </is>
      </c>
      <c r="F51" s="5" t="inlineStr">
        <is>
          <t>Thanglm240723</t>
        </is>
      </c>
      <c r="G51" s="7" t="inlineStr">
        <is>
          <t>Closed</t>
        </is>
      </c>
      <c r="H51" s="8" t="inlineStr">
        <is>
          <t>High</t>
        </is>
      </c>
      <c r="I51" s="5" t="inlineStr"/>
      <c r="J51" s="5" t="inlineStr">
        <is>
          <t>DB / messages</t>
        </is>
      </c>
      <c r="K51" s="6" t="inlineStr">
        <is>
          <t>Thêm cột qua EnsureRuntimeSchema</t>
        </is>
      </c>
      <c r="L51" s="5" t="inlineStr">
        <is>
          <t>2026-07-02</t>
        </is>
      </c>
      <c r="M51" s="9" t="inlineStr">
        <is>
          <t>0771c09</t>
        </is>
      </c>
    </row>
    <row r="52">
      <c r="A52" s="10" t="inlineStr">
        <is>
          <t>OI-48</t>
        </is>
      </c>
      <c r="B52" s="11" t="inlineStr">
        <is>
          <t>2026-07-02 22:15</t>
        </is>
      </c>
      <c r="C52" s="12" t="inlineStr">
        <is>
          <t>Thêm prefix vào ExternalThreadId làm sinh hội thoại trùng lặp</t>
        </is>
      </c>
      <c r="D52" s="11" t="inlineStr">
        <is>
          <t>Regression</t>
        </is>
      </c>
      <c r="E52" s="11" t="inlineStr">
        <is>
          <t>Dev</t>
        </is>
      </c>
      <c r="F52" s="11" t="inlineStr">
        <is>
          <t>Thanglm240723</t>
        </is>
      </c>
      <c r="G52" s="13" t="inlineStr">
        <is>
          <t>Closed</t>
        </is>
      </c>
      <c r="H52" s="14" t="inlineStr">
        <is>
          <t>High</t>
        </is>
      </c>
      <c r="I52" s="11" t="inlineStr"/>
      <c r="J52" s="11" t="inlineStr">
        <is>
          <t>Inbox / Conversation</t>
        </is>
      </c>
      <c r="K52" s="12" t="inlineStr">
        <is>
          <t>Revert phần prefix ExternalThreadId</t>
        </is>
      </c>
      <c r="L52" s="11" t="inlineStr">
        <is>
          <t>2026-07-02</t>
        </is>
      </c>
      <c r="M52" s="15" t="inlineStr">
        <is>
          <t>bab078d</t>
        </is>
      </c>
    </row>
    <row r="53">
      <c r="A53" s="4" t="inlineStr">
        <is>
          <t>OI-49</t>
        </is>
      </c>
      <c r="B53" s="5" t="inlineStr">
        <is>
          <t>2026-07-02 22:23</t>
        </is>
      </c>
      <c r="C53" s="6" t="inlineStr">
        <is>
          <t>Rate limit auth 10 req/phút làm refresh-token bị đói (starvation) → user bị đăng xuất / lỗi 429</t>
        </is>
      </c>
      <c r="D53" s="5" t="inlineStr">
        <is>
          <t>Bug</t>
        </is>
      </c>
      <c r="E53" s="5" t="inlineStr">
        <is>
          <t>Runtime log</t>
        </is>
      </c>
      <c r="F53" s="5" t="inlineStr">
        <is>
          <t>Thanglm240723</t>
        </is>
      </c>
      <c r="G53" s="7" t="inlineStr">
        <is>
          <t>Closed</t>
        </is>
      </c>
      <c r="H53" s="8" t="inlineStr">
        <is>
          <t>High</t>
        </is>
      </c>
      <c r="I53" s="5" t="inlineStr"/>
      <c r="J53" s="5" t="inlineStr">
        <is>
          <t>API / Rate limit</t>
        </is>
      </c>
      <c r="K53" s="6" t="inlineStr">
        <is>
          <t>Nâng rate limit auth lên 30 req/phút</t>
        </is>
      </c>
      <c r="L53" s="5" t="inlineStr">
        <is>
          <t>2026-07-02</t>
        </is>
      </c>
      <c r="M53" s="9" t="inlineStr">
        <is>
          <t>d23d49f</t>
        </is>
      </c>
    </row>
    <row r="54">
      <c r="A54" s="10" t="inlineStr">
        <is>
          <t>OI-50</t>
        </is>
      </c>
      <c r="B54" s="11" t="inlineStr">
        <is>
          <t>2026-07-02 23:01</t>
        </is>
      </c>
      <c r="C54" s="12" t="inlineStr">
        <is>
          <t>Chat nhóm hiện sai avatar; nội dung rich (audio/video) và link tải tài liệu không hiển thị</t>
        </is>
      </c>
      <c r="D54" s="11" t="inlineStr">
        <is>
          <t>Bug</t>
        </is>
      </c>
      <c r="E54" s="11" t="inlineStr">
        <is>
          <t>Khách hàng</t>
        </is>
      </c>
      <c r="F54" s="11" t="inlineStr">
        <is>
          <t>Thanglm240723</t>
        </is>
      </c>
      <c r="G54" s="13" t="inlineStr">
        <is>
          <t>Closed</t>
        </is>
      </c>
      <c r="H54" s="19" t="inlineStr">
        <is>
          <t>Medium</t>
        </is>
      </c>
      <c r="I54" s="11" t="inlineStr"/>
      <c r="J54" s="11" t="inlineStr">
        <is>
          <t>Frontend / Chat</t>
        </is>
      </c>
      <c r="K54" s="12" t="inlineStr">
        <is>
          <t>Sửa avatar group chat, render rich content, thêm link download</t>
        </is>
      </c>
      <c r="L54" s="11" t="inlineStr">
        <is>
          <t>2026-07-02</t>
        </is>
      </c>
      <c r="M54" s="15" t="inlineStr">
        <is>
          <t>16f2285</t>
        </is>
      </c>
    </row>
    <row r="55">
      <c r="A55" s="4" t="inlineStr">
        <is>
          <t>OI-51</t>
        </is>
      </c>
      <c r="B55" s="5" t="inlineStr">
        <is>
          <t>2026-07-03 00:08</t>
        </is>
      </c>
      <c r="C55" s="6" t="inlineStr">
        <is>
          <t>Người gửi không có avatar → chat nhóm hiện avatar trống</t>
        </is>
      </c>
      <c r="D55" s="5" t="inlineStr">
        <is>
          <t>Bug</t>
        </is>
      </c>
      <c r="E55" s="5" t="inlineStr">
        <is>
          <t>Khách hàng</t>
        </is>
      </c>
      <c r="F55" s="5" t="inlineStr">
        <is>
          <t>Thanglm240723</t>
        </is>
      </c>
      <c r="G55" s="7" t="inlineStr">
        <is>
          <t>Closed</t>
        </is>
      </c>
      <c r="H55" s="7" t="inlineStr">
        <is>
          <t>Low</t>
        </is>
      </c>
      <c r="I55" s="5" t="inlineStr"/>
      <c r="J55" s="5" t="inlineStr">
        <is>
          <t>Frontend / Chat</t>
        </is>
      </c>
      <c r="K55" s="6" t="inlineStr">
        <is>
          <t>Fallback về avatar contact của hội thoại</t>
        </is>
      </c>
      <c r="L55" s="5" t="inlineStr">
        <is>
          <t>2026-07-03</t>
        </is>
      </c>
      <c r="M55" s="9" t="inlineStr">
        <is>
          <t>0ad56f4</t>
        </is>
      </c>
    </row>
    <row r="56">
      <c r="A56" s="10" t="inlineStr">
        <is>
          <t>OI-52</t>
        </is>
      </c>
      <c r="B56" s="11" t="inlineStr">
        <is>
          <t>2026-07-04 02:38</t>
        </is>
      </c>
      <c r="C56" s="12" t="inlineStr">
        <is>
          <t>Lỗi gán (assign) sai khi polling tin nhắn</t>
        </is>
      </c>
      <c r="D56" s="11" t="inlineStr">
        <is>
          <t>Bug</t>
        </is>
      </c>
      <c r="E56" s="11" t="inlineStr">
        <is>
          <t>Dev</t>
        </is>
      </c>
      <c r="F56" s="11" t="inlineStr">
        <is>
          <t>Thanglm240723</t>
        </is>
      </c>
      <c r="G56" s="13" t="inlineStr">
        <is>
          <t>Closed</t>
        </is>
      </c>
      <c r="H56" s="14" t="inlineStr">
        <is>
          <t>High</t>
        </is>
      </c>
      <c r="I56" s="11" t="inlineStr"/>
      <c r="J56" s="11" t="inlineStr">
        <is>
          <t>Polling / Assignment</t>
        </is>
      </c>
      <c r="K56" s="12" t="inlineStr">
        <is>
          <t>Fix bug gán khi polling message</t>
        </is>
      </c>
      <c r="L56" s="11" t="inlineStr">
        <is>
          <t>2026-07-04</t>
        </is>
      </c>
      <c r="M56" s="15" t="inlineStr">
        <is>
          <t>095a5bb</t>
        </is>
      </c>
    </row>
    <row r="57">
      <c r="A57" s="4" t="inlineStr">
        <is>
          <t>OI-53</t>
        </is>
      </c>
      <c r="B57" s="5" t="inlineStr">
        <is>
          <t>2026-07-05 02:28</t>
        </is>
      </c>
      <c r="C57" s="6" t="inlineStr">
        <is>
          <t>Token inbound và outbound dùng 2 nguồn khác nhau → gửi/nhận lệch kênh</t>
        </is>
      </c>
      <c r="D57" s="5" t="inlineStr">
        <is>
          <t>Bug</t>
        </is>
      </c>
      <c r="E57" s="5" t="inlineStr">
        <is>
          <t>Dev</t>
        </is>
      </c>
      <c r="F57" s="5" t="inlineStr">
        <is>
          <t>Thanglm240723</t>
        </is>
      </c>
      <c r="G57" s="7" t="inlineStr">
        <is>
          <t>Closed</t>
        </is>
      </c>
      <c r="H57" s="8" t="inlineStr">
        <is>
          <t>High</t>
        </is>
      </c>
      <c r="I57" s="5" t="inlineStr"/>
      <c r="J57" s="5" t="inlineStr">
        <is>
          <t>Channels / Token</t>
        </is>
      </c>
      <c r="K57" s="6" t="inlineStr">
        <is>
          <t>Gộp chung dùng token ở inbox cho cả inbound và outbound</t>
        </is>
      </c>
      <c r="L57" s="5" t="inlineStr">
        <is>
          <t>2026-07-05</t>
        </is>
      </c>
      <c r="M57" s="9" t="inlineStr">
        <is>
          <t>60c305e</t>
        </is>
      </c>
    </row>
    <row r="58">
      <c r="A58" s="10" t="inlineStr">
        <is>
          <t>OI-54</t>
        </is>
      </c>
      <c r="B58" s="11" t="inlineStr">
        <is>
          <t>2026-07-06 10:52</t>
        </is>
      </c>
      <c r="C58" s="12" t="inlineStr">
        <is>
          <t>BUG KHÁCH BÁO: danh sách chat bên trái bị ghi đè tên + avatar theo người gửi tin cuối (kể cả admin/AI) → hiện tên chủ Zalo/OA thay vì tên khách; chat nhóm thì mỗi thành viên nhắn là avatar đổi theo</t>
        </is>
      </c>
      <c r="D58" s="11" t="inlineStr">
        <is>
          <t>Bug</t>
        </is>
      </c>
      <c r="E58" s="11" t="inlineStr">
        <is>
          <t>Khách hàng</t>
        </is>
      </c>
      <c r="F58" s="11" t="inlineStr">
        <is>
          <t>NguyenTung309</t>
        </is>
      </c>
      <c r="G58" s="13" t="inlineStr">
        <is>
          <t>Closed</t>
        </is>
      </c>
      <c r="H58" s="16" t="inlineStr">
        <is>
          <t>Critical</t>
        </is>
      </c>
      <c r="I58" s="11" t="inlineStr"/>
      <c r="J58" s="11" t="inlineStr">
        <is>
          <t>Polling / ChannelMessageIngestor</t>
        </is>
      </c>
      <c r="K58" s="12" t="inlineStr">
        <is>
          <t>Tách conversation_name/avatar khỏi sender_*; tính isOwner trước khi upsert (thêm điều kiện sender_id == page_id); script deploy/fix_contact_overwrite.sql sửa dữ liệu hỏng; contact tự heal ở lần poll kế tiếp</t>
        </is>
      </c>
      <c r="L58" s="11" t="inlineStr">
        <is>
          <t>2026-07-06</t>
        </is>
      </c>
      <c r="M58" s="15" t="inlineStr">
        <is>
          <t>6606e55</t>
        </is>
      </c>
    </row>
    <row r="59">
      <c r="A59" s="4" t="inlineStr">
        <is>
          <t>OI-55</t>
        </is>
      </c>
      <c r="B59" s="5" t="inlineStr">
        <is>
          <t>2026-07-06 11:06</t>
        </is>
      </c>
      <c r="C59" s="6" t="inlineStr">
        <is>
          <t>Token lưu plaintext trong inboxes.encrypted_access_token; ô nhập token trên FE bị drop im lặng; tồn tại 4 nguồn token song song (users, pancake_pages dead path, env)</t>
        </is>
      </c>
      <c r="D59" s="5" t="inlineStr">
        <is>
          <t>Security</t>
        </is>
      </c>
      <c r="E59" s="5" t="inlineStr">
        <is>
          <t>Khách hàng</t>
        </is>
      </c>
      <c r="F59" s="5" t="inlineStr">
        <is>
          <t>NguyenTung309</t>
        </is>
      </c>
      <c r="G59" s="7" t="inlineStr">
        <is>
          <t>Closed</t>
        </is>
      </c>
      <c r="H59" s="8" t="inlineStr">
        <is>
          <t>High</t>
        </is>
      </c>
      <c r="I59" s="5" t="inlineStr"/>
      <c r="J59" s="5" t="inlineStr">
        <is>
          <t>Channels / Token</t>
        </is>
      </c>
      <c r="K59" s="6" t="inlineStr">
        <is>
          <t>Chuẩn hóa: inboxes là nguồn token duy nhất (page_id + token/kênh), encrypt nhất quán, thêm endpoint update token, bỏ token per-sale</t>
        </is>
      </c>
      <c r="L59" s="5" t="inlineStr">
        <is>
          <t>2026-07-06</t>
        </is>
      </c>
      <c r="M59" s="9" t="inlineStr">
        <is>
          <t>a8ea0e3</t>
        </is>
      </c>
    </row>
    <row r="60">
      <c r="A60" s="10" t="inlineStr">
        <is>
          <t>OI-56</t>
        </is>
      </c>
      <c r="B60" s="11" t="inlineStr">
        <is>
          <t>2026-07-06 11:11</t>
        </is>
      </c>
      <c r="C60" s="12" t="inlineStr">
        <is>
          <t>Tin inbound được ingest trực tiếp trong vòng poll, không qua RabbitMQ (khách báo thiếu) → không scale, dễ mất tin khi lỗi</t>
        </is>
      </c>
      <c r="D60" s="11" t="inlineStr">
        <is>
          <t>Tech Debt</t>
        </is>
      </c>
      <c r="E60" s="11" t="inlineStr">
        <is>
          <t>Khách hàng</t>
        </is>
      </c>
      <c r="F60" s="11" t="inlineStr">
        <is>
          <t>NguyenTung309</t>
        </is>
      </c>
      <c r="G60" s="13" t="inlineStr">
        <is>
          <t>Closed</t>
        </is>
      </c>
      <c r="H60" s="19" t="inlineStr">
        <is>
          <t>Medium</t>
        </is>
      </c>
      <c r="I60" s="11" t="inlineStr"/>
      <c r="J60" s="11" t="inlineStr">
        <is>
          <t>Messaging / Polling</t>
        </is>
      </c>
      <c r="K60" s="12" t="inlineStr">
        <is>
          <t>Publish ChannelInboundMessageReceived, thêm ChannelInboundMessageConsumer (idempotent theo external_message_id)</t>
        </is>
      </c>
      <c r="L60" s="11" t="inlineStr">
        <is>
          <t>2026-07-06</t>
        </is>
      </c>
      <c r="M60" s="15" t="inlineStr">
        <is>
          <t>50dae78</t>
        </is>
      </c>
    </row>
    <row r="61">
      <c r="A61" s="4" t="inlineStr">
        <is>
          <t>OI-57</t>
        </is>
      </c>
      <c r="B61" s="5" t="inlineStr">
        <is>
          <t>2026-07-06 15:51</t>
        </is>
      </c>
      <c r="C61" s="6" t="inlineStr">
        <is>
          <t>Race condition lúc khởi động: kiểm tra schema khi DB clawbot chưa online (đang recovery) → app crash</t>
        </is>
      </c>
      <c r="D61" s="5" t="inlineStr">
        <is>
          <t>Bug</t>
        </is>
      </c>
      <c r="E61" s="5" t="inlineStr">
        <is>
          <t>Runtime log</t>
        </is>
      </c>
      <c r="F61" s="5" t="inlineStr">
        <is>
          <t>NguyenTung309</t>
        </is>
      </c>
      <c r="G61" s="7" t="inlineStr">
        <is>
          <t>Closed</t>
        </is>
      </c>
      <c r="H61" s="8" t="inlineStr">
        <is>
          <t>High</t>
        </is>
      </c>
      <c r="I61" s="5" t="inlineStr"/>
      <c r="J61" s="5" t="inlineStr">
        <is>
          <t>Startup / DB</t>
        </is>
      </c>
      <c r="K61" s="6" t="inlineStr">
        <is>
          <t>Đợi DB online trước khi schema check</t>
        </is>
      </c>
      <c r="L61" s="5" t="inlineStr">
        <is>
          <t>2026-07-06</t>
        </is>
      </c>
      <c r="M61" s="9" t="inlineStr">
        <is>
          <t>f5ebd16</t>
        </is>
      </c>
    </row>
    <row r="62">
      <c r="A62" s="10" t="inlineStr">
        <is>
          <t>OI-58</t>
        </is>
      </c>
      <c r="B62" s="11" t="inlineStr">
        <is>
          <t>2026-07-06 16:40</t>
        </is>
      </c>
      <c r="C62" s="12" t="inlineStr">
        <is>
          <t>appsettings để Server=localhost nên API/AgentService chạy trên host lại âm thầm nối vào SQL Server Windows cục bộ với DB clawbot rỗng (không phải SQL trong Docker)</t>
        </is>
      </c>
      <c r="D62" s="11" t="inlineStr">
        <is>
          <t>Config Error</t>
        </is>
      </c>
      <c r="E62" s="11" t="inlineStr">
        <is>
          <t>Dev</t>
        </is>
      </c>
      <c r="F62" s="11" t="inlineStr">
        <is>
          <t>NguyenTung309</t>
        </is>
      </c>
      <c r="G62" s="13" t="inlineStr">
        <is>
          <t>Closed</t>
        </is>
      </c>
      <c r="H62" s="16" t="inlineStr">
        <is>
          <t>Critical</t>
        </is>
      </c>
      <c r="I62" s="11" t="inlineStr"/>
      <c r="J62" s="11" t="inlineStr">
        <is>
          <t>Config / DB connection</t>
        </is>
      </c>
      <c r="K62" s="12" t="inlineStr">
        <is>
          <t>Trỏ về localhost,11433 (SQL trong Docker)</t>
        </is>
      </c>
      <c r="L62" s="11" t="inlineStr">
        <is>
          <t>2026-07-06</t>
        </is>
      </c>
      <c r="M62" s="15" t="inlineStr">
        <is>
          <t>6c67c7f</t>
        </is>
      </c>
    </row>
    <row r="63">
      <c r="A63" s="4" t="inlineStr">
        <is>
          <t>OI-59</t>
        </is>
      </c>
      <c r="B63" s="5" t="inlineStr">
        <is>
          <t>2026-07-06 16:49</t>
        </is>
      </c>
      <c r="C63" s="6" t="inlineStr">
        <is>
          <t>Google Trends RSS đổi endpoint: URL daily cũ trả 404 → trend scan rỗng</t>
        </is>
      </c>
      <c r="D63" s="5" t="inlineStr">
        <is>
          <t>Bug</t>
        </is>
      </c>
      <c r="E63" s="5" t="inlineStr">
        <is>
          <t>Runtime log</t>
        </is>
      </c>
      <c r="F63" s="5" t="inlineStr">
        <is>
          <t>NguyenTung309</t>
        </is>
      </c>
      <c r="G63" s="7" t="inlineStr">
        <is>
          <t>Closed</t>
        </is>
      </c>
      <c r="H63" s="17" t="inlineStr">
        <is>
          <t>Medium</t>
        </is>
      </c>
      <c r="I63" s="5" t="inlineStr"/>
      <c r="J63" s="5" t="inlineStr">
        <is>
          <t>Trends / Integration</t>
        </is>
      </c>
      <c r="K63" s="6" t="inlineStr">
        <is>
          <t>Đổi sang /trending/rss, parser đọc cả 2 namespace ht</t>
        </is>
      </c>
      <c r="L63" s="5" t="inlineStr">
        <is>
          <t>2026-07-06</t>
        </is>
      </c>
      <c r="M63" s="9" t="inlineStr">
        <is>
          <t>7cbdb3a</t>
        </is>
      </c>
    </row>
    <row r="64">
      <c r="A64" s="10" t="inlineStr">
        <is>
          <t>OI-60</t>
        </is>
      </c>
      <c r="B64" s="11" t="inlineStr">
        <is>
          <t>2026-07-06 23:04</t>
        </is>
      </c>
      <c r="C64" s="12" t="inlineStr">
        <is>
          <t>Gửi tin qua Pancake API v2 thất bại; thiếu senderId</t>
        </is>
      </c>
      <c r="D64" s="11" t="inlineStr">
        <is>
          <t>Bug</t>
        </is>
      </c>
      <c r="E64" s="11" t="inlineStr">
        <is>
          <t>Dev</t>
        </is>
      </c>
      <c r="F64" s="11" t="inlineStr">
        <is>
          <t>Thanglm240723</t>
        </is>
      </c>
      <c r="G64" s="13" t="inlineStr">
        <is>
          <t>Closed</t>
        </is>
      </c>
      <c r="H64" s="14" t="inlineStr">
        <is>
          <t>High</t>
        </is>
      </c>
      <c r="I64" s="11" t="inlineStr"/>
      <c r="J64" s="11" t="inlineStr">
        <is>
          <t>Channels / Pancake send</t>
        </is>
      </c>
      <c r="K64" s="12" t="inlineStr">
        <is>
          <t>Hạ URL v2 → v1 và bổ sung senderid</t>
        </is>
      </c>
      <c r="L64" s="11" t="inlineStr">
        <is>
          <t>2026-07-06</t>
        </is>
      </c>
      <c r="M64" s="15" t="inlineStr">
        <is>
          <t>99a8157</t>
        </is>
      </c>
    </row>
    <row r="65">
      <c r="A65" s="4" t="inlineStr">
        <is>
          <t>OI-61</t>
        </is>
      </c>
      <c r="B65" s="5" t="inlineStr">
        <is>
          <t>2026-07-08 16:28</t>
        </is>
      </c>
      <c r="C65" s="6" t="inlineStr">
        <is>
          <t>BUG KHÁCH BÁO (UX): chat không tự cuộn xuống tin mới nhất; modal form dài làm văng mất nút Lưu; sandbox 'Thử phản hồi' đè lên form; tên kênh hiện pageId thay vì tên thật; bảng lead hiện id thay vì tên khách + sale</t>
        </is>
      </c>
      <c r="D65" s="5" t="inlineStr">
        <is>
          <t>Bug</t>
        </is>
      </c>
      <c r="E65" s="5" t="inlineStr">
        <is>
          <t>Khách hàng</t>
        </is>
      </c>
      <c r="F65" s="5" t="inlineStr">
        <is>
          <t>NguyenTung309</t>
        </is>
      </c>
      <c r="G65" s="7" t="inlineStr">
        <is>
          <t>Closed</t>
        </is>
      </c>
      <c r="H65" s="8" t="inlineStr">
        <is>
          <t>High</t>
        </is>
      </c>
      <c r="I65" s="5" t="inlineStr"/>
      <c r="J65" s="5" t="inlineStr">
        <is>
          <t>Frontend (Inbox/Lead/Agent)</t>
        </is>
      </c>
      <c r="K65" s="6" t="inlineStr">
        <is>
          <t>Neo đáy khi mở chat, modal max-h + body scroll, sandbox thành block cố định, thêm field rename inbox, LeadDto join contacts/users</t>
        </is>
      </c>
      <c r="L65" s="5" t="inlineStr">
        <is>
          <t>2026-07-08</t>
        </is>
      </c>
      <c r="M65" s="9" t="inlineStr">
        <is>
          <t>5cee084</t>
        </is>
      </c>
    </row>
    <row r="66">
      <c r="A66" s="10" t="inlineStr">
        <is>
          <t>OI-62</t>
        </is>
      </c>
      <c r="B66" s="11" t="inlineStr">
        <is>
          <t>2026-07-08 16:28</t>
        </is>
      </c>
      <c r="C66" s="12" t="inlineStr">
        <is>
          <t>Tenant drift: poller ingest bằng demo resolver toàn cục thay vì inbox.TenantId → lead bị gán sai chủ sở hữu; nhiều bản ghi có inbox_id NULL</t>
        </is>
      </c>
      <c r="D66" s="11" t="inlineStr">
        <is>
          <t>Data Issue</t>
        </is>
      </c>
      <c r="E66" s="11" t="inlineStr">
        <is>
          <t>Dev</t>
        </is>
      </c>
      <c r="F66" s="11" t="inlineStr">
        <is>
          <t>NguyenTung309</t>
        </is>
      </c>
      <c r="G66" s="13" t="inlineStr">
        <is>
          <t>Closed</t>
        </is>
      </c>
      <c r="H66" s="14" t="inlineStr">
        <is>
          <t>High</t>
        </is>
      </c>
      <c r="I66" s="11" t="inlineStr"/>
      <c r="J66" s="11" t="inlineStr">
        <is>
          <t>Polling / Multi-tenant</t>
        </is>
      </c>
      <c r="K66" s="12" t="inlineStr">
        <is>
          <t>Ingest theo inbox.TenantId, ingestor self-heal inbox_id NULL, chạy backfill_lead_owners.sql</t>
        </is>
      </c>
      <c r="L66" s="11" t="inlineStr">
        <is>
          <t>2026-07-08</t>
        </is>
      </c>
      <c r="M66" s="15" t="inlineStr">
        <is>
          <t>5cee084</t>
        </is>
      </c>
    </row>
    <row r="67">
      <c r="A67" s="4" t="inlineStr">
        <is>
          <t>OI-63</t>
        </is>
      </c>
      <c r="B67" s="5" t="inlineStr">
        <is>
          <t>2026-07-08 16:28</t>
        </is>
      </c>
      <c r="C67" s="6" t="inlineStr">
        <is>
          <t>Pancake stale: API list v2 trả updated_at cũ nên watermark bỏ sót tin → hội thoại không cập nhật</t>
        </is>
      </c>
      <c r="D67" s="5" t="inlineStr">
        <is>
          <t>Bug</t>
        </is>
      </c>
      <c r="E67" s="5" t="inlineStr">
        <is>
          <t>Khách hàng</t>
        </is>
      </c>
      <c r="F67" s="5" t="inlineStr">
        <is>
          <t>NguyenTung309</t>
        </is>
      </c>
      <c r="G67" s="7" t="inlineStr">
        <is>
          <t>Closed</t>
        </is>
      </c>
      <c r="H67" s="8" t="inlineStr">
        <is>
          <t>High</t>
        </is>
      </c>
      <c r="I67" s="5" t="inlineStr"/>
      <c r="J67" s="5" t="inlineStr">
        <is>
          <t>Polling / Pancake</t>
        </is>
      </c>
      <c r="K67" s="6" t="inlineStr">
        <is>
          <t>Quét 10 hội thoại gần nhất mỗi 60s, bỏ qua watermark; thêm diagnose_pancake_stale.ps1</t>
        </is>
      </c>
      <c r="L67" s="5" t="inlineStr">
        <is>
          <t>2026-07-08</t>
        </is>
      </c>
      <c r="M67" s="9" t="inlineStr">
        <is>
          <t>5cee084</t>
        </is>
      </c>
    </row>
    <row r="68">
      <c r="A68" s="10" t="inlineStr">
        <is>
          <t>OI-64</t>
        </is>
      </c>
      <c r="B68" s="11" t="inlineStr">
        <is>
          <t>2026-07-08 16:28</t>
        </is>
      </c>
      <c r="C68" s="12" t="inlineStr">
        <is>
          <t>ChatAgent bỏ qua config.SystemPrompt theo tenant (chỉ sandbox dùng) → agent trả lời không đúng persona đã cấu hình</t>
        </is>
      </c>
      <c r="D68" s="11" t="inlineStr">
        <is>
          <t>Bug</t>
        </is>
      </c>
      <c r="E68" s="11" t="inlineStr">
        <is>
          <t>Dev</t>
        </is>
      </c>
      <c r="F68" s="11" t="inlineStr">
        <is>
          <t>NguyenTung309</t>
        </is>
      </c>
      <c r="G68" s="13" t="inlineStr">
        <is>
          <t>Closed</t>
        </is>
      </c>
      <c r="H68" s="19" t="inlineStr">
        <is>
          <t>Medium</t>
        </is>
      </c>
      <c r="I68" s="11" t="inlineStr"/>
      <c r="J68" s="11" t="inlineStr">
        <is>
          <t>AI / Agent prompt</t>
        </is>
      </c>
      <c r="K68" s="12" t="inlineStr">
        <is>
          <t>ChatAgent đọc SystemPrompt theo tenant; áp guardrail ở chat/sandbox/orchestrator</t>
        </is>
      </c>
      <c r="L68" s="11" t="inlineStr">
        <is>
          <t>2026-07-08</t>
        </is>
      </c>
      <c r="M68" s="15" t="inlineStr">
        <is>
          <t>5cee084</t>
        </is>
      </c>
    </row>
    <row r="69">
      <c r="A69" s="4" t="inlineStr">
        <is>
          <t>OI-65</t>
        </is>
      </c>
      <c r="B69" s="5" t="inlineStr">
        <is>
          <t>2026-07-09 20:20</t>
        </is>
      </c>
      <c r="C69" s="6" t="inlineStr">
        <is>
          <t>Tin gửi đi bị lưu 2 lần (lưu local khi gửi + poller ingest lại echo từ kênh) → danh sách tin trùng</t>
        </is>
      </c>
      <c r="D69" s="5" t="inlineStr">
        <is>
          <t>Bug</t>
        </is>
      </c>
      <c r="E69" s="5" t="inlineStr">
        <is>
          <t>Dev</t>
        </is>
      </c>
      <c r="F69" s="5" t="inlineStr">
        <is>
          <t>NguyenTung309</t>
        </is>
      </c>
      <c r="G69" s="7" t="inlineStr">
        <is>
          <t>Closed</t>
        </is>
      </c>
      <c r="H69" s="8" t="inlineStr">
        <is>
          <t>High</t>
        </is>
      </c>
      <c r="I69" s="5" t="inlineStr"/>
      <c r="J69" s="5" t="inlineStr">
        <is>
          <t>Inbox / Dedup</t>
        </is>
      </c>
      <c r="K69" s="6" t="inlineStr">
        <is>
          <t>StripHtml trước IsDuplicateAsync; SendAsync trả về id tin của kênh lưu vào ExternalMessageId; script fix_duplicate_outbound_echo.sql xóa row trùng</t>
        </is>
      </c>
      <c r="L69" s="5" t="inlineStr">
        <is>
          <t>2026-07-09</t>
        </is>
      </c>
      <c r="M69" s="9" t="inlineStr">
        <is>
          <t>64eae4f</t>
        </is>
      </c>
    </row>
    <row r="70">
      <c r="A70" s="10" t="inlineStr">
        <is>
          <t>OI-66</t>
        </is>
      </c>
      <c r="B70" s="11" t="inlineStr">
        <is>
          <t>2026-07-10 23:14</t>
        </is>
      </c>
      <c r="C70" s="12" t="inlineStr">
        <is>
          <t>ParseAsync không parse đúng format webhook thật của Pancake → luôn trả rỗng, toàn bộ đường webhook là dead code; job trả lời comment gọi nhầm reply_inbox</t>
        </is>
      </c>
      <c r="D70" s="11" t="inlineStr">
        <is>
          <t>Bug</t>
        </is>
      </c>
      <c r="E70" s="11" t="inlineStr">
        <is>
          <t>Dev</t>
        </is>
      </c>
      <c r="F70" s="11" t="inlineStr">
        <is>
          <t>NguyenTung309</t>
        </is>
      </c>
      <c r="G70" s="13" t="inlineStr">
        <is>
          <t>Closed</t>
        </is>
      </c>
      <c r="H70" s="16" t="inlineStr">
        <is>
          <t>Critical</t>
        </is>
      </c>
      <c r="I70" s="11" t="inlineStr"/>
      <c r="J70" s="11" t="inlineStr">
        <is>
          <t>Channels / Comment auto-reply</t>
        </is>
      </c>
      <c r="K70" s="12" t="inlineStr">
        <is>
          <t>Parse đúng {page_id, event_type, data{...}}; thêm ICommentChannelAdapter (reply_comment + private_replies); resolve from_id qua ContactExternalIds</t>
        </is>
      </c>
      <c r="L70" s="11" t="inlineStr">
        <is>
          <t>2026-07-10</t>
        </is>
      </c>
      <c r="M70" s="15" t="inlineStr">
        <is>
          <t>01a9558</t>
        </is>
      </c>
    </row>
    <row r="71">
      <c r="A71" s="4" t="inlineStr">
        <is>
          <t>OI-67</t>
        </is>
      </c>
      <c r="B71" s="5" t="inlineStr">
        <is>
          <t>2026-07-11 11:12</t>
        </is>
      </c>
      <c r="C71" s="6" t="inlineStr">
        <is>
          <t>LlmConfigResolver không fallback khi config được bind đã bị inactive → agent không gọi được LLM</t>
        </is>
      </c>
      <c r="D71" s="5" t="inlineStr">
        <is>
          <t>Bug</t>
        </is>
      </c>
      <c r="E71" s="5" t="inlineStr">
        <is>
          <t>Dev</t>
        </is>
      </c>
      <c r="F71" s="5" t="inlineStr">
        <is>
          <t>NguyenTung309</t>
        </is>
      </c>
      <c r="G71" s="7" t="inlineStr">
        <is>
          <t>Closed</t>
        </is>
      </c>
      <c r="H71" s="8" t="inlineStr">
        <is>
          <t>High</t>
        </is>
      </c>
      <c r="I71" s="5" t="inlineStr"/>
      <c r="J71" s="5" t="inlineStr">
        <is>
          <t>AI / LLM config</t>
        </is>
      </c>
      <c r="K71" s="6" t="inlineStr">
        <is>
          <t>Fallback về config active cũ nhất khi config bind inactive</t>
        </is>
      </c>
      <c r="L71" s="5" t="inlineStr">
        <is>
          <t>2026-07-11</t>
        </is>
      </c>
      <c r="M71" s="9" t="inlineStr">
        <is>
          <t>616ba49</t>
        </is>
      </c>
    </row>
    <row r="72">
      <c r="A72" s="10" t="inlineStr">
        <is>
          <t>OI-68</t>
        </is>
      </c>
      <c r="B72" s="11" t="inlineStr">
        <is>
          <t>2026-07-11 17:09</t>
        </is>
      </c>
      <c r="C72" s="12" t="inlineStr">
        <is>
          <t>Plan generation lỗi khi LLM trả task ID dạng số và khi trả JSON không hợp lệ</t>
        </is>
      </c>
      <c r="D72" s="11" t="inlineStr">
        <is>
          <t>Bug</t>
        </is>
      </c>
      <c r="E72" s="11" t="inlineStr">
        <is>
          <t>Dev</t>
        </is>
      </c>
      <c r="F72" s="11" t="inlineStr">
        <is>
          <t>NguyenTung309</t>
        </is>
      </c>
      <c r="G72" s="13" t="inlineStr">
        <is>
          <t>Closed</t>
        </is>
      </c>
      <c r="H72" s="19" t="inlineStr">
        <is>
          <t>Medium</t>
        </is>
      </c>
      <c r="I72" s="11" t="inlineStr"/>
      <c r="J72" s="11" t="inlineStr">
        <is>
          <t>AI / Orchestration</t>
        </is>
      </c>
      <c r="K72" s="12" t="inlineStr">
        <is>
          <t>Xử lý numeric task ID + tự sửa sau reply JSON invalid, thêm test</t>
        </is>
      </c>
      <c r="L72" s="11" t="inlineStr">
        <is>
          <t>2026-07-11</t>
        </is>
      </c>
      <c r="M72" s="15" t="inlineStr">
        <is>
          <t>4dc483f</t>
        </is>
      </c>
    </row>
    <row r="73">
      <c r="A73" s="4" t="inlineStr">
        <is>
          <t>OI-69</t>
        </is>
      </c>
      <c r="B73" s="5" t="inlineStr">
        <is>
          <t>2026-07-12 15:53</t>
        </is>
      </c>
      <c r="C73" s="6" t="inlineStr">
        <is>
          <t>Draft AI bị trùng: khách nhắn liên tục thì bản nháp chờ duyệt chồng lên nhau; toggle 'Duyệt trước khi gửi' của SaleAssist là toggle chết, không nối vào cờ tenant thật</t>
        </is>
      </c>
      <c r="D73" s="5" t="inlineStr">
        <is>
          <t>Bug</t>
        </is>
      </c>
      <c r="E73" s="5" t="inlineStr">
        <is>
          <t>Dev</t>
        </is>
      </c>
      <c r="F73" s="5" t="inlineStr">
        <is>
          <t>NguyenTung309</t>
        </is>
      </c>
      <c r="G73" s="7" t="inlineStr">
        <is>
          <t>Closed</t>
        </is>
      </c>
      <c r="H73" s="8" t="inlineStr">
        <is>
          <t>High</t>
        </is>
      </c>
      <c r="I73" s="5" t="inlineStr"/>
      <c r="J73" s="5" t="inlineStr">
        <is>
          <t>Chat / Approval gate</t>
        </is>
      </c>
      <c r="K73" s="6" t="inlineStr">
        <is>
          <t>Bỏ qua auto-reply khi đã có draft pending_approval; đồng bộ toggle với cờ tenant thật qua orchestration query</t>
        </is>
      </c>
      <c r="L73" s="5" t="inlineStr">
        <is>
          <t>2026-07-12</t>
        </is>
      </c>
      <c r="M73" s="9" t="inlineStr">
        <is>
          <t>8361927</t>
        </is>
      </c>
    </row>
    <row r="74">
      <c r="A74" s="10" t="inlineStr">
        <is>
          <t>OI-70</t>
        </is>
      </c>
      <c r="B74" s="11" t="inlineStr">
        <is>
          <t>2026-07-14 11:01</t>
        </is>
      </c>
      <c r="C74" s="12" t="inlineStr">
        <is>
          <t>Màn hình treo khi chờ agent chạy; job chạy ngầm không ai biết trạng thái hay khi nào thất bại</t>
        </is>
      </c>
      <c r="D74" s="11" t="inlineStr">
        <is>
          <t>UX / Bug</t>
        </is>
      </c>
      <c r="E74" s="11" t="inlineStr">
        <is>
          <t>Khách hàng</t>
        </is>
      </c>
      <c r="F74" s="11" t="inlineStr">
        <is>
          <t>NguyenTung309</t>
        </is>
      </c>
      <c r="G74" s="13" t="inlineStr">
        <is>
          <t>Closed</t>
        </is>
      </c>
      <c r="H74" s="14" t="inlineStr">
        <is>
          <t>High</t>
        </is>
      </c>
      <c r="I74" s="11" t="inlineStr"/>
      <c r="J74" s="11" t="inlineStr">
        <is>
          <t>Platform / Background jobs</t>
        </is>
      </c>
      <c r="K74" s="12" t="inlineStr">
        <is>
          <t>Mọi LLM call trả 202 + jobId, JobRunner chạy nền (queue 'ai' riêng, 3 retry), notification + deep link tới kết quả; lỗi được PII-redact</t>
        </is>
      </c>
      <c r="L74" s="11" t="inlineStr">
        <is>
          <t>2026-07-14</t>
        </is>
      </c>
      <c r="M74" s="15" t="inlineStr">
        <is>
          <t>a7bf251</t>
        </is>
      </c>
    </row>
    <row r="75">
      <c r="A75" s="4" t="inlineStr">
        <is>
          <t>OI-71</t>
        </is>
      </c>
      <c r="B75" s="5" t="inlineStr">
        <is>
          <t>2026-07-17 08:15</t>
        </is>
      </c>
      <c r="C75" s="6" t="inlineStr">
        <is>
          <t>Sale gửi tay 1 lần là AI tắt vĩnh viễn; tin cuối của khách bị treo không ai trả lời</t>
        </is>
      </c>
      <c r="D75" s="5" t="inlineStr">
        <is>
          <t>Bug</t>
        </is>
      </c>
      <c r="E75" s="5" t="inlineStr">
        <is>
          <t>Khách hàng</t>
        </is>
      </c>
      <c r="F75" s="5" t="inlineStr">
        <is>
          <t>NguyenTung309</t>
        </is>
      </c>
      <c r="G75" s="7" t="inlineStr">
        <is>
          <t>Closed</t>
        </is>
      </c>
      <c r="H75" s="8" t="inlineStr">
        <is>
          <t>High</t>
        </is>
      </c>
      <c r="I75" s="5" t="inlineStr"/>
      <c r="J75" s="5" t="inlineStr">
        <is>
          <t>AI auto-reply</t>
        </is>
      </c>
      <c r="K75" s="6" t="inlineStr">
        <is>
          <t>Tạm dừng AI theo cửa sổ cấu hình (mặc định 5 phút), AiAutoReplyResumeJob quét mỗi phút để bật lại và trả lời tin đang treo; thêm endpoint regenerate</t>
        </is>
      </c>
      <c r="L75" s="5" t="inlineStr">
        <is>
          <t>2026-07-17</t>
        </is>
      </c>
      <c r="M75" s="9" t="inlineStr">
        <is>
          <t>0fc4576</t>
        </is>
      </c>
    </row>
    <row r="76">
      <c r="A76" s="10" t="inlineStr">
        <is>
          <t>OI-72</t>
        </is>
      </c>
      <c r="B76" s="11" t="inlineStr">
        <is>
          <t>2026-07-17 08:15</t>
        </is>
      </c>
      <c r="C76" s="12" t="inlineStr">
        <is>
          <t>Tin gửi thất bại không được retry, không có vòng đời trạng thái gửi</t>
        </is>
      </c>
      <c r="D76" s="11" t="inlineStr">
        <is>
          <t>Bug</t>
        </is>
      </c>
      <c r="E76" s="11" t="inlineStr">
        <is>
          <t>Runtime log</t>
        </is>
      </c>
      <c r="F76" s="11" t="inlineStr">
        <is>
          <t>NguyenTung309</t>
        </is>
      </c>
      <c r="G76" s="13" t="inlineStr">
        <is>
          <t>Closed</t>
        </is>
      </c>
      <c r="H76" s="14" t="inlineStr">
        <is>
          <t>High</t>
        </is>
      </c>
      <c r="I76" s="11" t="inlineStr"/>
      <c r="J76" s="11" t="inlineStr">
        <is>
          <t>Outbound delivery</t>
        </is>
      </c>
      <c r="K76" s="12" t="inlineStr">
        <is>
          <t>FailedMessageRetryService + endpoint retry, ChatSessionRecoveryService, trạng thái pending_send/send_failed</t>
        </is>
      </c>
      <c r="L76" s="11" t="inlineStr">
        <is>
          <t>2026-07-17</t>
        </is>
      </c>
      <c r="M76" s="15" t="inlineStr">
        <is>
          <t>0fc4576</t>
        </is>
      </c>
    </row>
    <row r="77">
      <c r="A77" s="4" t="inlineStr">
        <is>
          <t>OI-73</t>
        </is>
      </c>
      <c r="B77" s="5" t="inlineStr">
        <is>
          <t>2026-07-17 08:15</t>
        </is>
      </c>
      <c r="C77" s="6" t="inlineStr">
        <is>
          <t>KB không truy xuất được khi tenant chưa bật embedding config → AI trả lời không đúng kiến thức</t>
        </is>
      </c>
      <c r="D77" s="5" t="inlineStr">
        <is>
          <t>Bug</t>
        </is>
      </c>
      <c r="E77" s="5" t="inlineStr">
        <is>
          <t>Dev</t>
        </is>
      </c>
      <c r="F77" s="5" t="inlineStr">
        <is>
          <t>NguyenTung309</t>
        </is>
      </c>
      <c r="G77" s="7" t="inlineStr">
        <is>
          <t>Closed</t>
        </is>
      </c>
      <c r="H77" s="8" t="inlineStr">
        <is>
          <t>High</t>
        </is>
      </c>
      <c r="I77" s="5" t="inlineStr"/>
      <c r="J77" s="5" t="inlineStr">
        <is>
          <t>AI / RAG - KB</t>
        </is>
      </c>
      <c r="K77" s="6" t="inlineStr">
        <is>
          <t>Mặc định chuyển sang LLM mode: LlmRagRetriever đọc ContentMd từ SQL, prefilter keyword rồi hỏi LLM (fallback keyword-ranking khi LLM lỗi)</t>
        </is>
      </c>
      <c r="L77" s="5" t="inlineStr">
        <is>
          <t>2026-07-17</t>
        </is>
      </c>
      <c r="M77" s="9" t="inlineStr">
        <is>
          <t>0fc4576</t>
        </is>
      </c>
    </row>
    <row r="78">
      <c r="A78" s="10" t="inlineStr">
        <is>
          <t>OI-74</t>
        </is>
      </c>
      <c r="B78" s="11" t="inlineStr">
        <is>
          <t>2026-07-19 22:41</t>
        </is>
      </c>
      <c r="C78" s="12" t="inlineStr">
        <is>
          <t>Không có chỗ xem lỗi hệ thống: exception chỉ nằm trong console, audit_logs lẫn nhiều bản ghi kỹ thuật</t>
        </is>
      </c>
      <c r="D78" s="11" t="inlineStr">
        <is>
          <t>Observability</t>
        </is>
      </c>
      <c r="E78" s="11" t="inlineStr">
        <is>
          <t>Dev</t>
        </is>
      </c>
      <c r="F78" s="11" t="inlineStr">
        <is>
          <t>NguyenTung309</t>
        </is>
      </c>
      <c r="G78" s="13" t="inlineStr">
        <is>
          <t>Closed</t>
        </is>
      </c>
      <c r="H78" s="19" t="inlineStr">
        <is>
          <t>Medium</t>
        </is>
      </c>
      <c r="I78" s="11" t="inlineStr"/>
      <c r="J78" s="11" t="inlineStr">
        <is>
          <t>Admin / Logging</t>
        </is>
      </c>
      <c r="K78" s="12" t="inlineStr">
        <is>
          <t>Ghi sự kiện Serilog từ Warning trở lên vào system_logs, thêm tab admin có filter + stack trace, gom HTTP 2xx/4xx/5xx theo giờ</t>
        </is>
      </c>
      <c r="L78" s="11" t="inlineStr">
        <is>
          <t>2026-07-19</t>
        </is>
      </c>
      <c r="M78" s="15" t="inlineStr">
        <is>
          <t>c827df3</t>
        </is>
      </c>
    </row>
    <row r="79">
      <c r="A79" s="4" t="inlineStr">
        <is>
          <t>OI-75</t>
        </is>
      </c>
      <c r="B79" s="5" t="inlineStr">
        <is>
          <t>2026-07-22 08:32</t>
        </is>
      </c>
      <c r="C79" s="6" t="inlineStr">
        <is>
          <t>Artifact của Playwright (report, test-results, thư mục tạm) bị commit vào repo</t>
        </is>
      </c>
      <c r="D79" s="5" t="inlineStr">
        <is>
          <t>Repo hygiene</t>
        </is>
      </c>
      <c r="E79" s="5" t="inlineStr">
        <is>
          <t>Dev</t>
        </is>
      </c>
      <c r="F79" s="5" t="inlineStr">
        <is>
          <t>NguyenTung309</t>
        </is>
      </c>
      <c r="G79" s="7" t="inlineStr">
        <is>
          <t>Closed</t>
        </is>
      </c>
      <c r="H79" s="7" t="inlineStr">
        <is>
          <t>Low</t>
        </is>
      </c>
      <c r="I79" s="5" t="inlineStr"/>
      <c r="J79" s="5" t="inlineStr">
        <is>
          <t>Repo / .gitignore</t>
        </is>
      </c>
      <c r="K79" s="6" t="inlineStr">
        <is>
          <t>Bổ sung .gitignore cho Playwright report, test-results, thư mục temp isolated</t>
        </is>
      </c>
      <c r="L79" s="5" t="inlineStr">
        <is>
          <t>2026-07-22</t>
        </is>
      </c>
      <c r="M79" s="9" t="inlineStr">
        <is>
          <t>c9117f4</t>
        </is>
      </c>
    </row>
    <row r="80">
      <c r="A80" s="10" t="inlineStr">
        <is>
          <t>OI-76</t>
        </is>
      </c>
      <c r="B80" s="11" t="inlineStr">
        <is>
          <t>2026-07-25 19:32</t>
        </is>
      </c>
      <c r="C80" s="12" t="inlineStr">
        <is>
          <t>LLM trả về không có usage block (provider dạng gateway) → mọi call ghi 0 token, 0 chi phí; trần chi phí tháng mất tác dụng từ 2026-07-07; UI hiện chi phí = 0</t>
        </is>
      </c>
      <c r="D80" s="11" t="inlineStr">
        <is>
          <t>Bug</t>
        </is>
      </c>
      <c r="E80" s="11" t="inlineStr">
        <is>
          <t>Dev</t>
        </is>
      </c>
      <c r="F80" s="11" t="inlineStr">
        <is>
          <t>NguyenTung309</t>
        </is>
      </c>
      <c r="G80" s="13" t="inlineStr">
        <is>
          <t>Closed</t>
        </is>
      </c>
      <c r="H80" s="16" t="inlineStr">
        <is>
          <t>Critical</t>
        </is>
      </c>
      <c r="I80" s="11" t="inlineStr"/>
      <c r="J80" s="11" t="inlineStr">
        <is>
          <t>AI / Cost ledger</t>
        </is>
      </c>
      <c r="K80" s="12" t="inlineStr">
        <is>
          <t>LlmTokenEstimator đếm token cục bộ (Microsoft.ML.Tokenizers), gắn cờ IsEstimated vào claude_cost_ledger (migration 0086); cảnh báo khi thiếu đơn giá; format chi phí 4 chữ số thập phân</t>
        </is>
      </c>
      <c r="L80" s="11" t="inlineStr">
        <is>
          <t>2026-07-25</t>
        </is>
      </c>
      <c r="M80" s="15" t="inlineStr">
        <is>
          <t>c6ab539</t>
        </is>
      </c>
    </row>
    <row r="81">
      <c r="A81" s="4" t="inlineStr">
        <is>
          <t>OI-77</t>
        </is>
      </c>
      <c r="B81" s="5" t="inlineStr">
        <is>
          <t>2026-07-25 19:32</t>
        </is>
      </c>
      <c r="C81" s="6" t="inlineStr">
        <is>
          <t>Lỗi FK__leads__contact_i__0C85DE4D lặp lại (11k dòng log): adapter lấy contact_id thẳng từ kế hoạch LLM, RequiredGuid chỉ kiểm tra định dạng GUID nên id bịa đặt vẫn xuống SaveChanges</t>
        </is>
      </c>
      <c r="D81" s="5" t="inlineStr">
        <is>
          <t>Bug</t>
        </is>
      </c>
      <c r="E81" s="5" t="inlineStr">
        <is>
          <t>Runtime log / system_logs</t>
        </is>
      </c>
      <c r="F81" s="5" t="inlineStr">
        <is>
          <t>NguyenTung309</t>
        </is>
      </c>
      <c r="G81" s="7" t="inlineStr">
        <is>
          <t>Closed</t>
        </is>
      </c>
      <c r="H81" s="18" t="inlineStr">
        <is>
          <t>Critical</t>
        </is>
      </c>
      <c r="I81" s="5" t="inlineStr"/>
      <c r="J81" s="5" t="inlineStr">
        <is>
          <t>Agent / Lead pipeline</t>
        </is>
      </c>
      <c r="K81" s="6" t="inlineStr">
        <is>
          <t>Kiểm tra contact tồn tại trong LeadAgentRunner.CreateWithSkillsAsync trước khi chạy skill; ném KeyNotFoundException → gRPC trả NotFound</t>
        </is>
      </c>
      <c r="L81" s="5" t="inlineStr">
        <is>
          <t>2026-07-25</t>
        </is>
      </c>
      <c r="M81" s="9" t="inlineStr">
        <is>
          <t>784c883</t>
        </is>
      </c>
    </row>
    <row r="82">
      <c r="A82" s="10" t="inlineStr">
        <is>
          <t>OI-78</t>
        </is>
      </c>
      <c r="B82" s="11" t="inlineStr">
        <is>
          <t>2026-07-25 19:32</t>
        </is>
      </c>
      <c r="C82" s="12" t="inlineStr">
        <is>
          <t>AgentScheduleWorker dùng chung 1 scope/AppDbContext cho batch 10 schedule → 1 lead lỗi làm 6 schedule cùng fail và agent_traces bị rollback, xóa mất bằng chứng</t>
        </is>
      </c>
      <c r="D82" s="11" t="inlineStr">
        <is>
          <t>Bug</t>
        </is>
      </c>
      <c r="E82" s="11" t="inlineStr">
        <is>
          <t>Runtime log</t>
        </is>
      </c>
      <c r="F82" s="11" t="inlineStr">
        <is>
          <t>NguyenTung309</t>
        </is>
      </c>
      <c r="G82" s="13" t="inlineStr">
        <is>
          <t>Closed</t>
        </is>
      </c>
      <c r="H82" s="14" t="inlineStr">
        <is>
          <t>High</t>
        </is>
      </c>
      <c r="I82" s="11" t="inlineStr"/>
      <c r="J82" s="11" t="inlineStr">
        <is>
          <t>Agent / Scheduler</t>
        </is>
      </c>
      <c r="K82" s="12" t="inlineStr">
        <is>
          <t>Mỗi schedule một scope riêng (giống ContentReviewDispatchWorker)</t>
        </is>
      </c>
      <c r="L82" s="11" t="inlineStr">
        <is>
          <t>2026-07-25</t>
        </is>
      </c>
      <c r="M82" s="15" t="inlineStr">
        <is>
          <t>784c883</t>
        </is>
      </c>
    </row>
    <row r="83">
      <c r="A83" s="4" t="inlineStr">
        <is>
          <t>OI-79</t>
        </is>
      </c>
      <c r="B83" s="5" t="inlineStr">
        <is>
          <t>2026-07-26 17:05</t>
        </is>
      </c>
      <c r="C83" s="6" t="inlineStr">
        <is>
          <t>Sub-agent trong vòng ReAct trả Success=true dù chỉ từ chối bằng văn bản hoặc tool call thất bại → orchestration báo hoàn thành công việc chưa hề chạy</t>
        </is>
      </c>
      <c r="D83" s="5" t="inlineStr">
        <is>
          <t>Bug</t>
        </is>
      </c>
      <c r="E83" s="5" t="inlineStr">
        <is>
          <t>Dev</t>
        </is>
      </c>
      <c r="F83" s="5" t="inlineStr">
        <is>
          <t>NguyenTung309</t>
        </is>
      </c>
      <c r="G83" s="7" t="inlineStr">
        <is>
          <t>Closed</t>
        </is>
      </c>
      <c r="H83" s="18" t="inlineStr">
        <is>
          <t>Critical</t>
        </is>
      </c>
      <c r="I83" s="5" t="inlineStr"/>
      <c r="J83" s="5" t="inlineStr">
        <is>
          <t>AI / Back-office agents</t>
        </is>
      </c>
      <c r="K83" s="6" t="inlineStr">
        <is>
          <t>Tách BackOfficeGuardrail khỏi BaseGuardrail; đánh dấu unresolvedToolError; báo lỗi refused_without_tool_use / unknown_tool. Kiểm chứng: research-agent từ 0 → 3 tool_executed, 130/130 test pass</t>
        </is>
      </c>
      <c r="L83" s="5" t="inlineStr">
        <is>
          <t>2026-07-26</t>
        </is>
      </c>
      <c r="M83" s="9" t="inlineStr">
        <is>
          <t>283d8dd</t>
        </is>
      </c>
    </row>
    <row r="84">
      <c r="A84" s="10" t="inlineStr">
        <is>
          <t>OI-80</t>
        </is>
      </c>
      <c r="B84" s="11" t="inlineStr">
        <is>
          <t>2026-08-01 09:48</t>
        </is>
      </c>
      <c r="C84" s="12" t="inlineStr">
        <is>
          <t>Docker publish SQL Server trên 127.0.0.1:11433 (chỉ IPv4) nhưng Windows resolve localhost thành ::1 trước → gói SYN bị drop, connection treo hết Connect Timeout. Triệu chứng hiện ra là 'Timeout expired... obtaining a connection from the pool' (giống hệt pool exhaustion). BackgroundServiceExceptionBehavior mặc định StopHost nên AgentService thoát với mã -532462766 trước khi Kestrel bind</t>
        </is>
      </c>
      <c r="D84" s="11" t="inlineStr">
        <is>
          <t>Bug</t>
        </is>
      </c>
      <c r="E84" s="11" t="inlineStr">
        <is>
          <t>Runtime log</t>
        </is>
      </c>
      <c r="F84" s="11" t="inlineStr">
        <is>
          <t>NguyenTung309</t>
        </is>
      </c>
      <c r="G84" s="13" t="inlineStr">
        <is>
          <t>Closed</t>
        </is>
      </c>
      <c r="H84" s="16" t="inlineStr">
        <is>
          <t>Critical</t>
        </is>
      </c>
      <c r="I84" s="11" t="inlineStr"/>
      <c r="J84" s="11" t="inlineStr">
        <is>
          <t>Config / SQL connection</t>
        </is>
      </c>
      <c r="K84" s="12" t="inlineStr">
        <is>
          <t>Đổi connection string sang 127.0.0.1 (IPv4 loopback). Đo với Connect Timeout=8: localhost fail sau 8118ms, 127.0.0.1 kết nối 135ms</t>
        </is>
      </c>
      <c r="L84" s="11" t="inlineStr">
        <is>
          <t>2026-08-01</t>
        </is>
      </c>
      <c r="M84" s="15" t="inlineStr">
        <is>
          <t>ecce632</t>
        </is>
      </c>
    </row>
    <row r="85">
      <c r="A85" s="4" t="inlineStr">
        <is>
          <t>OI-81</t>
        </is>
      </c>
      <c r="B85" s="5" t="inlineStr">
        <is>
          <t>2026-08-05 20:54</t>
        </is>
      </c>
      <c r="C85" s="6" t="inlineStr">
        <is>
          <t>Khách gửi nhiều tin ngắn liên tiếp → AI sinh 1 reply cho từng tin, trả lời lời chào trước khi đọc hết câu hỏi</t>
        </is>
      </c>
      <c r="D85" s="5" t="inlineStr">
        <is>
          <t>Bug</t>
        </is>
      </c>
      <c r="E85" s="5" t="inlineStr">
        <is>
          <t>Khách hàng</t>
        </is>
      </c>
      <c r="F85" s="5" t="inlineStr">
        <is>
          <t>thanglm240723</t>
        </is>
      </c>
      <c r="G85" s="7" t="inlineStr">
        <is>
          <t>Closed</t>
        </is>
      </c>
      <c r="H85" s="17" t="inlineStr">
        <is>
          <t>Medium</t>
        </is>
      </c>
      <c r="I85" s="5" t="inlineStr"/>
      <c r="J85" s="5" t="inlineStr">
        <is>
          <t>AI auto-reply</t>
        </is>
      </c>
      <c r="K85" s="6" t="inlineStr">
        <is>
          <t>AiReplyDebouncer: timer trượt theo hội thoại (mặc định 6s), mỗi tin mới reset đồng hồ; AiAutoReplyResumer gộp cả block tin chưa trả lời vào 1 prompt</t>
        </is>
      </c>
      <c r="L85" s="5" t="inlineStr">
        <is>
          <t>2026-08-05</t>
        </is>
      </c>
      <c r="M85" s="9" t="inlineStr">
        <is>
          <t>eb5a91f</t>
        </is>
      </c>
    </row>
  </sheetData>
  <autoFilter ref="A4:M85"/>
  <dataValidations count="3">
    <dataValidation sqref="G5:G135" showDropDown="0" showInputMessage="0" showErrorMessage="0" allowBlank="1" type="list">
      <formula1>"Open,In Progress,Closed,Deferred"</formula1>
    </dataValidation>
    <dataValidation sqref="H5:H135" showDropDown="0" showInputMessage="0" showErrorMessage="0" allowBlank="1" type="list">
      <formula1>"Critical,High,Medium,Low"</formula1>
    </dataValidation>
    <dataValidation sqref="D5:D135" showDropDown="0" showInputMessage="0" showErrorMessage="0" allowBlank="1" type="list">
      <formula1>"Bug,Build Error,Config Error,Data Issue,Security,Regression,Environment,Tech Debt,UX / Bug,Observability,Repo hygiene"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0" customWidth="1" min="1" max="1"/>
    <col width="12" customWidth="1" min="2" max="2"/>
  </cols>
  <sheetData>
    <row r="1">
      <c r="A1" s="20" t="inlineStr">
        <is>
          <t>Tổng hợp lỗi theo phân loại</t>
        </is>
      </c>
    </row>
    <row r="3">
      <c r="A3" s="21" t="inlineStr">
        <is>
          <t>Tổng số issue ghi nhận</t>
        </is>
      </c>
      <c r="B3" s="22">
        <f>COUNTA('Open Issues Log'!A5:A85)</f>
        <v/>
      </c>
    </row>
    <row r="4">
      <c r="A4" s="21" t="inlineStr">
        <is>
          <t>Critical</t>
        </is>
      </c>
      <c r="B4" s="22">
        <f>COUNTIF('Open Issues Log'!H5:H85,"Critical")</f>
        <v/>
      </c>
    </row>
    <row r="5">
      <c r="A5" s="21" t="inlineStr">
        <is>
          <t>High</t>
        </is>
      </c>
      <c r="B5" s="22">
        <f>COUNTIF('Open Issues Log'!H5:H85,"High")</f>
        <v/>
      </c>
    </row>
    <row r="6">
      <c r="A6" s="21" t="inlineStr">
        <is>
          <t>Medium</t>
        </is>
      </c>
      <c r="B6" s="22">
        <f>COUNTIF('Open Issues Log'!H5:H85,"Medium")</f>
        <v/>
      </c>
    </row>
    <row r="7">
      <c r="A7" s="21" t="inlineStr">
        <is>
          <t>Low</t>
        </is>
      </c>
      <c r="B7" s="22">
        <f>COUNTIF('Open Issues Log'!H5:H85,"Low")</f>
        <v/>
      </c>
    </row>
    <row r="8">
      <c r="A8" s="21" t="inlineStr">
        <is>
          <t>Đã đóng (Closed)</t>
        </is>
      </c>
      <c r="B8" s="22">
        <f>COUNTIF('Open Issues Log'!G5:G85,"Closed")</f>
        <v/>
      </c>
    </row>
    <row r="9">
      <c r="A9" s="21" t="inlineStr">
        <is>
          <t>Còn Open</t>
        </is>
      </c>
      <c r="B9" s="22">
        <f>COUNTIF('Open Issues Log'!G5:G85,"Open")</f>
        <v/>
      </c>
    </row>
    <row r="11">
      <c r="A11" s="23" t="inlineStr">
        <is>
          <t>Theo loại (Type)</t>
        </is>
      </c>
    </row>
    <row r="12">
      <c r="A12" s="24" t="inlineStr">
        <is>
          <t>Bug</t>
        </is>
      </c>
      <c r="B12" s="22">
        <f>COUNTIF('Open Issues Log'!D5:D85,"Bug")</f>
        <v/>
      </c>
    </row>
    <row r="13">
      <c r="A13" s="24" t="inlineStr">
        <is>
          <t>Build Error</t>
        </is>
      </c>
      <c r="B13" s="22">
        <f>COUNTIF('Open Issues Log'!D5:D85,"Build Error")</f>
        <v/>
      </c>
    </row>
    <row r="14">
      <c r="A14" s="24" t="inlineStr">
        <is>
          <t>Config Error</t>
        </is>
      </c>
      <c r="B14" s="22">
        <f>COUNTIF('Open Issues Log'!D5:D85,"Config Error")</f>
        <v/>
      </c>
    </row>
    <row r="15">
      <c r="A15" s="24" t="inlineStr">
        <is>
          <t>Data Issue</t>
        </is>
      </c>
      <c r="B15" s="22">
        <f>COUNTIF('Open Issues Log'!D5:D85,"Data Issue")</f>
        <v/>
      </c>
    </row>
    <row r="16">
      <c r="A16" s="24" t="inlineStr">
        <is>
          <t>Environment</t>
        </is>
      </c>
      <c r="B16" s="22">
        <f>COUNTIF('Open Issues Log'!D5:D85,"Environment")</f>
        <v/>
      </c>
    </row>
    <row r="17">
      <c r="A17" s="24" t="inlineStr">
        <is>
          <t>Observability</t>
        </is>
      </c>
      <c r="B17" s="22">
        <f>COUNTIF('Open Issues Log'!D5:D85,"Observability")</f>
        <v/>
      </c>
    </row>
    <row r="18">
      <c r="A18" s="24" t="inlineStr">
        <is>
          <t>Regression</t>
        </is>
      </c>
      <c r="B18" s="22">
        <f>COUNTIF('Open Issues Log'!D5:D85,"Regression")</f>
        <v/>
      </c>
    </row>
    <row r="19">
      <c r="A19" s="24" t="inlineStr">
        <is>
          <t>Repo hygiene</t>
        </is>
      </c>
      <c r="B19" s="22">
        <f>COUNTIF('Open Issues Log'!D5:D85,"Repo hygiene")</f>
        <v/>
      </c>
    </row>
    <row r="20">
      <c r="A20" s="24" t="inlineStr">
        <is>
          <t>Security</t>
        </is>
      </c>
      <c r="B20" s="22">
        <f>COUNTIF('Open Issues Log'!D5:D85,"Security")</f>
        <v/>
      </c>
    </row>
    <row r="21">
      <c r="A21" s="24" t="inlineStr">
        <is>
          <t>Tech Debt</t>
        </is>
      </c>
      <c r="B21" s="22">
        <f>COUNTIF('Open Issues Log'!D5:D85,"Tech Debt")</f>
        <v/>
      </c>
    </row>
    <row r="22">
      <c r="A22" s="24" t="inlineStr">
        <is>
          <t>UX / Bug</t>
        </is>
      </c>
      <c r="B22" s="22">
        <f>COUNTIF('Open Issues Log'!D5:D85,"UX / Bug")</f>
        <v/>
      </c>
    </row>
    <row r="24">
      <c r="A24" s="25" t="inlineStr">
        <is>
          <t>Nguồn: git log của repo (branch thang-fix-status_chat-kb + các nhánh remote), đọc commit message và body.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2026-08-05T23:52:11Z</dcterms:created>
  <dcterms:modified xmlns:dcterms="http://purl.org/dc/terms/" xmlns:xsi="http://www.w3.org/2001/XMLSchema-instance" xsi:type="dcterms:W3CDTF">2026-08-05T23:52:11Z</dcterms:modified>
</cp:coreProperties>
</file>