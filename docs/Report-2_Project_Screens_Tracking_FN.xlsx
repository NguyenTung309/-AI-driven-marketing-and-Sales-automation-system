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"/>
    </mc:Choice>
  </mc:AlternateContent>
  <xr:revisionPtr revIDLastSave="0" documentId="13_ncr:1_{E11EBF99-C12E-4725-8016-655D5EA6E50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creens &amp; Dialogs" sheetId="1" r:id="rId1"/>
    <sheet name="Non-Functional Reqs (NFR)" sheetId="2" r:id="rId2"/>
    <sheet name="Docs-Test-Management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F13" i="3"/>
  <c r="C6" i="4"/>
  <c r="C5" i="4"/>
  <c r="F20" i="2"/>
</calcChain>
</file>

<file path=xl/sharedStrings.xml><?xml version="1.0" encoding="utf-8"?>
<sst xmlns="http://schemas.openxmlformats.org/spreadsheetml/2006/main" count="930" uniqueCount="408">
  <si>
    <t>ID</t>
  </si>
  <si>
    <t>Actor (User Role)</t>
  </si>
  <si>
    <t>Module</t>
  </si>
  <si>
    <t>Name</t>
  </si>
  <si>
    <t>Type</t>
  </si>
  <si>
    <t>Difficulty</t>
  </si>
  <si>
    <t>Member</t>
  </si>
  <si>
    <t>Status</t>
  </si>
  <si>
    <t>Route / Component</t>
  </si>
  <si>
    <t>S01</t>
  </si>
  <si>
    <t>All Staff</t>
  </si>
  <si>
    <t>Auth</t>
  </si>
  <si>
    <t>Login</t>
  </si>
  <si>
    <t>Screen</t>
  </si>
  <si>
    <t>Easy</t>
  </si>
  <si>
    <t>M5 - Platform &amp; Admin</t>
  </si>
  <si>
    <t>Live</t>
  </si>
  <si>
    <t>/login</t>
  </si>
  <si>
    <t>S02</t>
  </si>
  <si>
    <t>Forgot / Reset Password</t>
  </si>
  <si>
    <t>/forgot-password</t>
  </si>
  <si>
    <t>S03</t>
  </si>
  <si>
    <t>Profile</t>
  </si>
  <si>
    <t>Account Settings</t>
  </si>
  <si>
    <t>/profile</t>
  </si>
  <si>
    <t>D01</t>
  </si>
  <si>
    <t>Change Password Dialog</t>
  </si>
  <si>
    <t>Dialog</t>
  </si>
  <si>
    <t>ChangePasswordDialog</t>
  </si>
  <si>
    <t>D02</t>
  </si>
  <si>
    <t>Two-Factor Setup Dialog</t>
  </si>
  <si>
    <t>Medium</t>
  </si>
  <si>
    <t>TwoFactorSetupDialog</t>
  </si>
  <si>
    <t>S04</t>
  </si>
  <si>
    <t>Reports</t>
  </si>
  <si>
    <t>Overview Dashboard</t>
  </si>
  <si>
    <t>M4 - Ads &amp; Analytics</t>
  </si>
  <si>
    <t>/ (AnalyticsReportsPage)</t>
  </si>
  <si>
    <t>S05</t>
  </si>
  <si>
    <t>Notifications</t>
  </si>
  <si>
    <t>Notification Center</t>
  </si>
  <si>
    <t>/notifications</t>
  </si>
  <si>
    <t>S06</t>
  </si>
  <si>
    <t>Admin / Director</t>
  </si>
  <si>
    <t>Admin &amp; RBAC</t>
  </si>
  <si>
    <t>Admin Console - Users tab</t>
  </si>
  <si>
    <t>/system</t>
  </si>
  <si>
    <t>D03</t>
  </si>
  <si>
    <t>User Create/Edit Dialog</t>
  </si>
  <si>
    <t>AdminUserModal</t>
  </si>
  <si>
    <t>S07</t>
  </si>
  <si>
    <t>Admin Console - Roles &amp; Permissions tab</t>
  </si>
  <si>
    <t>D04</t>
  </si>
  <si>
    <t>Role Create/Edit Dialog</t>
  </si>
  <si>
    <t>AdminRoleModal</t>
  </si>
  <si>
    <t>S08</t>
  </si>
  <si>
    <t>Admin Console - Integrations tab (API keys &amp; channel credentials)</t>
  </si>
  <si>
    <t>D05</t>
  </si>
  <si>
    <t>API Key Create Dialog</t>
  </si>
  <si>
    <t>AdminKeyModal</t>
  </si>
  <si>
    <t>D06</t>
  </si>
  <si>
    <t>Channels</t>
  </si>
  <si>
    <t>Pancake Channel Connection Dialog</t>
  </si>
  <si>
    <t>Hard</t>
  </si>
  <si>
    <t>M1 - Omnichannel Inbox &amp; Chat</t>
  </si>
  <si>
    <t>AdminPancakeChannelModal</t>
  </si>
  <si>
    <t>S09</t>
  </si>
  <si>
    <t>Admin Console - Scheduled Jobs tab</t>
  </si>
  <si>
    <t>D07</t>
  </si>
  <si>
    <t>Schedule Run Detail Dialog</t>
  </si>
  <si>
    <t>AdminScheduleRunDialog</t>
  </si>
  <si>
    <t>D08</t>
  </si>
  <si>
    <t>Recurring Execution Detail Dialog</t>
  </si>
  <si>
    <t>AdminRecurringExecutionDialog</t>
  </si>
  <si>
    <t>S10</t>
  </si>
  <si>
    <t>Admin Console - System Errors tab</t>
  </si>
  <si>
    <t>D09</t>
  </si>
  <si>
    <t>System Error Detail Drawer</t>
  </si>
  <si>
    <t>AdminSystemLogsTab</t>
  </si>
  <si>
    <t>S11</t>
  </si>
  <si>
    <t>Admin Console - Audit Log tab</t>
  </si>
  <si>
    <t>D10</t>
  </si>
  <si>
    <t>Audit Entry Detail Dialog</t>
  </si>
  <si>
    <t>AdminAuditTab</t>
  </si>
  <si>
    <t>S12</t>
  </si>
  <si>
    <t>Channel Management</t>
  </si>
  <si>
    <t>/system/channels</t>
  </si>
  <si>
    <t>D11</t>
  </si>
  <si>
    <t>Channel Create/Edit Dialog</t>
  </si>
  <si>
    <t>ChannelManagementPage (inline)</t>
  </si>
  <si>
    <t>S13</t>
  </si>
  <si>
    <t>QA &amp; Prompt Engineer</t>
  </si>
  <si>
    <t>LLM Providers</t>
  </si>
  <si>
    <t>LLM Model Configuration</t>
  </si>
  <si>
    <t>/llm-providers</t>
  </si>
  <si>
    <t>D12</t>
  </si>
  <si>
    <t>Provider Create/Edit Dialog</t>
  </si>
  <si>
    <t>LlmProvidersPage (inline)</t>
  </si>
  <si>
    <t>D13</t>
  </si>
  <si>
    <t>API Key Rotate Dialog</t>
  </si>
  <si>
    <t>D14</t>
  </si>
  <si>
    <t>Embedding Config Create/Edit Dialog</t>
  </si>
  <si>
    <t>D15</t>
  </si>
  <si>
    <t>Embedding Key Rotate Dialog</t>
  </si>
  <si>
    <t>S14</t>
  </si>
  <si>
    <t>Prompts &amp; Skills</t>
  </si>
  <si>
    <t>Agent Instruction Configuration</t>
  </si>
  <si>
    <t>/prompts</t>
  </si>
  <si>
    <t>D16</t>
  </si>
  <si>
    <t>Edit Instruction Dialog</t>
  </si>
  <si>
    <t>PromptConfigurationPage (inline)</t>
  </si>
  <si>
    <t>D17</t>
  </si>
  <si>
    <t>Prompt Sandbox Test Dialog</t>
  </si>
  <si>
    <t>SandboxModal</t>
  </si>
  <si>
    <t>S15</t>
  </si>
  <si>
    <t>Agents</t>
  </si>
  <si>
    <t>Agent Dashboard (Monitoring &amp; Config)</t>
  </si>
  <si>
    <t>/agents</t>
  </si>
  <si>
    <t>D18</t>
  </si>
  <si>
    <t>Create Sub-Agent Dialog</t>
  </si>
  <si>
    <t>CreateSubAgentDialog</t>
  </si>
  <si>
    <t>D19</t>
  </si>
  <si>
    <t>Plan Suggestions Dialog</t>
  </si>
  <si>
    <t>PlanSuggestionsDialog</t>
  </si>
  <si>
    <t>D20</t>
  </si>
  <si>
    <t>Run Compare Dialog</t>
  </si>
  <si>
    <t>RunCompareDialog</t>
  </si>
  <si>
    <t>D21</t>
  </si>
  <si>
    <t>Task Intervention Dialog</t>
  </si>
  <si>
    <t>TaskInterventionDialog</t>
  </si>
  <si>
    <t>D22</t>
  </si>
  <si>
    <t>Approval Policy Dialog</t>
  </si>
  <si>
    <t>AgentDashboardPage (inline)</t>
  </si>
  <si>
    <t>D23</t>
  </si>
  <si>
    <t>Plan JSON Editor / System Prompt Viewer Dialog</t>
  </si>
  <si>
    <t>OrchestrationPanel (inline)</t>
  </si>
  <si>
    <t>D24</t>
  </si>
  <si>
    <t>Create Schedule Dialog</t>
  </si>
  <si>
    <t>SchedulesCard (inline)</t>
  </si>
  <si>
    <t>D25</t>
  </si>
  <si>
    <t>Task DAG Edge Data Dialog</t>
  </si>
  <si>
    <t>TaskDagCanvas (inline)</t>
  </si>
  <si>
    <t>S16</t>
  </si>
  <si>
    <t>Orchestration Sessions</t>
  </si>
  <si>
    <t>/agents/runs</t>
  </si>
  <si>
    <t>S17</t>
  </si>
  <si>
    <t>Session Detail (Trace)</t>
  </si>
  <si>
    <t>/agents/runs/:sessionId</t>
  </si>
  <si>
    <t>S18</t>
  </si>
  <si>
    <t>Agents Office (pixel-art visualization)</t>
  </si>
  <si>
    <t>/agents-office</t>
  </si>
  <si>
    <t>S19</t>
  </si>
  <si>
    <t>Ops</t>
  </si>
  <si>
    <t>Task Logs</t>
  </si>
  <si>
    <t>/logs</t>
  </si>
  <si>
    <t>S20</t>
  </si>
  <si>
    <t>PM / Data Analyst</t>
  </si>
  <si>
    <t>AI Cost Management (Token Usage)</t>
  </si>
  <si>
    <t>/tokens</t>
  </si>
  <si>
    <t>D26</t>
  </si>
  <si>
    <t>Job Center Dialog (cross-cutting)</t>
  </si>
  <si>
    <t>JobCenterDialog</t>
  </si>
  <si>
    <t>S21</t>
  </si>
  <si>
    <t>Sales Rep (Sale)</t>
  </si>
  <si>
    <t>Inbox</t>
  </si>
  <si>
    <t>Multichannel Inbox (Conversations)</t>
  </si>
  <si>
    <t>/conversations</t>
  </si>
  <si>
    <t>D27</t>
  </si>
  <si>
    <t>Customer Info Drawer (mobile)</t>
  </si>
  <si>
    <t>ConversationsPage (inline)</t>
  </si>
  <si>
    <t>D28</t>
  </si>
  <si>
    <t>Quick Reply Create/Edit Dialog</t>
  </si>
  <si>
    <t>M2 - Sale Assist &amp; Lead CRM</t>
  </si>
  <si>
    <t>SaleAssistPanel (inline)</t>
  </si>
  <si>
    <t>S22</t>
  </si>
  <si>
    <t>Agent Hub (unified live workspace)</t>
  </si>
  <si>
    <t>/agent-hub, /inbox/:channelId</t>
  </si>
  <si>
    <t>D29</t>
  </si>
  <si>
    <t>Command Palette</t>
  </si>
  <si>
    <t>CommandPalette</t>
  </si>
  <si>
    <t>D30</t>
  </si>
  <si>
    <t>Daily Summary Popup</t>
  </si>
  <si>
    <t>DailySummaryPopup</t>
  </si>
  <si>
    <t>S23</t>
  </si>
  <si>
    <t>Knowledge Base</t>
  </si>
  <si>
    <t>/kb</t>
  </si>
  <si>
    <t>D31</t>
  </si>
  <si>
    <t>KB Module Create/Edit Dialog</t>
  </si>
  <si>
    <t>ModuleFormModal</t>
  </si>
  <si>
    <t>D32</t>
  </si>
  <si>
    <t>KB Q&amp;A Test Case Dialog</t>
  </si>
  <si>
    <t>QaModal</t>
  </si>
  <si>
    <t>D33</t>
  </si>
  <si>
    <t>KB Auto-Classify Dialog</t>
  </si>
  <si>
    <t>KbAutoClassifyModal</t>
  </si>
  <si>
    <t>D34</t>
  </si>
  <si>
    <t>Archive Module Confirm Dialog</t>
  </si>
  <si>
    <t>KnowledgeBasePage (inline)</t>
  </si>
  <si>
    <t>D35</t>
  </si>
  <si>
    <t>Reject KB Suggestion Dialog</t>
  </si>
  <si>
    <t>KbSuggestionsPanel (inline)</t>
  </si>
  <si>
    <t>S24</t>
  </si>
  <si>
    <t>Leads</t>
  </si>
  <si>
    <t>Leads (List + Kanban Pipeline + Detail)</t>
  </si>
  <si>
    <t>/leads</t>
  </si>
  <si>
    <t>D36</t>
  </si>
  <si>
    <t>Lead Detail Drawer (Timeline / Context)</t>
  </si>
  <si>
    <t>LeadDrawer</t>
  </si>
  <si>
    <t>S25</t>
  </si>
  <si>
    <t>Growth Strategist (MKT Lead)</t>
  </si>
  <si>
    <t>Content</t>
  </si>
  <si>
    <t>Content Workspace - Review Queue tab</t>
  </si>
  <si>
    <t>M3 - Content &amp; Document</t>
  </si>
  <si>
    <t>/content</t>
  </si>
  <si>
    <t>S26</t>
  </si>
  <si>
    <t>Content Workspace - Content Calendar tab</t>
  </si>
  <si>
    <t>D37</t>
  </si>
  <si>
    <t>Trend Settings Dialog</t>
  </si>
  <si>
    <t>TrendSettingsDialog</t>
  </si>
  <si>
    <t>D38</t>
  </si>
  <si>
    <t>Weekly Trend Ideas Dialog</t>
  </si>
  <si>
    <t>ContentWorkspacePage (inline)</t>
  </si>
  <si>
    <t>D39</t>
  </si>
  <si>
    <t>Schedule Publish Dialog</t>
  </si>
  <si>
    <t>D40</t>
  </si>
  <si>
    <t>Override Approve Dialog</t>
  </si>
  <si>
    <t>D41</t>
  </si>
  <si>
    <t>Reject Publish Dialog</t>
  </si>
  <si>
    <t>S27</t>
  </si>
  <si>
    <t>Documents</t>
  </si>
  <si>
    <t>Document Library &amp; Quote Generator</t>
  </si>
  <si>
    <t>/documents</t>
  </si>
  <si>
    <t>S28</t>
  </si>
  <si>
    <t>Report Detail (Drill-down)</t>
  </si>
  <si>
    <t>/reports/:reportId</t>
  </si>
  <si>
    <t>D42</t>
  </si>
  <si>
    <t>Export Report Dialog</t>
  </si>
  <si>
    <t>AnalyticsReportsPage (inline)</t>
  </si>
  <si>
    <t>S29</t>
  </si>
  <si>
    <t>End Customer (public)</t>
  </si>
  <si>
    <t>Public Widget</t>
  </si>
  <si>
    <t>Chat Widget (embeddable)</t>
  </si>
  <si>
    <t>/chat-widget</t>
  </si>
  <si>
    <t>S30</t>
  </si>
  <si>
    <t>Support FAQ (tenant-branded)</t>
  </si>
  <si>
    <t>/support</t>
  </si>
  <si>
    <t>DRIFT</t>
  </si>
  <si>
    <t>Planned in the old doc or backed by an API, but with NO current frontend screen</t>
  </si>
  <si>
    <t>NB01</t>
  </si>
  <si>
    <t>Competitor Tracking</t>
  </si>
  <si>
    <t>Backend only</t>
  </si>
  <si>
    <t>CompetitorsEndpoints, no frontend route</t>
  </si>
  <si>
    <t>NB02</t>
  </si>
  <si>
    <t>A/B Experiments</t>
  </si>
  <si>
    <t>ExperimentsEndpoints, no frontend route</t>
  </si>
  <si>
    <t>NB03</t>
  </si>
  <si>
    <t>Chat Scenario Authoring (50 scripted scenarios)</t>
  </si>
  <si>
    <t>ChatScenariosEndpoints, no frontend route</t>
  </si>
  <si>
    <t>NB04</t>
  </si>
  <si>
    <t>Sales Lead (Sales Manager)</t>
  </si>
  <si>
    <t>Lead Scoring Rule Configuration</t>
  </si>
  <si>
    <t>Not built</t>
  </si>
  <si>
    <t>no scoring-rule screen or component found</t>
  </si>
  <si>
    <t>NB05</t>
  </si>
  <si>
    <t>Drip Sequence Configuration</t>
  </si>
  <si>
    <t>no drip-sequence screen or component found</t>
  </si>
  <si>
    <t>NB06</t>
  </si>
  <si>
    <t>Ads</t>
  </si>
  <si>
    <t>Ads Campaign Management</t>
  </si>
  <si>
    <t>Removed</t>
  </si>
  <si>
    <t>Ads module decommissioned 2026-08-09; DB tables retained</t>
  </si>
  <si>
    <t>NB07</t>
  </si>
  <si>
    <t>Ads Rule Configuration</t>
  </si>
  <si>
    <t>Ads module decommissioned 2026-08-09</t>
  </si>
  <si>
    <t>NB08</t>
  </si>
  <si>
    <t>Ads Campaign Detail + Action Log</t>
  </si>
  <si>
    <t>Requirement</t>
  </si>
  <si>
    <t>Description / Criteria</t>
  </si>
  <si>
    <t>Person-Days</t>
  </si>
  <si>
    <t>N01</t>
  </si>
  <si>
    <t>Performance</t>
  </si>
  <si>
    <t>Response latency</t>
  </si>
  <si>
    <t>p95 first-token &lt; 2s, full reply &lt; 8s; streamed.</t>
  </si>
  <si>
    <t>N02</t>
  </si>
  <si>
    <t>Throughput</t>
  </si>
  <si>
    <t>A few hundred concurrent sessions; heavy work goes through a queue.</t>
  </si>
  <si>
    <t>N03</t>
  </si>
  <si>
    <t>LLM context caching</t>
  </si>
  <si>
    <t>Reduces cost and latency for RAG calls that repeat context.</t>
  </si>
  <si>
    <t>N04</t>
  </si>
  <si>
    <t>Reliability</t>
  </si>
  <si>
    <t>External-call fault tolerance</t>
  </si>
  <si>
    <t>Polly retry / timeout / circuit breaker.</t>
  </si>
  <si>
    <t>N05</t>
  </si>
  <si>
    <t>Graceful degradation</t>
  </si>
  <si>
    <t>One failing agent does not take down the system; falls back to a human.</t>
  </si>
  <si>
    <t>N06</t>
  </si>
  <si>
    <t>Health check + auto-restart</t>
  </si>
  <si>
    <t>Recovery under 10s.</t>
  </si>
  <si>
    <t>N07</t>
  </si>
  <si>
    <t>Queue &amp; retry</t>
  </si>
  <si>
    <t>RabbitMQ offloads heavy work, with retry and an optional DLQ.</t>
  </si>
  <si>
    <t>N08</t>
  </si>
  <si>
    <t>Security</t>
  </si>
  <si>
    <t>Authentication &amp; authorization</t>
  </si>
  <si>
    <t>JWT + RBAC scoped by role and module.</t>
  </si>
  <si>
    <t>N09</t>
  </si>
  <si>
    <t>Secret management</t>
  </si>
  <si>
    <t>API keys are encrypted at rest and never exposed to the client.</t>
  </si>
  <si>
    <t>N10</t>
  </si>
  <si>
    <t>Webhook authentication</t>
  </si>
  <si>
    <t>Verifies the Pancake webhook signature.</t>
  </si>
  <si>
    <t>N11</t>
  </si>
  <si>
    <t>Audit log</t>
  </si>
  <si>
    <t>Records every administrative action.</t>
  </si>
  <si>
    <t>N12</t>
  </si>
  <si>
    <t>Data</t>
  </si>
  <si>
    <t>Backup &amp; restore</t>
  </si>
  <si>
    <t>Daily database backup; source files kept durable.</t>
  </si>
  <si>
    <t>N13</t>
  </si>
  <si>
    <t>Data privacy</t>
  </si>
  <si>
    <t>Handles customer data with per-tenant isolation.</t>
  </si>
  <si>
    <t>N14</t>
  </si>
  <si>
    <t>Scalability</t>
  </si>
  <si>
    <t>Stateless / horizontal-ready</t>
  </si>
  <si>
    <t>State lives in Redis/DB, enabling horizontal scale.</t>
  </si>
  <si>
    <t>N15</t>
  </si>
  <si>
    <t>Operations</t>
  </si>
  <si>
    <t>Centralized logging</t>
  </si>
  <si>
    <t>Serilog; traced per request/session.</t>
  </si>
  <si>
    <t>N16</t>
  </si>
  <si>
    <t>Monitoring &amp; alerting</t>
  </si>
  <si>
    <t>Metrics plus alerts for errors and queue backlog.</t>
  </si>
  <si>
    <t>N17</t>
  </si>
  <si>
    <t>Usability</t>
  </si>
  <si>
    <t>Localization / UX</t>
  </si>
  <si>
    <t>Responsive UI with clear error messages.</t>
  </si>
  <si>
    <t>N18</t>
  </si>
  <si>
    <t>Compatibility</t>
  </si>
  <si>
    <t>Channel adapter</t>
  </si>
  <si>
    <t>Adding or swapping a channel does not require touching the core.</t>
  </si>
  <si>
    <t>TOTAL</t>
  </si>
  <si>
    <t>Item</t>
  </si>
  <si>
    <t>Description</t>
  </si>
  <si>
    <t>O01</t>
  </si>
  <si>
    <t>Documentation</t>
  </si>
  <si>
    <t>Requirements specification (SRS)</t>
  </si>
  <si>
    <t>FR + NFR, use cases.</t>
  </si>
  <si>
    <t>O02</t>
  </si>
  <si>
    <t>Design document (SDD)</t>
  </si>
  <si>
    <t>Architecture, diagrams, DB schema, API spec.</t>
  </si>
  <si>
    <t>O03</t>
  </si>
  <si>
    <t>User manual</t>
  </si>
  <si>
    <t>For end users.</t>
  </si>
  <si>
    <t>O04</t>
  </si>
  <si>
    <t>Deployment / operations runbook</t>
  </si>
  <si>
    <t>Setup, deployment, runbook.</t>
  </si>
  <si>
    <t>O05</t>
  </si>
  <si>
    <t>Testing</t>
  </si>
  <si>
    <t>Unit tests</t>
  </si>
  <si>
    <t>Core: orchestrator, adapters, RAG.</t>
  </si>
  <si>
    <t>O06</t>
  </si>
  <si>
    <t>Integration tests</t>
  </si>
  <si>
    <t>End-to-end flows.</t>
  </si>
  <si>
    <t>O07</t>
  </si>
  <si>
    <t>API tests</t>
  </si>
  <si>
    <t>REST API test suite.</t>
  </si>
  <si>
    <t>O08</t>
  </si>
  <si>
    <t>Light load testing</t>
  </si>
  <si>
    <t>Verifies the throughput/latency NFRs.</t>
  </si>
  <si>
    <t>O09</t>
  </si>
  <si>
    <t>UAT &amp; bug-fix cycle</t>
  </si>
  <si>
    <t>Acceptance testing plus a bug-fix cycle.</t>
  </si>
  <si>
    <t>O10</t>
  </si>
  <si>
    <t>Management</t>
  </si>
  <si>
    <t>UI/UX design</t>
  </si>
  <si>
    <t>Wireframe to mockup for every screen and dialog.</t>
  </si>
  <si>
    <t>O11</t>
  </si>
  <si>
    <t>Project management &amp; meetings</t>
  </si>
  <si>
    <t>Coordination, review, reporting.</t>
  </si>
  <si>
    <t>SUMMARY - ClawBot (rebuilt from current code)</t>
  </si>
  <si>
    <t>Category</t>
  </si>
  <si>
    <t>Count</t>
  </si>
  <si>
    <t>Screens + Dialogs (live)</t>
  </si>
  <si>
    <t>Non-Functional Requirements (NFR)</t>
  </si>
  <si>
    <t>Docs / Test / Management</t>
  </si>
  <si>
    <t>UI breakdown</t>
  </si>
  <si>
    <t>Screens (full page)</t>
  </si>
  <si>
    <t>Dialogs / modals</t>
  </si>
  <si>
    <t>Planned / backend-only / removed (drift)</t>
  </si>
  <si>
    <t>Breakdown by member</t>
  </si>
  <si>
    <t>6 screens + 10 dialogs = 16 items</t>
  </si>
  <si>
    <t>1 screens + 2 dialogs = 3 items</t>
  </si>
  <si>
    <t>3 screens + 5 dialogs = 8 items</t>
  </si>
  <si>
    <t>2 screens + 1 dialogs = 3 items</t>
  </si>
  <si>
    <t>18 screens + 24 dialogs = 42 items</t>
  </si>
  <si>
    <t>This sheet was rebuilt against the actual frontend routes (src/frontend/clawbot-web/src/app/routes.tsx) and</t>
  </si>
  <si>
    <t>backend endpoints (src/api/Clawbot.Api/Endpoints) as of the current branch.</t>
  </si>
  <si>
    <t>Added (existed in code but were missing from the old sheet): Document Library &amp; Quote Generator, Admin &amp; RBAC</t>
  </si>
  <si>
    <t>console (6 tabs), Channel Management, Notification Center, Agent Hub, Agents Office, Task Logs, AI Cost</t>
  </si>
  <si>
    <t>Management, Prompts/Skills configuration, Public Widget + Support FAQ, LLM Provider &amp; Embedding Config screens.</t>
  </si>
  <si>
    <t>Flagged as backend-only (API exists, no frontend screen): Competitor Tracking, A/B Experiments,</t>
  </si>
  <si>
    <t>Chat Scenario Authoring.</t>
  </si>
  <si>
    <t>Flagged as not built: Lead Scoring Rule Configuration, Drip Sequence Configuration.</t>
  </si>
  <si>
    <t>Flagged as removed: Ads Campaign Management, Ads Rule Configuration, Ads Campaign Detail (module</t>
  </si>
  <si>
    <t>decommissioned 2026-08-09; database tables were kept, the UI and endpoints were not).</t>
  </si>
  <si>
    <t>COLOR LEGEND - MEMBER</t>
  </si>
  <si>
    <t>All (shared)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</si>
</sst>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3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F3B52"/>
      </patternFill>
    </fill>
    <fill>
      <patternFill patternType="solid">
        <fgColor rgb="FFEFEFEF"/>
      </patternFill>
    </fill>
    <fill>
      <patternFill patternType="solid">
        <fgColor rgb="FFEEE3F7"/>
      </patternFill>
    </fill>
    <fill>
      <patternFill patternType="solid">
        <fgColor rgb="FFDCEBFB"/>
      </patternFill>
    </fill>
    <fill>
      <patternFill patternType="solid">
        <fgColor rgb="FFE1F3E4"/>
      </patternFill>
    </fill>
    <fill>
      <patternFill patternType="solid">
        <fgColor rgb="FFFCEFDC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E8E8E8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2" fillId="0" borderId="0" xfId="0" applyFont="1"/>
    <xf numFmtId="0" fontId="0" fillId="8" borderId="0" xfId="0" applyFill="1" applyAlignment="1">
      <alignment vertical="top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/>
    </xf>
    <xf numFmtId="0" fontId="0" fillId="11" borderId="0" xfId="0" applyFill="1" applyAlignment="1">
      <alignment vertical="top" wrapText="1"/>
    </xf>
    <xf numFmtId="0" fontId="3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4" borderId="0" xfId="0" applyFill="1"/>
    <xf numFmtId="0" fontId="0" fillId="3" borderId="0" xfId="0" applyFill="1"/>
    <xf numFmtId="0" fontId="0" fillId="11" borderId="0" xfId="0" applyFill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workbookViewId="0">
      <pane ySplit="1" topLeftCell="A47" activePane="bottomLeft" state="frozen"/>
      <selection pane="bottomLeft" activeCell="D85" sqref="D85"/>
    </sheetView>
  </sheetViews>
  <sheetFormatPr defaultRowHeight="14.5" x14ac:dyDescent="0.35"/>
  <cols>
    <col min="1" max="1" width="8" customWidth="1"/>
    <col min="2" max="2" width="26" customWidth="1"/>
    <col min="3" max="3" width="16" customWidth="1"/>
    <col min="4" max="4" width="46" customWidth="1"/>
    <col min="5" max="5" width="10" customWidth="1"/>
    <col min="6" max="6" width="11" customWidth="1"/>
    <col min="7" max="7" width="26" customWidth="1"/>
    <col min="8" max="8" width="14" customWidth="1"/>
    <col min="9" max="9" width="3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5">
      <c r="A3" s="2" t="s">
        <v>18</v>
      </c>
      <c r="B3" s="2" t="s">
        <v>10</v>
      </c>
      <c r="C3" s="2" t="s">
        <v>11</v>
      </c>
      <c r="D3" s="3" t="s">
        <v>19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20</v>
      </c>
    </row>
    <row r="4" spans="1:9" x14ac:dyDescent="0.35">
      <c r="A4" s="2" t="s">
        <v>21</v>
      </c>
      <c r="B4" s="2" t="s">
        <v>10</v>
      </c>
      <c r="C4" s="2" t="s">
        <v>22</v>
      </c>
      <c r="D4" s="3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24</v>
      </c>
    </row>
    <row r="5" spans="1:9" x14ac:dyDescent="0.35">
      <c r="A5" s="2" t="s">
        <v>25</v>
      </c>
      <c r="B5" s="2" t="s">
        <v>10</v>
      </c>
      <c r="C5" s="2" t="s">
        <v>22</v>
      </c>
      <c r="D5" s="3" t="s">
        <v>26</v>
      </c>
      <c r="E5" s="2" t="s">
        <v>27</v>
      </c>
      <c r="F5" s="2" t="s">
        <v>14</v>
      </c>
      <c r="G5" s="2" t="s">
        <v>15</v>
      </c>
      <c r="H5" s="2" t="s">
        <v>16</v>
      </c>
      <c r="I5" s="2" t="s">
        <v>28</v>
      </c>
    </row>
    <row r="6" spans="1:9" x14ac:dyDescent="0.35">
      <c r="A6" s="2" t="s">
        <v>29</v>
      </c>
      <c r="B6" s="2" t="s">
        <v>10</v>
      </c>
      <c r="C6" s="2" t="s">
        <v>22</v>
      </c>
      <c r="D6" s="3" t="s">
        <v>30</v>
      </c>
      <c r="E6" s="2" t="s">
        <v>27</v>
      </c>
      <c r="F6" s="2" t="s">
        <v>31</v>
      </c>
      <c r="G6" s="2" t="s">
        <v>15</v>
      </c>
      <c r="H6" s="2" t="s">
        <v>16</v>
      </c>
      <c r="I6" s="2" t="s">
        <v>32</v>
      </c>
    </row>
    <row r="7" spans="1:9" x14ac:dyDescent="0.35">
      <c r="A7" s="4" t="s">
        <v>33</v>
      </c>
      <c r="B7" s="4" t="s">
        <v>10</v>
      </c>
      <c r="C7" s="4" t="s">
        <v>34</v>
      </c>
      <c r="D7" s="5" t="s">
        <v>35</v>
      </c>
      <c r="E7" s="4" t="s">
        <v>13</v>
      </c>
      <c r="F7" s="4" t="s">
        <v>31</v>
      </c>
      <c r="G7" s="4" t="s">
        <v>36</v>
      </c>
      <c r="H7" s="4" t="s">
        <v>16</v>
      </c>
      <c r="I7" s="4" t="s">
        <v>37</v>
      </c>
    </row>
    <row r="8" spans="1:9" x14ac:dyDescent="0.35">
      <c r="A8" s="2" t="s">
        <v>38</v>
      </c>
      <c r="B8" s="2" t="s">
        <v>10</v>
      </c>
      <c r="C8" s="2" t="s">
        <v>39</v>
      </c>
      <c r="D8" s="3" t="s">
        <v>40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41</v>
      </c>
    </row>
    <row r="9" spans="1:9" x14ac:dyDescent="0.35">
      <c r="A9" s="2" t="s">
        <v>42</v>
      </c>
      <c r="B9" s="2" t="s">
        <v>43</v>
      </c>
      <c r="C9" s="2" t="s">
        <v>44</v>
      </c>
      <c r="D9" s="3" t="s">
        <v>45</v>
      </c>
      <c r="E9" s="2" t="s">
        <v>13</v>
      </c>
      <c r="F9" s="2" t="s">
        <v>31</v>
      </c>
      <c r="G9" s="2" t="s">
        <v>15</v>
      </c>
      <c r="H9" s="2" t="s">
        <v>16</v>
      </c>
      <c r="I9" s="2" t="s">
        <v>46</v>
      </c>
    </row>
    <row r="10" spans="1:9" x14ac:dyDescent="0.35">
      <c r="A10" s="2" t="s">
        <v>47</v>
      </c>
      <c r="B10" s="2" t="s">
        <v>43</v>
      </c>
      <c r="C10" s="2" t="s">
        <v>44</v>
      </c>
      <c r="D10" s="3" t="s">
        <v>48</v>
      </c>
      <c r="E10" s="2" t="s">
        <v>27</v>
      </c>
      <c r="F10" s="2" t="s">
        <v>14</v>
      </c>
      <c r="G10" s="2" t="s">
        <v>15</v>
      </c>
      <c r="H10" s="2" t="s">
        <v>16</v>
      </c>
      <c r="I10" s="2" t="s">
        <v>49</v>
      </c>
    </row>
    <row r="11" spans="1:9" x14ac:dyDescent="0.35">
      <c r="A11" s="2" t="s">
        <v>50</v>
      </c>
      <c r="B11" s="2" t="s">
        <v>43</v>
      </c>
      <c r="C11" s="2" t="s">
        <v>44</v>
      </c>
      <c r="D11" s="3" t="s">
        <v>51</v>
      </c>
      <c r="E11" s="2" t="s">
        <v>13</v>
      </c>
      <c r="F11" s="2" t="s">
        <v>31</v>
      </c>
      <c r="G11" s="2" t="s">
        <v>15</v>
      </c>
      <c r="H11" s="2" t="s">
        <v>16</v>
      </c>
      <c r="I11" s="2" t="s">
        <v>46</v>
      </c>
    </row>
    <row r="12" spans="1:9" x14ac:dyDescent="0.35">
      <c r="A12" s="2" t="s">
        <v>52</v>
      </c>
      <c r="B12" s="2" t="s">
        <v>43</v>
      </c>
      <c r="C12" s="2" t="s">
        <v>44</v>
      </c>
      <c r="D12" s="3" t="s">
        <v>53</v>
      </c>
      <c r="E12" s="2" t="s">
        <v>27</v>
      </c>
      <c r="F12" s="2" t="s">
        <v>31</v>
      </c>
      <c r="G12" s="2" t="s">
        <v>15</v>
      </c>
      <c r="H12" s="2" t="s">
        <v>16</v>
      </c>
      <c r="I12" s="2" t="s">
        <v>54</v>
      </c>
    </row>
    <row r="13" spans="1:9" ht="29" x14ac:dyDescent="0.35">
      <c r="A13" s="2" t="s">
        <v>55</v>
      </c>
      <c r="B13" s="2" t="s">
        <v>43</v>
      </c>
      <c r="C13" s="2" t="s">
        <v>44</v>
      </c>
      <c r="D13" s="3" t="s">
        <v>56</v>
      </c>
      <c r="E13" s="2" t="s">
        <v>13</v>
      </c>
      <c r="F13" s="2" t="s">
        <v>31</v>
      </c>
      <c r="G13" s="2" t="s">
        <v>15</v>
      </c>
      <c r="H13" s="2" t="s">
        <v>16</v>
      </c>
      <c r="I13" s="2" t="s">
        <v>46</v>
      </c>
    </row>
    <row r="14" spans="1:9" x14ac:dyDescent="0.35">
      <c r="A14" s="2" t="s">
        <v>57</v>
      </c>
      <c r="B14" s="2" t="s">
        <v>43</v>
      </c>
      <c r="C14" s="2" t="s">
        <v>44</v>
      </c>
      <c r="D14" s="3" t="s">
        <v>58</v>
      </c>
      <c r="E14" s="2" t="s">
        <v>27</v>
      </c>
      <c r="F14" s="2" t="s">
        <v>14</v>
      </c>
      <c r="G14" s="2" t="s">
        <v>15</v>
      </c>
      <c r="H14" s="2" t="s">
        <v>16</v>
      </c>
      <c r="I14" s="2" t="s">
        <v>59</v>
      </c>
    </row>
    <row r="15" spans="1:9" x14ac:dyDescent="0.35">
      <c r="A15" s="6" t="s">
        <v>60</v>
      </c>
      <c r="B15" s="6" t="s">
        <v>43</v>
      </c>
      <c r="C15" s="6" t="s">
        <v>61</v>
      </c>
      <c r="D15" s="7" t="s">
        <v>62</v>
      </c>
      <c r="E15" s="6" t="s">
        <v>27</v>
      </c>
      <c r="F15" s="6" t="s">
        <v>63</v>
      </c>
      <c r="G15" s="6" t="s">
        <v>64</v>
      </c>
      <c r="H15" s="6" t="s">
        <v>16</v>
      </c>
      <c r="I15" s="6" t="s">
        <v>65</v>
      </c>
    </row>
    <row r="16" spans="1:9" x14ac:dyDescent="0.35">
      <c r="A16" s="2" t="s">
        <v>66</v>
      </c>
      <c r="B16" s="2" t="s">
        <v>43</v>
      </c>
      <c r="C16" s="2" t="s">
        <v>44</v>
      </c>
      <c r="D16" s="3" t="s">
        <v>67</v>
      </c>
      <c r="E16" s="2" t="s">
        <v>13</v>
      </c>
      <c r="F16" s="2" t="s">
        <v>31</v>
      </c>
      <c r="G16" s="2" t="s">
        <v>15</v>
      </c>
      <c r="H16" s="2" t="s">
        <v>16</v>
      </c>
      <c r="I16" s="2" t="s">
        <v>46</v>
      </c>
    </row>
    <row r="17" spans="1:9" x14ac:dyDescent="0.35">
      <c r="A17" s="2" t="s">
        <v>68</v>
      </c>
      <c r="B17" s="2" t="s">
        <v>43</v>
      </c>
      <c r="C17" s="2" t="s">
        <v>44</v>
      </c>
      <c r="D17" s="3" t="s">
        <v>69</v>
      </c>
      <c r="E17" s="2" t="s">
        <v>27</v>
      </c>
      <c r="F17" s="2" t="s">
        <v>14</v>
      </c>
      <c r="G17" s="2" t="s">
        <v>15</v>
      </c>
      <c r="H17" s="2" t="s">
        <v>16</v>
      </c>
      <c r="I17" s="2" t="s">
        <v>70</v>
      </c>
    </row>
    <row r="18" spans="1:9" x14ac:dyDescent="0.35">
      <c r="A18" s="2" t="s">
        <v>71</v>
      </c>
      <c r="B18" s="2" t="s">
        <v>43</v>
      </c>
      <c r="C18" s="2" t="s">
        <v>44</v>
      </c>
      <c r="D18" s="3" t="s">
        <v>72</v>
      </c>
      <c r="E18" s="2" t="s">
        <v>27</v>
      </c>
      <c r="F18" s="2" t="s">
        <v>14</v>
      </c>
      <c r="G18" s="2" t="s">
        <v>15</v>
      </c>
      <c r="H18" s="2" t="s">
        <v>16</v>
      </c>
      <c r="I18" s="2" t="s">
        <v>73</v>
      </c>
    </row>
    <row r="19" spans="1:9" x14ac:dyDescent="0.35">
      <c r="A19" s="2" t="s">
        <v>74</v>
      </c>
      <c r="B19" s="2" t="s">
        <v>43</v>
      </c>
      <c r="C19" s="2" t="s">
        <v>44</v>
      </c>
      <c r="D19" s="3" t="s">
        <v>75</v>
      </c>
      <c r="E19" s="2" t="s">
        <v>13</v>
      </c>
      <c r="F19" s="2" t="s">
        <v>31</v>
      </c>
      <c r="G19" s="2" t="s">
        <v>15</v>
      </c>
      <c r="H19" s="2" t="s">
        <v>16</v>
      </c>
      <c r="I19" s="2" t="s">
        <v>46</v>
      </c>
    </row>
    <row r="20" spans="1:9" x14ac:dyDescent="0.35">
      <c r="A20" s="2" t="s">
        <v>76</v>
      </c>
      <c r="B20" s="2" t="s">
        <v>43</v>
      </c>
      <c r="C20" s="2" t="s">
        <v>44</v>
      </c>
      <c r="D20" s="3" t="s">
        <v>77</v>
      </c>
      <c r="E20" s="2" t="s">
        <v>27</v>
      </c>
      <c r="F20" s="2" t="s">
        <v>14</v>
      </c>
      <c r="G20" s="2" t="s">
        <v>15</v>
      </c>
      <c r="H20" s="2" t="s">
        <v>16</v>
      </c>
      <c r="I20" s="2" t="s">
        <v>78</v>
      </c>
    </row>
    <row r="21" spans="1:9" x14ac:dyDescent="0.35">
      <c r="A21" s="2" t="s">
        <v>79</v>
      </c>
      <c r="B21" s="2" t="s">
        <v>43</v>
      </c>
      <c r="C21" s="2" t="s">
        <v>44</v>
      </c>
      <c r="D21" s="3" t="s">
        <v>80</v>
      </c>
      <c r="E21" s="2" t="s">
        <v>13</v>
      </c>
      <c r="F21" s="2" t="s">
        <v>31</v>
      </c>
      <c r="G21" s="2" t="s">
        <v>15</v>
      </c>
      <c r="H21" s="2" t="s">
        <v>16</v>
      </c>
      <c r="I21" s="2" t="s">
        <v>46</v>
      </c>
    </row>
    <row r="22" spans="1:9" x14ac:dyDescent="0.35">
      <c r="A22" s="2" t="s">
        <v>81</v>
      </c>
      <c r="B22" s="2" t="s">
        <v>43</v>
      </c>
      <c r="C22" s="2" t="s">
        <v>44</v>
      </c>
      <c r="D22" s="3" t="s">
        <v>82</v>
      </c>
      <c r="E22" s="2" t="s">
        <v>27</v>
      </c>
      <c r="F22" s="2" t="s">
        <v>14</v>
      </c>
      <c r="G22" s="2" t="s">
        <v>15</v>
      </c>
      <c r="H22" s="2" t="s">
        <v>16</v>
      </c>
      <c r="I22" s="2" t="s">
        <v>83</v>
      </c>
    </row>
    <row r="23" spans="1:9" x14ac:dyDescent="0.35">
      <c r="A23" s="6" t="s">
        <v>84</v>
      </c>
      <c r="B23" s="6" t="s">
        <v>43</v>
      </c>
      <c r="C23" s="6" t="s">
        <v>61</v>
      </c>
      <c r="D23" s="7" t="s">
        <v>85</v>
      </c>
      <c r="E23" s="6" t="s">
        <v>13</v>
      </c>
      <c r="F23" s="6" t="s">
        <v>31</v>
      </c>
      <c r="G23" s="6" t="s">
        <v>64</v>
      </c>
      <c r="H23" s="6" t="s">
        <v>16</v>
      </c>
      <c r="I23" s="6" t="s">
        <v>86</v>
      </c>
    </row>
    <row r="24" spans="1:9" x14ac:dyDescent="0.35">
      <c r="A24" s="6" t="s">
        <v>87</v>
      </c>
      <c r="B24" s="6" t="s">
        <v>43</v>
      </c>
      <c r="C24" s="6" t="s">
        <v>61</v>
      </c>
      <c r="D24" s="7" t="s">
        <v>88</v>
      </c>
      <c r="E24" s="6" t="s">
        <v>27</v>
      </c>
      <c r="F24" s="6" t="s">
        <v>31</v>
      </c>
      <c r="G24" s="6" t="s">
        <v>64</v>
      </c>
      <c r="H24" s="6" t="s">
        <v>16</v>
      </c>
      <c r="I24" s="6" t="s">
        <v>89</v>
      </c>
    </row>
    <row r="25" spans="1:9" x14ac:dyDescent="0.35">
      <c r="A25" s="2" t="s">
        <v>90</v>
      </c>
      <c r="B25" s="2" t="s">
        <v>91</v>
      </c>
      <c r="C25" s="2" t="s">
        <v>92</v>
      </c>
      <c r="D25" s="3" t="s">
        <v>93</v>
      </c>
      <c r="E25" s="2" t="s">
        <v>13</v>
      </c>
      <c r="F25" s="2" t="s">
        <v>31</v>
      </c>
      <c r="G25" s="2" t="s">
        <v>15</v>
      </c>
      <c r="H25" s="2" t="s">
        <v>16</v>
      </c>
      <c r="I25" s="2" t="s">
        <v>94</v>
      </c>
    </row>
    <row r="26" spans="1:9" x14ac:dyDescent="0.35">
      <c r="A26" s="2" t="s">
        <v>95</v>
      </c>
      <c r="B26" s="2" t="s">
        <v>91</v>
      </c>
      <c r="C26" s="2" t="s">
        <v>92</v>
      </c>
      <c r="D26" s="3" t="s">
        <v>96</v>
      </c>
      <c r="E26" s="2" t="s">
        <v>27</v>
      </c>
      <c r="F26" s="2" t="s">
        <v>31</v>
      </c>
      <c r="G26" s="2" t="s">
        <v>15</v>
      </c>
      <c r="H26" s="2" t="s">
        <v>16</v>
      </c>
      <c r="I26" s="2" t="s">
        <v>97</v>
      </c>
    </row>
    <row r="27" spans="1:9" x14ac:dyDescent="0.35">
      <c r="A27" s="2" t="s">
        <v>98</v>
      </c>
      <c r="B27" s="2" t="s">
        <v>91</v>
      </c>
      <c r="C27" s="2" t="s">
        <v>92</v>
      </c>
      <c r="D27" s="3" t="s">
        <v>99</v>
      </c>
      <c r="E27" s="2" t="s">
        <v>27</v>
      </c>
      <c r="F27" s="2" t="s">
        <v>14</v>
      </c>
      <c r="G27" s="2" t="s">
        <v>15</v>
      </c>
      <c r="H27" s="2" t="s">
        <v>16</v>
      </c>
      <c r="I27" s="2" t="s">
        <v>97</v>
      </c>
    </row>
    <row r="28" spans="1:9" x14ac:dyDescent="0.35">
      <c r="A28" s="2" t="s">
        <v>100</v>
      </c>
      <c r="B28" s="2" t="s">
        <v>91</v>
      </c>
      <c r="C28" s="2" t="s">
        <v>92</v>
      </c>
      <c r="D28" s="3" t="s">
        <v>101</v>
      </c>
      <c r="E28" s="2" t="s">
        <v>27</v>
      </c>
      <c r="F28" s="2" t="s">
        <v>31</v>
      </c>
      <c r="G28" s="2" t="s">
        <v>15</v>
      </c>
      <c r="H28" s="2" t="s">
        <v>16</v>
      </c>
      <c r="I28" s="2" t="s">
        <v>97</v>
      </c>
    </row>
    <row r="29" spans="1:9" x14ac:dyDescent="0.35">
      <c r="A29" s="2" t="s">
        <v>102</v>
      </c>
      <c r="B29" s="2" t="s">
        <v>91</v>
      </c>
      <c r="C29" s="2" t="s">
        <v>92</v>
      </c>
      <c r="D29" s="3" t="s">
        <v>103</v>
      </c>
      <c r="E29" s="2" t="s">
        <v>27</v>
      </c>
      <c r="F29" s="2" t="s">
        <v>14</v>
      </c>
      <c r="G29" s="2" t="s">
        <v>15</v>
      </c>
      <c r="H29" s="2" t="s">
        <v>16</v>
      </c>
      <c r="I29" s="2" t="s">
        <v>97</v>
      </c>
    </row>
    <row r="30" spans="1:9" x14ac:dyDescent="0.35">
      <c r="A30" s="2" t="s">
        <v>104</v>
      </c>
      <c r="B30" s="2" t="s">
        <v>91</v>
      </c>
      <c r="C30" s="2" t="s">
        <v>105</v>
      </c>
      <c r="D30" s="3" t="s">
        <v>106</v>
      </c>
      <c r="E30" s="2" t="s">
        <v>13</v>
      </c>
      <c r="F30" s="2" t="s">
        <v>63</v>
      </c>
      <c r="G30" s="2" t="s">
        <v>15</v>
      </c>
      <c r="H30" s="2" t="s">
        <v>16</v>
      </c>
      <c r="I30" s="2" t="s">
        <v>107</v>
      </c>
    </row>
    <row r="31" spans="1:9" x14ac:dyDescent="0.35">
      <c r="A31" s="2" t="s">
        <v>108</v>
      </c>
      <c r="B31" s="2" t="s">
        <v>91</v>
      </c>
      <c r="C31" s="2" t="s">
        <v>105</v>
      </c>
      <c r="D31" s="3" t="s">
        <v>109</v>
      </c>
      <c r="E31" s="2" t="s">
        <v>27</v>
      </c>
      <c r="F31" s="2" t="s">
        <v>31</v>
      </c>
      <c r="G31" s="2" t="s">
        <v>15</v>
      </c>
      <c r="H31" s="2" t="s">
        <v>16</v>
      </c>
      <c r="I31" s="2" t="s">
        <v>110</v>
      </c>
    </row>
    <row r="32" spans="1:9" x14ac:dyDescent="0.35">
      <c r="A32" s="2" t="s">
        <v>111</v>
      </c>
      <c r="B32" s="2" t="s">
        <v>91</v>
      </c>
      <c r="C32" s="2" t="s">
        <v>105</v>
      </c>
      <c r="D32" s="3" t="s">
        <v>112</v>
      </c>
      <c r="E32" s="2" t="s">
        <v>27</v>
      </c>
      <c r="F32" s="2" t="s">
        <v>31</v>
      </c>
      <c r="G32" s="2" t="s">
        <v>15</v>
      </c>
      <c r="H32" s="2" t="s">
        <v>16</v>
      </c>
      <c r="I32" s="2" t="s">
        <v>113</v>
      </c>
    </row>
    <row r="33" spans="1:9" x14ac:dyDescent="0.35">
      <c r="A33" s="2" t="s">
        <v>114</v>
      </c>
      <c r="B33" s="2" t="s">
        <v>91</v>
      </c>
      <c r="C33" s="2" t="s">
        <v>115</v>
      </c>
      <c r="D33" s="3" t="s">
        <v>116</v>
      </c>
      <c r="E33" s="2" t="s">
        <v>13</v>
      </c>
      <c r="F33" s="2" t="s">
        <v>63</v>
      </c>
      <c r="G33" s="2" t="s">
        <v>15</v>
      </c>
      <c r="H33" s="2" t="s">
        <v>16</v>
      </c>
      <c r="I33" s="2" t="s">
        <v>117</v>
      </c>
    </row>
    <row r="34" spans="1:9" x14ac:dyDescent="0.35">
      <c r="A34" s="2" t="s">
        <v>118</v>
      </c>
      <c r="B34" s="2" t="s">
        <v>91</v>
      </c>
      <c r="C34" s="2" t="s">
        <v>115</v>
      </c>
      <c r="D34" s="3" t="s">
        <v>119</v>
      </c>
      <c r="E34" s="2" t="s">
        <v>27</v>
      </c>
      <c r="F34" s="2" t="s">
        <v>63</v>
      </c>
      <c r="G34" s="2" t="s">
        <v>15</v>
      </c>
      <c r="H34" s="2" t="s">
        <v>16</v>
      </c>
      <c r="I34" s="2" t="s">
        <v>120</v>
      </c>
    </row>
    <row r="35" spans="1:9" x14ac:dyDescent="0.35">
      <c r="A35" s="2" t="s">
        <v>121</v>
      </c>
      <c r="B35" s="2" t="s">
        <v>91</v>
      </c>
      <c r="C35" s="2" t="s">
        <v>115</v>
      </c>
      <c r="D35" s="3" t="s">
        <v>122</v>
      </c>
      <c r="E35" s="2" t="s">
        <v>27</v>
      </c>
      <c r="F35" s="2" t="s">
        <v>31</v>
      </c>
      <c r="G35" s="2" t="s">
        <v>15</v>
      </c>
      <c r="H35" s="2" t="s">
        <v>16</v>
      </c>
      <c r="I35" s="2" t="s">
        <v>123</v>
      </c>
    </row>
    <row r="36" spans="1:9" x14ac:dyDescent="0.35">
      <c r="A36" s="2" t="s">
        <v>124</v>
      </c>
      <c r="B36" s="2" t="s">
        <v>91</v>
      </c>
      <c r="C36" s="2" t="s">
        <v>115</v>
      </c>
      <c r="D36" s="3" t="s">
        <v>125</v>
      </c>
      <c r="E36" s="2" t="s">
        <v>27</v>
      </c>
      <c r="F36" s="2" t="s">
        <v>31</v>
      </c>
      <c r="G36" s="2" t="s">
        <v>15</v>
      </c>
      <c r="H36" s="2" t="s">
        <v>16</v>
      </c>
      <c r="I36" s="2" t="s">
        <v>126</v>
      </c>
    </row>
    <row r="37" spans="1:9" x14ac:dyDescent="0.35">
      <c r="A37" s="2" t="s">
        <v>127</v>
      </c>
      <c r="B37" s="2" t="s">
        <v>91</v>
      </c>
      <c r="C37" s="2" t="s">
        <v>115</v>
      </c>
      <c r="D37" s="3" t="s">
        <v>128</v>
      </c>
      <c r="E37" s="2" t="s">
        <v>27</v>
      </c>
      <c r="F37" s="2" t="s">
        <v>63</v>
      </c>
      <c r="G37" s="2" t="s">
        <v>15</v>
      </c>
      <c r="H37" s="2" t="s">
        <v>16</v>
      </c>
      <c r="I37" s="2" t="s">
        <v>129</v>
      </c>
    </row>
    <row r="38" spans="1:9" x14ac:dyDescent="0.35">
      <c r="A38" s="2" t="s">
        <v>130</v>
      </c>
      <c r="B38" s="2" t="s">
        <v>91</v>
      </c>
      <c r="C38" s="2" t="s">
        <v>115</v>
      </c>
      <c r="D38" s="3" t="s">
        <v>131</v>
      </c>
      <c r="E38" s="2" t="s">
        <v>27</v>
      </c>
      <c r="F38" s="2" t="s">
        <v>31</v>
      </c>
      <c r="G38" s="2" t="s">
        <v>15</v>
      </c>
      <c r="H38" s="2" t="s">
        <v>16</v>
      </c>
      <c r="I38" s="2" t="s">
        <v>132</v>
      </c>
    </row>
    <row r="39" spans="1:9" x14ac:dyDescent="0.35">
      <c r="A39" s="2" t="s">
        <v>133</v>
      </c>
      <c r="B39" s="2" t="s">
        <v>91</v>
      </c>
      <c r="C39" s="2" t="s">
        <v>115</v>
      </c>
      <c r="D39" s="3" t="s">
        <v>134</v>
      </c>
      <c r="E39" s="2" t="s">
        <v>27</v>
      </c>
      <c r="F39" s="2" t="s">
        <v>63</v>
      </c>
      <c r="G39" s="2" t="s">
        <v>15</v>
      </c>
      <c r="H39" s="2" t="s">
        <v>16</v>
      </c>
      <c r="I39" s="2" t="s">
        <v>135</v>
      </c>
    </row>
    <row r="40" spans="1:9" x14ac:dyDescent="0.35">
      <c r="A40" s="2" t="s">
        <v>136</v>
      </c>
      <c r="B40" s="2" t="s">
        <v>91</v>
      </c>
      <c r="C40" s="2" t="s">
        <v>115</v>
      </c>
      <c r="D40" s="3" t="s">
        <v>137</v>
      </c>
      <c r="E40" s="2" t="s">
        <v>27</v>
      </c>
      <c r="F40" s="2" t="s">
        <v>31</v>
      </c>
      <c r="G40" s="2" t="s">
        <v>15</v>
      </c>
      <c r="H40" s="2" t="s">
        <v>16</v>
      </c>
      <c r="I40" s="2" t="s">
        <v>138</v>
      </c>
    </row>
    <row r="41" spans="1:9" x14ac:dyDescent="0.35">
      <c r="A41" s="2" t="s">
        <v>139</v>
      </c>
      <c r="B41" s="2" t="s">
        <v>91</v>
      </c>
      <c r="C41" s="2" t="s">
        <v>115</v>
      </c>
      <c r="D41" s="3" t="s">
        <v>140</v>
      </c>
      <c r="E41" s="2" t="s">
        <v>27</v>
      </c>
      <c r="F41" s="2" t="s">
        <v>31</v>
      </c>
      <c r="G41" s="2" t="s">
        <v>15</v>
      </c>
      <c r="H41" s="2" t="s">
        <v>16</v>
      </c>
      <c r="I41" s="2" t="s">
        <v>141</v>
      </c>
    </row>
    <row r="42" spans="1:9" x14ac:dyDescent="0.35">
      <c r="A42" s="2" t="s">
        <v>142</v>
      </c>
      <c r="B42" s="2" t="s">
        <v>91</v>
      </c>
      <c r="C42" s="2" t="s">
        <v>115</v>
      </c>
      <c r="D42" s="3" t="s">
        <v>143</v>
      </c>
      <c r="E42" s="2" t="s">
        <v>13</v>
      </c>
      <c r="F42" s="2" t="s">
        <v>63</v>
      </c>
      <c r="G42" s="2" t="s">
        <v>15</v>
      </c>
      <c r="H42" s="2" t="s">
        <v>16</v>
      </c>
      <c r="I42" s="2" t="s">
        <v>144</v>
      </c>
    </row>
    <row r="43" spans="1:9" x14ac:dyDescent="0.35">
      <c r="A43" s="2" t="s">
        <v>145</v>
      </c>
      <c r="B43" s="2" t="s">
        <v>91</v>
      </c>
      <c r="C43" s="2" t="s">
        <v>115</v>
      </c>
      <c r="D43" s="3" t="s">
        <v>146</v>
      </c>
      <c r="E43" s="2" t="s">
        <v>13</v>
      </c>
      <c r="F43" s="2" t="s">
        <v>63</v>
      </c>
      <c r="G43" s="2" t="s">
        <v>15</v>
      </c>
      <c r="H43" s="2" t="s">
        <v>16</v>
      </c>
      <c r="I43" s="2" t="s">
        <v>147</v>
      </c>
    </row>
    <row r="44" spans="1:9" x14ac:dyDescent="0.35">
      <c r="A44" s="2" t="s">
        <v>148</v>
      </c>
      <c r="B44" s="2" t="s">
        <v>91</v>
      </c>
      <c r="C44" s="2" t="s">
        <v>115</v>
      </c>
      <c r="D44" s="3" t="s">
        <v>149</v>
      </c>
      <c r="E44" s="2" t="s">
        <v>13</v>
      </c>
      <c r="F44" s="2" t="s">
        <v>31</v>
      </c>
      <c r="G44" s="2" t="s">
        <v>15</v>
      </c>
      <c r="H44" s="2" t="s">
        <v>16</v>
      </c>
      <c r="I44" s="2" t="s">
        <v>150</v>
      </c>
    </row>
    <row r="45" spans="1:9" x14ac:dyDescent="0.35">
      <c r="A45" s="2" t="s">
        <v>151</v>
      </c>
      <c r="B45" s="2" t="s">
        <v>43</v>
      </c>
      <c r="C45" s="2" t="s">
        <v>152</v>
      </c>
      <c r="D45" s="3" t="s">
        <v>153</v>
      </c>
      <c r="E45" s="2" t="s">
        <v>13</v>
      </c>
      <c r="F45" s="2" t="s">
        <v>31</v>
      </c>
      <c r="G45" s="2" t="s">
        <v>15</v>
      </c>
      <c r="H45" s="2" t="s">
        <v>16</v>
      </c>
      <c r="I45" s="2" t="s">
        <v>154</v>
      </c>
    </row>
    <row r="46" spans="1:9" x14ac:dyDescent="0.35">
      <c r="A46" s="2" t="s">
        <v>155</v>
      </c>
      <c r="B46" s="2" t="s">
        <v>156</v>
      </c>
      <c r="C46" s="2" t="s">
        <v>152</v>
      </c>
      <c r="D46" s="3" t="s">
        <v>157</v>
      </c>
      <c r="E46" s="2" t="s">
        <v>13</v>
      </c>
      <c r="F46" s="2" t="s">
        <v>31</v>
      </c>
      <c r="G46" s="2" t="s">
        <v>15</v>
      </c>
      <c r="H46" s="2" t="s">
        <v>16</v>
      </c>
      <c r="I46" s="2" t="s">
        <v>158</v>
      </c>
    </row>
    <row r="47" spans="1:9" x14ac:dyDescent="0.35">
      <c r="A47" s="2" t="s">
        <v>159</v>
      </c>
      <c r="B47" s="2" t="s">
        <v>10</v>
      </c>
      <c r="C47" s="2" t="s">
        <v>152</v>
      </c>
      <c r="D47" s="3" t="s">
        <v>160</v>
      </c>
      <c r="E47" s="2" t="s">
        <v>27</v>
      </c>
      <c r="F47" s="2" t="s">
        <v>14</v>
      </c>
      <c r="G47" s="2" t="s">
        <v>15</v>
      </c>
      <c r="H47" s="2" t="s">
        <v>16</v>
      </c>
      <c r="I47" s="2" t="s">
        <v>161</v>
      </c>
    </row>
    <row r="48" spans="1:9" x14ac:dyDescent="0.35">
      <c r="A48" s="6" t="s">
        <v>162</v>
      </c>
      <c r="B48" s="6" t="s">
        <v>163</v>
      </c>
      <c r="C48" s="6" t="s">
        <v>164</v>
      </c>
      <c r="D48" s="7" t="s">
        <v>165</v>
      </c>
      <c r="E48" s="6" t="s">
        <v>13</v>
      </c>
      <c r="F48" s="6" t="s">
        <v>63</v>
      </c>
      <c r="G48" s="6" t="s">
        <v>64</v>
      </c>
      <c r="H48" s="6" t="s">
        <v>16</v>
      </c>
      <c r="I48" s="6" t="s">
        <v>166</v>
      </c>
    </row>
    <row r="49" spans="1:9" x14ac:dyDescent="0.35">
      <c r="A49" s="6" t="s">
        <v>167</v>
      </c>
      <c r="B49" s="6" t="s">
        <v>163</v>
      </c>
      <c r="C49" s="6" t="s">
        <v>164</v>
      </c>
      <c r="D49" s="7" t="s">
        <v>168</v>
      </c>
      <c r="E49" s="6" t="s">
        <v>27</v>
      </c>
      <c r="F49" s="6" t="s">
        <v>14</v>
      </c>
      <c r="G49" s="6" t="s">
        <v>64</v>
      </c>
      <c r="H49" s="6" t="s">
        <v>16</v>
      </c>
      <c r="I49" s="6" t="s">
        <v>169</v>
      </c>
    </row>
    <row r="50" spans="1:9" x14ac:dyDescent="0.35">
      <c r="A50" s="8" t="s">
        <v>170</v>
      </c>
      <c r="B50" s="8" t="s">
        <v>163</v>
      </c>
      <c r="C50" s="8" t="s">
        <v>164</v>
      </c>
      <c r="D50" s="9" t="s">
        <v>171</v>
      </c>
      <c r="E50" s="8" t="s">
        <v>27</v>
      </c>
      <c r="F50" s="8" t="s">
        <v>14</v>
      </c>
      <c r="G50" s="8" t="s">
        <v>172</v>
      </c>
      <c r="H50" s="8" t="s">
        <v>16</v>
      </c>
      <c r="I50" s="8" t="s">
        <v>173</v>
      </c>
    </row>
    <row r="51" spans="1:9" x14ac:dyDescent="0.35">
      <c r="A51" s="6" t="s">
        <v>174</v>
      </c>
      <c r="B51" s="6" t="s">
        <v>163</v>
      </c>
      <c r="C51" s="6" t="s">
        <v>164</v>
      </c>
      <c r="D51" s="7" t="s">
        <v>175</v>
      </c>
      <c r="E51" s="6" t="s">
        <v>13</v>
      </c>
      <c r="F51" s="6" t="s">
        <v>63</v>
      </c>
      <c r="G51" s="6" t="s">
        <v>64</v>
      </c>
      <c r="H51" s="6" t="s">
        <v>16</v>
      </c>
      <c r="I51" s="6" t="s">
        <v>176</v>
      </c>
    </row>
    <row r="52" spans="1:9" x14ac:dyDescent="0.35">
      <c r="A52" s="6" t="s">
        <v>177</v>
      </c>
      <c r="B52" s="6" t="s">
        <v>163</v>
      </c>
      <c r="C52" s="6" t="s">
        <v>164</v>
      </c>
      <c r="D52" s="7" t="s">
        <v>178</v>
      </c>
      <c r="E52" s="6" t="s">
        <v>27</v>
      </c>
      <c r="F52" s="6" t="s">
        <v>31</v>
      </c>
      <c r="G52" s="6" t="s">
        <v>64</v>
      </c>
      <c r="H52" s="6" t="s">
        <v>16</v>
      </c>
      <c r="I52" s="6" t="s">
        <v>179</v>
      </c>
    </row>
    <row r="53" spans="1:9" x14ac:dyDescent="0.35">
      <c r="A53" s="6" t="s">
        <v>180</v>
      </c>
      <c r="B53" s="6" t="s">
        <v>163</v>
      </c>
      <c r="C53" s="6" t="s">
        <v>164</v>
      </c>
      <c r="D53" s="7" t="s">
        <v>181</v>
      </c>
      <c r="E53" s="6" t="s">
        <v>27</v>
      </c>
      <c r="F53" s="6" t="s">
        <v>14</v>
      </c>
      <c r="G53" s="6" t="s">
        <v>64</v>
      </c>
      <c r="H53" s="6" t="s">
        <v>16</v>
      </c>
      <c r="I53" s="6" t="s">
        <v>182</v>
      </c>
    </row>
    <row r="54" spans="1:9" x14ac:dyDescent="0.35">
      <c r="A54" s="6" t="s">
        <v>183</v>
      </c>
      <c r="B54" s="6" t="s">
        <v>91</v>
      </c>
      <c r="C54" s="6" t="s">
        <v>184</v>
      </c>
      <c r="D54" s="7" t="s">
        <v>184</v>
      </c>
      <c r="E54" s="6" t="s">
        <v>13</v>
      </c>
      <c r="F54" s="6" t="s">
        <v>31</v>
      </c>
      <c r="G54" s="6" t="s">
        <v>64</v>
      </c>
      <c r="H54" s="6" t="s">
        <v>16</v>
      </c>
      <c r="I54" s="6" t="s">
        <v>185</v>
      </c>
    </row>
    <row r="55" spans="1:9" x14ac:dyDescent="0.35">
      <c r="A55" s="6" t="s">
        <v>186</v>
      </c>
      <c r="B55" s="6" t="s">
        <v>91</v>
      </c>
      <c r="C55" s="6" t="s">
        <v>184</v>
      </c>
      <c r="D55" s="7" t="s">
        <v>187</v>
      </c>
      <c r="E55" s="6" t="s">
        <v>27</v>
      </c>
      <c r="F55" s="6" t="s">
        <v>31</v>
      </c>
      <c r="G55" s="6" t="s">
        <v>64</v>
      </c>
      <c r="H55" s="6" t="s">
        <v>16</v>
      </c>
      <c r="I55" s="6" t="s">
        <v>188</v>
      </c>
    </row>
    <row r="56" spans="1:9" x14ac:dyDescent="0.35">
      <c r="A56" s="6" t="s">
        <v>189</v>
      </c>
      <c r="B56" s="6" t="s">
        <v>91</v>
      </c>
      <c r="C56" s="6" t="s">
        <v>184</v>
      </c>
      <c r="D56" s="7" t="s">
        <v>190</v>
      </c>
      <c r="E56" s="6" t="s">
        <v>27</v>
      </c>
      <c r="F56" s="6" t="s">
        <v>31</v>
      </c>
      <c r="G56" s="6" t="s">
        <v>64</v>
      </c>
      <c r="H56" s="6" t="s">
        <v>16</v>
      </c>
      <c r="I56" s="6" t="s">
        <v>191</v>
      </c>
    </row>
    <row r="57" spans="1:9" x14ac:dyDescent="0.35">
      <c r="A57" s="6" t="s">
        <v>192</v>
      </c>
      <c r="B57" s="6" t="s">
        <v>91</v>
      </c>
      <c r="C57" s="6" t="s">
        <v>184</v>
      </c>
      <c r="D57" s="7" t="s">
        <v>193</v>
      </c>
      <c r="E57" s="6" t="s">
        <v>27</v>
      </c>
      <c r="F57" s="6" t="s">
        <v>31</v>
      </c>
      <c r="G57" s="6" t="s">
        <v>64</v>
      </c>
      <c r="H57" s="6" t="s">
        <v>16</v>
      </c>
      <c r="I57" s="6" t="s">
        <v>194</v>
      </c>
    </row>
    <row r="58" spans="1:9" x14ac:dyDescent="0.35">
      <c r="A58" s="6" t="s">
        <v>195</v>
      </c>
      <c r="B58" s="6" t="s">
        <v>91</v>
      </c>
      <c r="C58" s="6" t="s">
        <v>184</v>
      </c>
      <c r="D58" s="7" t="s">
        <v>196</v>
      </c>
      <c r="E58" s="6" t="s">
        <v>27</v>
      </c>
      <c r="F58" s="6" t="s">
        <v>14</v>
      </c>
      <c r="G58" s="6" t="s">
        <v>64</v>
      </c>
      <c r="H58" s="6" t="s">
        <v>16</v>
      </c>
      <c r="I58" s="6" t="s">
        <v>197</v>
      </c>
    </row>
    <row r="59" spans="1:9" x14ac:dyDescent="0.35">
      <c r="A59" s="6" t="s">
        <v>198</v>
      </c>
      <c r="B59" s="6" t="s">
        <v>91</v>
      </c>
      <c r="C59" s="6" t="s">
        <v>184</v>
      </c>
      <c r="D59" s="7" t="s">
        <v>199</v>
      </c>
      <c r="E59" s="6" t="s">
        <v>27</v>
      </c>
      <c r="F59" s="6" t="s">
        <v>14</v>
      </c>
      <c r="G59" s="6" t="s">
        <v>64</v>
      </c>
      <c r="H59" s="6" t="s">
        <v>16</v>
      </c>
      <c r="I59" s="6" t="s">
        <v>200</v>
      </c>
    </row>
    <row r="60" spans="1:9" x14ac:dyDescent="0.35">
      <c r="A60" s="8" t="s">
        <v>201</v>
      </c>
      <c r="B60" s="8" t="s">
        <v>163</v>
      </c>
      <c r="C60" s="8" t="s">
        <v>202</v>
      </c>
      <c r="D60" s="9" t="s">
        <v>203</v>
      </c>
      <c r="E60" s="8" t="s">
        <v>13</v>
      </c>
      <c r="F60" s="8" t="s">
        <v>63</v>
      </c>
      <c r="G60" s="8" t="s">
        <v>172</v>
      </c>
      <c r="H60" s="8" t="s">
        <v>16</v>
      </c>
      <c r="I60" s="8" t="s">
        <v>204</v>
      </c>
    </row>
    <row r="61" spans="1:9" x14ac:dyDescent="0.35">
      <c r="A61" s="8" t="s">
        <v>205</v>
      </c>
      <c r="B61" s="8" t="s">
        <v>163</v>
      </c>
      <c r="C61" s="8" t="s">
        <v>202</v>
      </c>
      <c r="D61" s="9" t="s">
        <v>206</v>
      </c>
      <c r="E61" s="8" t="s">
        <v>27</v>
      </c>
      <c r="F61" s="8" t="s">
        <v>31</v>
      </c>
      <c r="G61" s="8" t="s">
        <v>172</v>
      </c>
      <c r="H61" s="8" t="s">
        <v>16</v>
      </c>
      <c r="I61" s="8" t="s">
        <v>207</v>
      </c>
    </row>
    <row r="62" spans="1:9" x14ac:dyDescent="0.35">
      <c r="A62" s="10" t="s">
        <v>208</v>
      </c>
      <c r="B62" s="10" t="s">
        <v>209</v>
      </c>
      <c r="C62" s="10" t="s">
        <v>210</v>
      </c>
      <c r="D62" s="11" t="s">
        <v>211</v>
      </c>
      <c r="E62" s="10" t="s">
        <v>13</v>
      </c>
      <c r="F62" s="10" t="s">
        <v>31</v>
      </c>
      <c r="G62" s="10" t="s">
        <v>212</v>
      </c>
      <c r="H62" s="10" t="s">
        <v>16</v>
      </c>
      <c r="I62" s="10" t="s">
        <v>213</v>
      </c>
    </row>
    <row r="63" spans="1:9" x14ac:dyDescent="0.35">
      <c r="A63" s="10" t="s">
        <v>214</v>
      </c>
      <c r="B63" s="10" t="s">
        <v>209</v>
      </c>
      <c r="C63" s="10" t="s">
        <v>210</v>
      </c>
      <c r="D63" s="11" t="s">
        <v>215</v>
      </c>
      <c r="E63" s="10" t="s">
        <v>13</v>
      </c>
      <c r="F63" s="10" t="s">
        <v>31</v>
      </c>
      <c r="G63" s="10" t="s">
        <v>212</v>
      </c>
      <c r="H63" s="10" t="s">
        <v>16</v>
      </c>
      <c r="I63" s="10" t="s">
        <v>213</v>
      </c>
    </row>
    <row r="64" spans="1:9" x14ac:dyDescent="0.35">
      <c r="A64" s="10" t="s">
        <v>216</v>
      </c>
      <c r="B64" s="10" t="s">
        <v>209</v>
      </c>
      <c r="C64" s="10" t="s">
        <v>210</v>
      </c>
      <c r="D64" s="11" t="s">
        <v>217</v>
      </c>
      <c r="E64" s="10" t="s">
        <v>27</v>
      </c>
      <c r="F64" s="10" t="s">
        <v>31</v>
      </c>
      <c r="G64" s="10" t="s">
        <v>212</v>
      </c>
      <c r="H64" s="10" t="s">
        <v>16</v>
      </c>
      <c r="I64" s="10" t="s">
        <v>218</v>
      </c>
    </row>
    <row r="65" spans="1:9" x14ac:dyDescent="0.35">
      <c r="A65" s="10" t="s">
        <v>219</v>
      </c>
      <c r="B65" s="10" t="s">
        <v>209</v>
      </c>
      <c r="C65" s="10" t="s">
        <v>210</v>
      </c>
      <c r="D65" s="11" t="s">
        <v>220</v>
      </c>
      <c r="E65" s="10" t="s">
        <v>27</v>
      </c>
      <c r="F65" s="10" t="s">
        <v>14</v>
      </c>
      <c r="G65" s="10" t="s">
        <v>212</v>
      </c>
      <c r="H65" s="10" t="s">
        <v>16</v>
      </c>
      <c r="I65" s="10" t="s">
        <v>221</v>
      </c>
    </row>
    <row r="66" spans="1:9" x14ac:dyDescent="0.35">
      <c r="A66" s="10" t="s">
        <v>222</v>
      </c>
      <c r="B66" s="10" t="s">
        <v>209</v>
      </c>
      <c r="C66" s="10" t="s">
        <v>210</v>
      </c>
      <c r="D66" s="11" t="s">
        <v>223</v>
      </c>
      <c r="E66" s="10" t="s">
        <v>27</v>
      </c>
      <c r="F66" s="10" t="s">
        <v>14</v>
      </c>
      <c r="G66" s="10" t="s">
        <v>212</v>
      </c>
      <c r="H66" s="10" t="s">
        <v>16</v>
      </c>
      <c r="I66" s="10" t="s">
        <v>221</v>
      </c>
    </row>
    <row r="67" spans="1:9" x14ac:dyDescent="0.35">
      <c r="A67" s="10" t="s">
        <v>224</v>
      </c>
      <c r="B67" s="10" t="s">
        <v>209</v>
      </c>
      <c r="C67" s="10" t="s">
        <v>210</v>
      </c>
      <c r="D67" s="11" t="s">
        <v>225</v>
      </c>
      <c r="E67" s="10" t="s">
        <v>27</v>
      </c>
      <c r="F67" s="10" t="s">
        <v>31</v>
      </c>
      <c r="G67" s="10" t="s">
        <v>212</v>
      </c>
      <c r="H67" s="10" t="s">
        <v>16</v>
      </c>
      <c r="I67" s="10" t="s">
        <v>221</v>
      </c>
    </row>
    <row r="68" spans="1:9" x14ac:dyDescent="0.35">
      <c r="A68" s="10" t="s">
        <v>226</v>
      </c>
      <c r="B68" s="10" t="s">
        <v>209</v>
      </c>
      <c r="C68" s="10" t="s">
        <v>210</v>
      </c>
      <c r="D68" s="11" t="s">
        <v>227</v>
      </c>
      <c r="E68" s="10" t="s">
        <v>27</v>
      </c>
      <c r="F68" s="10" t="s">
        <v>14</v>
      </c>
      <c r="G68" s="10" t="s">
        <v>212</v>
      </c>
      <c r="H68" s="10" t="s">
        <v>16</v>
      </c>
      <c r="I68" s="10" t="s">
        <v>221</v>
      </c>
    </row>
    <row r="69" spans="1:9" x14ac:dyDescent="0.35">
      <c r="A69" s="10" t="s">
        <v>228</v>
      </c>
      <c r="B69" s="10" t="s">
        <v>163</v>
      </c>
      <c r="C69" s="10" t="s">
        <v>229</v>
      </c>
      <c r="D69" s="11" t="s">
        <v>230</v>
      </c>
      <c r="E69" s="10" t="s">
        <v>13</v>
      </c>
      <c r="F69" s="10" t="s">
        <v>31</v>
      </c>
      <c r="G69" s="10" t="s">
        <v>212</v>
      </c>
      <c r="H69" s="10" t="s">
        <v>16</v>
      </c>
      <c r="I69" s="10" t="s">
        <v>231</v>
      </c>
    </row>
    <row r="70" spans="1:9" x14ac:dyDescent="0.35">
      <c r="A70" s="4" t="s">
        <v>232</v>
      </c>
      <c r="B70" s="4" t="s">
        <v>156</v>
      </c>
      <c r="C70" s="4" t="s">
        <v>34</v>
      </c>
      <c r="D70" s="5" t="s">
        <v>233</v>
      </c>
      <c r="E70" s="4" t="s">
        <v>13</v>
      </c>
      <c r="F70" s="4" t="s">
        <v>31</v>
      </c>
      <c r="G70" s="4" t="s">
        <v>36</v>
      </c>
      <c r="H70" s="4" t="s">
        <v>16</v>
      </c>
      <c r="I70" s="4" t="s">
        <v>234</v>
      </c>
    </row>
    <row r="71" spans="1:9" x14ac:dyDescent="0.35">
      <c r="A71" s="4" t="s">
        <v>235</v>
      </c>
      <c r="B71" s="4" t="s">
        <v>156</v>
      </c>
      <c r="C71" s="4" t="s">
        <v>34</v>
      </c>
      <c r="D71" s="5" t="s">
        <v>236</v>
      </c>
      <c r="E71" s="4" t="s">
        <v>27</v>
      </c>
      <c r="F71" s="4" t="s">
        <v>14</v>
      </c>
      <c r="G71" s="4" t="s">
        <v>36</v>
      </c>
      <c r="H71" s="4" t="s">
        <v>16</v>
      </c>
      <c r="I71" s="4" t="s">
        <v>237</v>
      </c>
    </row>
    <row r="72" spans="1:9" x14ac:dyDescent="0.35">
      <c r="A72" s="6" t="s">
        <v>238</v>
      </c>
      <c r="B72" s="6" t="s">
        <v>239</v>
      </c>
      <c r="C72" s="6" t="s">
        <v>240</v>
      </c>
      <c r="D72" s="7" t="s">
        <v>241</v>
      </c>
      <c r="E72" s="6" t="s">
        <v>13</v>
      </c>
      <c r="F72" s="6" t="s">
        <v>63</v>
      </c>
      <c r="G72" s="6" t="s">
        <v>64</v>
      </c>
      <c r="H72" s="6" t="s">
        <v>16</v>
      </c>
      <c r="I72" s="6" t="s">
        <v>242</v>
      </c>
    </row>
    <row r="73" spans="1:9" x14ac:dyDescent="0.35">
      <c r="A73" s="6" t="s">
        <v>243</v>
      </c>
      <c r="B73" s="6" t="s">
        <v>239</v>
      </c>
      <c r="C73" s="6" t="s">
        <v>240</v>
      </c>
      <c r="D73" s="7" t="s">
        <v>244</v>
      </c>
      <c r="E73" s="6" t="s">
        <v>13</v>
      </c>
      <c r="F73" s="6" t="s">
        <v>31</v>
      </c>
      <c r="G73" s="6" t="s">
        <v>64</v>
      </c>
      <c r="H73" s="6" t="s">
        <v>16</v>
      </c>
      <c r="I73" s="6" t="s">
        <v>245</v>
      </c>
    </row>
    <row r="75" spans="1:9" x14ac:dyDescent="0.35">
      <c r="A75" s="12" t="s">
        <v>246</v>
      </c>
      <c r="D75" s="12" t="s">
        <v>247</v>
      </c>
    </row>
    <row r="76" spans="1:9" x14ac:dyDescent="0.35">
      <c r="A76" s="13" t="s">
        <v>248</v>
      </c>
      <c r="B76" s="13" t="s">
        <v>209</v>
      </c>
      <c r="C76" s="13" t="s">
        <v>210</v>
      </c>
      <c r="D76" s="14" t="s">
        <v>249</v>
      </c>
      <c r="E76" s="13" t="s">
        <v>13</v>
      </c>
      <c r="F76" s="13" t="s">
        <v>31</v>
      </c>
      <c r="G76" s="13" t="s">
        <v>36</v>
      </c>
      <c r="H76" s="13" t="s">
        <v>250</v>
      </c>
      <c r="I76" s="13" t="s">
        <v>251</v>
      </c>
    </row>
    <row r="77" spans="1:9" x14ac:dyDescent="0.35">
      <c r="A77" s="13" t="s">
        <v>252</v>
      </c>
      <c r="B77" s="13" t="s">
        <v>156</v>
      </c>
      <c r="C77" s="13" t="s">
        <v>210</v>
      </c>
      <c r="D77" s="14" t="s">
        <v>253</v>
      </c>
      <c r="E77" s="13" t="s">
        <v>13</v>
      </c>
      <c r="F77" s="13" t="s">
        <v>31</v>
      </c>
      <c r="G77" s="13" t="s">
        <v>36</v>
      </c>
      <c r="H77" s="13" t="s">
        <v>250</v>
      </c>
      <c r="I77" s="13" t="s">
        <v>254</v>
      </c>
    </row>
    <row r="78" spans="1:9" x14ac:dyDescent="0.35">
      <c r="A78" s="13" t="s">
        <v>255</v>
      </c>
      <c r="B78" s="13" t="s">
        <v>163</v>
      </c>
      <c r="C78" s="13" t="s">
        <v>164</v>
      </c>
      <c r="D78" s="14" t="s">
        <v>256</v>
      </c>
      <c r="E78" s="13" t="s">
        <v>13</v>
      </c>
      <c r="F78" s="13" t="s">
        <v>31</v>
      </c>
      <c r="G78" s="13" t="s">
        <v>64</v>
      </c>
      <c r="H78" s="13" t="s">
        <v>250</v>
      </c>
      <c r="I78" s="13" t="s">
        <v>257</v>
      </c>
    </row>
    <row r="79" spans="1:9" x14ac:dyDescent="0.35">
      <c r="A79" s="15" t="s">
        <v>258</v>
      </c>
      <c r="B79" s="15" t="s">
        <v>259</v>
      </c>
      <c r="C79" s="15" t="s">
        <v>202</v>
      </c>
      <c r="D79" s="16" t="s">
        <v>260</v>
      </c>
      <c r="E79" s="15" t="s">
        <v>13</v>
      </c>
      <c r="F79" s="15" t="s">
        <v>31</v>
      </c>
      <c r="G79" s="15" t="s">
        <v>172</v>
      </c>
      <c r="H79" s="15" t="s">
        <v>261</v>
      </c>
      <c r="I79" s="15" t="s">
        <v>262</v>
      </c>
    </row>
    <row r="80" spans="1:9" x14ac:dyDescent="0.35">
      <c r="A80" s="15" t="s">
        <v>263</v>
      </c>
      <c r="B80" s="15" t="s">
        <v>259</v>
      </c>
      <c r="C80" s="15" t="s">
        <v>202</v>
      </c>
      <c r="D80" s="16" t="s">
        <v>264</v>
      </c>
      <c r="E80" s="15" t="s">
        <v>13</v>
      </c>
      <c r="F80" s="15" t="s">
        <v>31</v>
      </c>
      <c r="G80" s="15" t="s">
        <v>172</v>
      </c>
      <c r="H80" s="15" t="s">
        <v>261</v>
      </c>
      <c r="I80" s="15" t="s">
        <v>265</v>
      </c>
    </row>
    <row r="81" spans="1:9" x14ac:dyDescent="0.35">
      <c r="A81" s="17" t="s">
        <v>266</v>
      </c>
      <c r="B81" s="17" t="s">
        <v>209</v>
      </c>
      <c r="C81" s="17" t="s">
        <v>267</v>
      </c>
      <c r="D81" s="18" t="s">
        <v>268</v>
      </c>
      <c r="E81" s="17" t="s">
        <v>13</v>
      </c>
      <c r="F81" s="17" t="s">
        <v>63</v>
      </c>
      <c r="G81" s="17" t="s">
        <v>36</v>
      </c>
      <c r="H81" s="17" t="s">
        <v>269</v>
      </c>
      <c r="I81" s="17" t="s">
        <v>270</v>
      </c>
    </row>
    <row r="82" spans="1:9" x14ac:dyDescent="0.35">
      <c r="A82" s="17" t="s">
        <v>271</v>
      </c>
      <c r="B82" s="17" t="s">
        <v>209</v>
      </c>
      <c r="C82" s="17" t="s">
        <v>267</v>
      </c>
      <c r="D82" s="18" t="s">
        <v>272</v>
      </c>
      <c r="E82" s="17" t="s">
        <v>13</v>
      </c>
      <c r="F82" s="17" t="s">
        <v>31</v>
      </c>
      <c r="G82" s="17" t="s">
        <v>36</v>
      </c>
      <c r="H82" s="17" t="s">
        <v>269</v>
      </c>
      <c r="I82" s="17" t="s">
        <v>273</v>
      </c>
    </row>
    <row r="83" spans="1:9" x14ac:dyDescent="0.35">
      <c r="A83" s="17" t="s">
        <v>274</v>
      </c>
      <c r="B83" s="17" t="s">
        <v>209</v>
      </c>
      <c r="C83" s="17" t="s">
        <v>267</v>
      </c>
      <c r="D83" s="18" t="s">
        <v>275</v>
      </c>
      <c r="E83" s="17" t="s">
        <v>13</v>
      </c>
      <c r="F83" s="17" t="s">
        <v>31</v>
      </c>
      <c r="G83" s="17" t="s">
        <v>36</v>
      </c>
      <c r="H83" s="17" t="s">
        <v>269</v>
      </c>
      <c r="I83" s="17" t="s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8" customWidth="1"/>
    <col min="2" max="2" width="16" customWidth="1"/>
    <col min="3" max="3" width="24" customWidth="1"/>
    <col min="4" max="4" width="52" customWidth="1"/>
    <col min="5" max="5" width="11" customWidth="1"/>
    <col min="6" max="6" width="13" customWidth="1"/>
  </cols>
  <sheetData>
    <row r="1" spans="1:6" x14ac:dyDescent="0.35">
      <c r="A1" s="1" t="s">
        <v>0</v>
      </c>
      <c r="B1" s="1" t="s">
        <v>4</v>
      </c>
      <c r="C1" s="1" t="s">
        <v>276</v>
      </c>
      <c r="D1" s="1" t="s">
        <v>277</v>
      </c>
      <c r="E1" s="1" t="s">
        <v>5</v>
      </c>
      <c r="F1" s="1" t="s">
        <v>278</v>
      </c>
    </row>
    <row r="2" spans="1:6" x14ac:dyDescent="0.35">
      <c r="A2" s="19" t="s">
        <v>279</v>
      </c>
      <c r="B2" s="19" t="s">
        <v>280</v>
      </c>
      <c r="C2" s="19" t="s">
        <v>281</v>
      </c>
      <c r="D2" s="20" t="s">
        <v>282</v>
      </c>
      <c r="E2" s="19" t="s">
        <v>63</v>
      </c>
      <c r="F2" s="19">
        <v>3</v>
      </c>
    </row>
    <row r="3" spans="1:6" ht="29" x14ac:dyDescent="0.35">
      <c r="A3" s="19" t="s">
        <v>283</v>
      </c>
      <c r="B3" s="19" t="s">
        <v>280</v>
      </c>
      <c r="C3" s="19" t="s">
        <v>284</v>
      </c>
      <c r="D3" s="20" t="s">
        <v>285</v>
      </c>
      <c r="E3" s="19" t="s">
        <v>31</v>
      </c>
      <c r="F3" s="19">
        <v>3</v>
      </c>
    </row>
    <row r="4" spans="1:6" x14ac:dyDescent="0.35">
      <c r="A4" s="19" t="s">
        <v>286</v>
      </c>
      <c r="B4" s="19" t="s">
        <v>280</v>
      </c>
      <c r="C4" s="19" t="s">
        <v>287</v>
      </c>
      <c r="D4" s="20" t="s">
        <v>288</v>
      </c>
      <c r="E4" s="19" t="s">
        <v>31</v>
      </c>
      <c r="F4" s="19">
        <v>2</v>
      </c>
    </row>
    <row r="5" spans="1:6" x14ac:dyDescent="0.35">
      <c r="A5" s="19" t="s">
        <v>289</v>
      </c>
      <c r="B5" s="19" t="s">
        <v>290</v>
      </c>
      <c r="C5" s="19" t="s">
        <v>291</v>
      </c>
      <c r="D5" s="20" t="s">
        <v>292</v>
      </c>
      <c r="E5" s="19" t="s">
        <v>31</v>
      </c>
      <c r="F5" s="19">
        <v>3</v>
      </c>
    </row>
    <row r="6" spans="1:6" ht="29" x14ac:dyDescent="0.35">
      <c r="A6" s="19" t="s">
        <v>293</v>
      </c>
      <c r="B6" s="19" t="s">
        <v>290</v>
      </c>
      <c r="C6" s="19" t="s">
        <v>294</v>
      </c>
      <c r="D6" s="20" t="s">
        <v>295</v>
      </c>
      <c r="E6" s="19" t="s">
        <v>63</v>
      </c>
      <c r="F6" s="19">
        <v>3</v>
      </c>
    </row>
    <row r="7" spans="1:6" x14ac:dyDescent="0.35">
      <c r="A7" s="19" t="s">
        <v>296</v>
      </c>
      <c r="B7" s="19" t="s">
        <v>290</v>
      </c>
      <c r="C7" s="19" t="s">
        <v>297</v>
      </c>
      <c r="D7" s="20" t="s">
        <v>298</v>
      </c>
      <c r="E7" s="19" t="s">
        <v>14</v>
      </c>
      <c r="F7" s="19">
        <v>1.5</v>
      </c>
    </row>
    <row r="8" spans="1:6" ht="29" x14ac:dyDescent="0.35">
      <c r="A8" s="19" t="s">
        <v>299</v>
      </c>
      <c r="B8" s="19" t="s">
        <v>290</v>
      </c>
      <c r="C8" s="19" t="s">
        <v>300</v>
      </c>
      <c r="D8" s="20" t="s">
        <v>301</v>
      </c>
      <c r="E8" s="19" t="s">
        <v>31</v>
      </c>
      <c r="F8" s="19">
        <v>3</v>
      </c>
    </row>
    <row r="9" spans="1:6" x14ac:dyDescent="0.35">
      <c r="A9" s="19" t="s">
        <v>302</v>
      </c>
      <c r="B9" s="19" t="s">
        <v>303</v>
      </c>
      <c r="C9" s="19" t="s">
        <v>304</v>
      </c>
      <c r="D9" s="20" t="s">
        <v>305</v>
      </c>
      <c r="E9" s="19" t="s">
        <v>31</v>
      </c>
      <c r="F9" s="19">
        <v>3</v>
      </c>
    </row>
    <row r="10" spans="1:6" ht="29" x14ac:dyDescent="0.35">
      <c r="A10" s="19" t="s">
        <v>306</v>
      </c>
      <c r="B10" s="19" t="s">
        <v>303</v>
      </c>
      <c r="C10" s="19" t="s">
        <v>307</v>
      </c>
      <c r="D10" s="20" t="s">
        <v>308</v>
      </c>
      <c r="E10" s="19" t="s">
        <v>31</v>
      </c>
      <c r="F10" s="19">
        <v>2</v>
      </c>
    </row>
    <row r="11" spans="1:6" x14ac:dyDescent="0.35">
      <c r="A11" s="19" t="s">
        <v>309</v>
      </c>
      <c r="B11" s="19" t="s">
        <v>303</v>
      </c>
      <c r="C11" s="19" t="s">
        <v>310</v>
      </c>
      <c r="D11" s="20" t="s">
        <v>311</v>
      </c>
      <c r="E11" s="19" t="s">
        <v>31</v>
      </c>
      <c r="F11" s="19">
        <v>1.5</v>
      </c>
    </row>
    <row r="12" spans="1:6" x14ac:dyDescent="0.35">
      <c r="A12" s="19" t="s">
        <v>312</v>
      </c>
      <c r="B12" s="19" t="s">
        <v>303</v>
      </c>
      <c r="C12" s="19" t="s">
        <v>313</v>
      </c>
      <c r="D12" s="20" t="s">
        <v>314</v>
      </c>
      <c r="E12" s="19" t="s">
        <v>14</v>
      </c>
      <c r="F12" s="19">
        <v>2</v>
      </c>
    </row>
    <row r="13" spans="1:6" x14ac:dyDescent="0.35">
      <c r="A13" s="19" t="s">
        <v>315</v>
      </c>
      <c r="B13" s="19" t="s">
        <v>316</v>
      </c>
      <c r="C13" s="19" t="s">
        <v>317</v>
      </c>
      <c r="D13" s="20" t="s">
        <v>318</v>
      </c>
      <c r="E13" s="19" t="s">
        <v>31</v>
      </c>
      <c r="F13" s="19">
        <v>2</v>
      </c>
    </row>
    <row r="14" spans="1:6" x14ac:dyDescent="0.35">
      <c r="A14" s="19" t="s">
        <v>319</v>
      </c>
      <c r="B14" s="19" t="s">
        <v>316</v>
      </c>
      <c r="C14" s="19" t="s">
        <v>320</v>
      </c>
      <c r="D14" s="20" t="s">
        <v>321</v>
      </c>
      <c r="E14" s="19" t="s">
        <v>31</v>
      </c>
      <c r="F14" s="19">
        <v>3</v>
      </c>
    </row>
    <row r="15" spans="1:6" x14ac:dyDescent="0.35">
      <c r="A15" s="19" t="s">
        <v>322</v>
      </c>
      <c r="B15" s="19" t="s">
        <v>323</v>
      </c>
      <c r="C15" s="19" t="s">
        <v>324</v>
      </c>
      <c r="D15" s="20" t="s">
        <v>325</v>
      </c>
      <c r="E15" s="19" t="s">
        <v>63</v>
      </c>
      <c r="F15" s="19">
        <v>3</v>
      </c>
    </row>
    <row r="16" spans="1:6" x14ac:dyDescent="0.35">
      <c r="A16" s="19" t="s">
        <v>326</v>
      </c>
      <c r="B16" s="19" t="s">
        <v>327</v>
      </c>
      <c r="C16" s="19" t="s">
        <v>328</v>
      </c>
      <c r="D16" s="20" t="s">
        <v>329</v>
      </c>
      <c r="E16" s="19" t="s">
        <v>14</v>
      </c>
      <c r="F16" s="19">
        <v>2</v>
      </c>
    </row>
    <row r="17" spans="1:6" x14ac:dyDescent="0.35">
      <c r="A17" s="19" t="s">
        <v>330</v>
      </c>
      <c r="B17" s="19" t="s">
        <v>327</v>
      </c>
      <c r="C17" s="19" t="s">
        <v>331</v>
      </c>
      <c r="D17" s="20" t="s">
        <v>332</v>
      </c>
      <c r="E17" s="19" t="s">
        <v>31</v>
      </c>
      <c r="F17" s="19">
        <v>3</v>
      </c>
    </row>
    <row r="18" spans="1:6" x14ac:dyDescent="0.35">
      <c r="A18" s="19" t="s">
        <v>333</v>
      </c>
      <c r="B18" s="19" t="s">
        <v>334</v>
      </c>
      <c r="C18" s="19" t="s">
        <v>335</v>
      </c>
      <c r="D18" s="20" t="s">
        <v>336</v>
      </c>
      <c r="E18" s="19" t="s">
        <v>31</v>
      </c>
      <c r="F18" s="19">
        <v>2.5</v>
      </c>
    </row>
    <row r="19" spans="1:6" ht="29" x14ac:dyDescent="0.35">
      <c r="A19" s="19" t="s">
        <v>337</v>
      </c>
      <c r="B19" s="19" t="s">
        <v>338</v>
      </c>
      <c r="C19" s="19" t="s">
        <v>339</v>
      </c>
      <c r="D19" s="20" t="s">
        <v>340</v>
      </c>
      <c r="E19" s="19" t="s">
        <v>63</v>
      </c>
      <c r="F19" s="19">
        <v>3</v>
      </c>
    </row>
    <row r="20" spans="1:6" x14ac:dyDescent="0.35">
      <c r="D20" s="12" t="s">
        <v>341</v>
      </c>
      <c r="F20" s="12" t="str">
        <f ca="1">SUM(F2:F20)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4" customWidth="1"/>
    <col min="3" max="3" width="26" customWidth="1"/>
    <col min="4" max="4" width="44" customWidth="1"/>
    <col min="5" max="5" width="11" customWidth="1"/>
    <col min="6" max="6" width="13" customWidth="1"/>
  </cols>
  <sheetData>
    <row r="1" spans="1:6" x14ac:dyDescent="0.35">
      <c r="A1" s="1" t="s">
        <v>0</v>
      </c>
      <c r="B1" s="1" t="s">
        <v>4</v>
      </c>
      <c r="C1" s="1" t="s">
        <v>342</v>
      </c>
      <c r="D1" s="1" t="s">
        <v>343</v>
      </c>
      <c r="E1" s="1" t="s">
        <v>5</v>
      </c>
      <c r="F1" s="1" t="s">
        <v>278</v>
      </c>
    </row>
    <row r="2" spans="1:6" x14ac:dyDescent="0.35">
      <c r="A2" s="19" t="s">
        <v>344</v>
      </c>
      <c r="B2" s="19" t="s">
        <v>345</v>
      </c>
      <c r="C2" s="19" t="s">
        <v>346</v>
      </c>
      <c r="D2" s="20" t="s">
        <v>347</v>
      </c>
      <c r="E2" s="19" t="s">
        <v>31</v>
      </c>
      <c r="F2" s="19">
        <v>4</v>
      </c>
    </row>
    <row r="3" spans="1:6" x14ac:dyDescent="0.35">
      <c r="A3" s="19" t="s">
        <v>348</v>
      </c>
      <c r="B3" s="19" t="s">
        <v>345</v>
      </c>
      <c r="C3" s="19" t="s">
        <v>349</v>
      </c>
      <c r="D3" s="20" t="s">
        <v>350</v>
      </c>
      <c r="E3" s="19" t="s">
        <v>31</v>
      </c>
      <c r="F3" s="19">
        <v>4</v>
      </c>
    </row>
    <row r="4" spans="1:6" x14ac:dyDescent="0.35">
      <c r="A4" s="19" t="s">
        <v>351</v>
      </c>
      <c r="B4" s="19" t="s">
        <v>345</v>
      </c>
      <c r="C4" s="19" t="s">
        <v>352</v>
      </c>
      <c r="D4" s="20" t="s">
        <v>353</v>
      </c>
      <c r="E4" s="19" t="s">
        <v>14</v>
      </c>
      <c r="F4" s="19">
        <v>2</v>
      </c>
    </row>
    <row r="5" spans="1:6" x14ac:dyDescent="0.35">
      <c r="A5" s="19" t="s">
        <v>354</v>
      </c>
      <c r="B5" s="19" t="s">
        <v>345</v>
      </c>
      <c r="C5" s="19" t="s">
        <v>355</v>
      </c>
      <c r="D5" s="20" t="s">
        <v>356</v>
      </c>
      <c r="E5" s="19" t="s">
        <v>14</v>
      </c>
      <c r="F5" s="19">
        <v>2</v>
      </c>
    </row>
    <row r="6" spans="1:6" x14ac:dyDescent="0.35">
      <c r="A6" s="19" t="s">
        <v>357</v>
      </c>
      <c r="B6" s="19" t="s">
        <v>358</v>
      </c>
      <c r="C6" s="19" t="s">
        <v>359</v>
      </c>
      <c r="D6" s="20" t="s">
        <v>360</v>
      </c>
      <c r="E6" s="19" t="s">
        <v>31</v>
      </c>
      <c r="F6" s="19">
        <v>6</v>
      </c>
    </row>
    <row r="7" spans="1:6" x14ac:dyDescent="0.35">
      <c r="A7" s="19" t="s">
        <v>361</v>
      </c>
      <c r="B7" s="19" t="s">
        <v>358</v>
      </c>
      <c r="C7" s="19" t="s">
        <v>362</v>
      </c>
      <c r="D7" s="20" t="s">
        <v>363</v>
      </c>
      <c r="E7" s="19" t="s">
        <v>31</v>
      </c>
      <c r="F7" s="19">
        <v>5</v>
      </c>
    </row>
    <row r="8" spans="1:6" x14ac:dyDescent="0.35">
      <c r="A8" s="19" t="s">
        <v>364</v>
      </c>
      <c r="B8" s="19" t="s">
        <v>358</v>
      </c>
      <c r="C8" s="19" t="s">
        <v>365</v>
      </c>
      <c r="D8" s="20" t="s">
        <v>366</v>
      </c>
      <c r="E8" s="19" t="s">
        <v>31</v>
      </c>
      <c r="F8" s="19">
        <v>3</v>
      </c>
    </row>
    <row r="9" spans="1:6" x14ac:dyDescent="0.35">
      <c r="A9" s="19" t="s">
        <v>367</v>
      </c>
      <c r="B9" s="19" t="s">
        <v>358</v>
      </c>
      <c r="C9" s="19" t="s">
        <v>368</v>
      </c>
      <c r="D9" s="20" t="s">
        <v>369</v>
      </c>
      <c r="E9" s="19" t="s">
        <v>31</v>
      </c>
      <c r="F9" s="19">
        <v>3</v>
      </c>
    </row>
    <row r="10" spans="1:6" x14ac:dyDescent="0.35">
      <c r="A10" s="19" t="s">
        <v>370</v>
      </c>
      <c r="B10" s="19" t="s">
        <v>358</v>
      </c>
      <c r="C10" s="19" t="s">
        <v>371</v>
      </c>
      <c r="D10" s="20" t="s">
        <v>372</v>
      </c>
      <c r="E10" s="19" t="s">
        <v>31</v>
      </c>
      <c r="F10" s="19">
        <v>5</v>
      </c>
    </row>
    <row r="11" spans="1:6" x14ac:dyDescent="0.35">
      <c r="A11" s="19" t="s">
        <v>373</v>
      </c>
      <c r="B11" s="19" t="s">
        <v>374</v>
      </c>
      <c r="C11" s="19" t="s">
        <v>375</v>
      </c>
      <c r="D11" s="20" t="s">
        <v>376</v>
      </c>
      <c r="E11" s="19" t="s">
        <v>63</v>
      </c>
      <c r="F11" s="19">
        <v>9</v>
      </c>
    </row>
    <row r="12" spans="1:6" x14ac:dyDescent="0.35">
      <c r="A12" s="19" t="s">
        <v>377</v>
      </c>
      <c r="B12" s="19" t="s">
        <v>374</v>
      </c>
      <c r="C12" s="19" t="s">
        <v>378</v>
      </c>
      <c r="D12" s="20" t="s">
        <v>379</v>
      </c>
      <c r="E12" s="19" t="s">
        <v>31</v>
      </c>
      <c r="F12" s="19">
        <v>6</v>
      </c>
    </row>
    <row r="13" spans="1:6" x14ac:dyDescent="0.35">
      <c r="D13" s="12" t="s">
        <v>341</v>
      </c>
      <c r="F13" s="12" t="str">
        <f ca="1">SUM(F2:F13)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tabSelected="1" topLeftCell="A22" workbookViewId="0"/>
  </sheetViews>
  <sheetFormatPr defaultRowHeight="14.5" x14ac:dyDescent="0.35"/>
  <cols>
    <col min="1" max="1" width="34" customWidth="1"/>
    <col min="2" max="2" width="14" customWidth="1"/>
    <col min="3" max="3" width="16" customWidth="1"/>
    <col min="4" max="4" width="52" customWidth="1"/>
  </cols>
  <sheetData>
    <row r="1" spans="1:3" ht="17" x14ac:dyDescent="0.4">
      <c r="A1" s="21" t="s">
        <v>380</v>
      </c>
    </row>
    <row r="3" spans="1:3" x14ac:dyDescent="0.35">
      <c r="A3" s="12" t="s">
        <v>381</v>
      </c>
      <c r="B3" s="12" t="s">
        <v>382</v>
      </c>
      <c r="C3" s="12" t="s">
        <v>278</v>
      </c>
    </row>
    <row r="4" spans="1:3" x14ac:dyDescent="0.35">
      <c r="A4" t="s">
        <v>383</v>
      </c>
      <c r="B4">
        <v>72</v>
      </c>
    </row>
    <row r="5" spans="1:3" x14ac:dyDescent="0.35">
      <c r="A5" t="s">
        <v>384</v>
      </c>
      <c r="B5">
        <v>18</v>
      </c>
      <c r="C5" t="str">
        <f ca="1">'Non-Functional Reqs (NFR)'!F20</f>
        <v/>
      </c>
    </row>
    <row r="6" spans="1:3" x14ac:dyDescent="0.35">
      <c r="A6" t="s">
        <v>385</v>
      </c>
      <c r="B6">
        <v>11</v>
      </c>
      <c r="C6" t="str">
        <f ca="1">'Docs-Test-Management'!F13</f>
        <v/>
      </c>
    </row>
    <row r="7" spans="1:3" x14ac:dyDescent="0.35">
      <c r="A7" s="12" t="s">
        <v>341</v>
      </c>
      <c r="B7" s="12">
        <f>SUM(B4:B6)</f>
        <v>101</v>
      </c>
    </row>
    <row r="9" spans="1:3" x14ac:dyDescent="0.35">
      <c r="A9" s="12" t="s">
        <v>386</v>
      </c>
    </row>
    <row r="10" spans="1:3" x14ac:dyDescent="0.35">
      <c r="A10" t="s">
        <v>387</v>
      </c>
      <c r="B10">
        <v>30</v>
      </c>
    </row>
    <row r="11" spans="1:3" x14ac:dyDescent="0.35">
      <c r="A11" t="s">
        <v>388</v>
      </c>
      <c r="B11">
        <v>42</v>
      </c>
    </row>
    <row r="12" spans="1:3" x14ac:dyDescent="0.35">
      <c r="A12" t="s">
        <v>389</v>
      </c>
      <c r="B12">
        <v>8</v>
      </c>
    </row>
    <row r="14" spans="1:3" x14ac:dyDescent="0.35">
      <c r="A14" s="12" t="s">
        <v>390</v>
      </c>
    </row>
    <row r="15" spans="1:3" x14ac:dyDescent="0.35">
      <c r="A15" s="22" t="s">
        <v>64</v>
      </c>
      <c r="B15" s="22" t="s">
        <v>391</v>
      </c>
    </row>
    <row r="16" spans="1:3" x14ac:dyDescent="0.35">
      <c r="A16" s="23" t="s">
        <v>172</v>
      </c>
      <c r="B16" s="23" t="s">
        <v>392</v>
      </c>
    </row>
    <row r="17" spans="1:4" x14ac:dyDescent="0.35">
      <c r="A17" s="24" t="s">
        <v>212</v>
      </c>
      <c r="B17" s="24" t="s">
        <v>393</v>
      </c>
    </row>
    <row r="18" spans="1:4" x14ac:dyDescent="0.35">
      <c r="A18" s="25" t="s">
        <v>36</v>
      </c>
      <c r="B18" s="25" t="s">
        <v>394</v>
      </c>
    </row>
    <row r="19" spans="1:4" x14ac:dyDescent="0.35">
      <c r="A19" s="26" t="s">
        <v>15</v>
      </c>
      <c r="B19" s="26" t="s">
        <v>395</v>
      </c>
    </row>
    <row r="21" spans="1:4" x14ac:dyDescent="0.35">
      <c r="A21" s="29" t="s">
        <v>396</v>
      </c>
      <c r="B21" s="28"/>
      <c r="C21" s="28"/>
      <c r="D21" s="28"/>
    </row>
    <row r="22" spans="1:4" x14ac:dyDescent="0.35">
      <c r="A22" s="28" t="s">
        <v>397</v>
      </c>
      <c r="B22" s="28"/>
      <c r="C22" s="28"/>
      <c r="D22" s="28"/>
    </row>
    <row r="23" spans="1:4" x14ac:dyDescent="0.35">
      <c r="A23" s="28" t="s">
        <v>398</v>
      </c>
      <c r="B23" s="28"/>
      <c r="C23" s="28"/>
      <c r="D23" s="28"/>
    </row>
    <row r="24" spans="1:4" x14ac:dyDescent="0.35">
      <c r="A24" s="28" t="s">
        <v>399</v>
      </c>
      <c r="B24" s="28"/>
      <c r="C24" s="28"/>
      <c r="D24" s="28"/>
    </row>
    <row r="25" spans="1:4" x14ac:dyDescent="0.35">
      <c r="A25" s="28" t="s">
        <v>400</v>
      </c>
      <c r="B25" s="28"/>
      <c r="C25" s="28"/>
      <c r="D25" s="28"/>
    </row>
    <row r="26" spans="1:4" x14ac:dyDescent="0.35">
      <c r="A26" s="28" t="s">
        <v>401</v>
      </c>
      <c r="B26" s="28"/>
      <c r="C26" s="28"/>
      <c r="D26" s="28"/>
    </row>
    <row r="27" spans="1:4" x14ac:dyDescent="0.35">
      <c r="A27" s="28" t="s">
        <v>402</v>
      </c>
      <c r="B27" s="28"/>
      <c r="C27" s="28"/>
      <c r="D27" s="28"/>
    </row>
    <row r="28" spans="1:4" x14ac:dyDescent="0.35">
      <c r="A28" s="28" t="s">
        <v>403</v>
      </c>
      <c r="B28" s="28"/>
      <c r="C28" s="28"/>
      <c r="D28" s="28"/>
    </row>
    <row r="29" spans="1:4" x14ac:dyDescent="0.35">
      <c r="A29" s="28" t="s">
        <v>404</v>
      </c>
      <c r="B29" s="28"/>
      <c r="C29" s="28"/>
      <c r="D29" s="28"/>
    </row>
    <row r="30" spans="1:4" x14ac:dyDescent="0.35">
      <c r="A30" s="28" t="s">
        <v>405</v>
      </c>
      <c r="B30" s="28"/>
      <c r="C30" s="28"/>
      <c r="D30" s="28"/>
    </row>
    <row r="33" spans="1:1" x14ac:dyDescent="0.35">
      <c r="A33" s="12" t="s">
        <v>406</v>
      </c>
    </row>
    <row r="34" spans="1:1" x14ac:dyDescent="0.35">
      <c r="A34" s="22" t="s">
        <v>64</v>
      </c>
    </row>
    <row r="35" spans="1:1" x14ac:dyDescent="0.35">
      <c r="A35" s="23" t="s">
        <v>172</v>
      </c>
    </row>
    <row r="36" spans="1:1" x14ac:dyDescent="0.35">
      <c r="A36" s="24" t="s">
        <v>212</v>
      </c>
    </row>
    <row r="37" spans="1:1" x14ac:dyDescent="0.35">
      <c r="A37" s="25" t="s">
        <v>36</v>
      </c>
    </row>
    <row r="38" spans="1:1" x14ac:dyDescent="0.35">
      <c r="A38" s="26" t="s">
        <v>15</v>
      </c>
    </row>
    <row r="39" spans="1:1" x14ac:dyDescent="0.35">
      <c r="A39" s="27" t="s">
        <v>407</v>
      </c>
    </row>
  </sheetData>
  <mergeCells count="10">
    <mergeCell ref="A30:D30"/>
    <mergeCell ref="A29:D29"/>
    <mergeCell ref="A25:D25"/>
    <mergeCell ref="A24:D24"/>
    <mergeCell ref="A28:D28"/>
    <mergeCell ref="A23:D23"/>
    <mergeCell ref="A27:D27"/>
    <mergeCell ref="A22:D22"/>
    <mergeCell ref="A26:D26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Screens &amp; Dialogs</vt:lpstr>
      <vt:lpstr>Non-Functional Reqs (NFR)</vt:lpstr>
      <vt:lpstr>Docs-Test-Management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Thành Đạt</cp:lastModifiedBy>
  <dcterms:created xsi:type="dcterms:W3CDTF">2026-08-21T07:49:51Z</dcterms:created>
  <dcterms:modified xsi:type="dcterms:W3CDTF">2026-08-21T08:07:15Z</dcterms:modified>
</cp:coreProperties>
</file>