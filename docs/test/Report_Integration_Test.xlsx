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Clawbot\docs\test\"/>
    </mc:Choice>
  </mc:AlternateContent>
  <xr:revisionPtr revIDLastSave="0" documentId="13_ncr:1_{7250E981-950A-4CA0-BED2-0ADC72C1138D}" xr6:coauthVersionLast="47" xr6:coauthVersionMax="47" xr10:uidLastSave="{00000000-0000-0000-0000-000000000000}"/>
  <bookViews>
    <workbookView xWindow="2240" yWindow="2240" windowWidth="14400" windowHeight="7350" firstSheet="3" activeTab="8" xr2:uid="{00000000-000D-0000-FFFF-FFFF00000000}"/>
  </bookViews>
  <sheets>
    <sheet name="Cover" sheetId="1" r:id="rId1"/>
    <sheet name="Test Cases" sheetId="2" r:id="rId2"/>
    <sheet name="Test Statistics" sheetId="3" r:id="rId3"/>
    <sheet name="Login &amp; Authentication" sheetId="14" r:id="rId4"/>
    <sheet name="Omnichannel Inbox" sheetId="15" r:id="rId5"/>
    <sheet name="Knowledge Base" sheetId="16" r:id="rId6"/>
    <sheet name="Lead Management" sheetId="17" r:id="rId7"/>
    <sheet name="Content Pipeline" sheetId="18" r:id="rId8"/>
    <sheet name="Agent Orchestration" sheetId="19" r:id="rId9"/>
  </sheets>
  <definedNames>
    <definedName name="ACTION" localSheetId="0">#REF!</definedName>
    <definedName name="ACTION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7" roundtripDataChecksum="CYqiQizQEr/lSLM6hxuDgAYSg3a1fUB64cUEMrEHRXM="/>
    </ext>
  </extLst>
</workbook>
</file>

<file path=xl/calcChain.xml><?xml version="1.0" encoding="utf-8"?>
<calcChain xmlns="http://schemas.openxmlformats.org/spreadsheetml/2006/main">
  <c r="E16" i="3" l="1"/>
  <c r="C16" i="3"/>
  <c r="C15" i="3"/>
  <c r="C14" i="3"/>
  <c r="C13" i="3"/>
  <c r="C12" i="3"/>
  <c r="C11" i="3"/>
  <c r="D4" i="2"/>
  <c r="D3" i="2"/>
  <c r="E8" i="19"/>
  <c r="G16" i="3" s="1"/>
  <c r="D8" i="19"/>
  <c r="F16" i="3" s="1"/>
  <c r="C8" i="19"/>
  <c r="B8" i="19"/>
  <c r="D16" i="3" s="1"/>
  <c r="E7" i="19"/>
  <c r="D7" i="19"/>
  <c r="C7" i="19"/>
  <c r="B7" i="19"/>
  <c r="B4" i="19"/>
  <c r="H16" i="3" s="1"/>
  <c r="E8" i="18"/>
  <c r="G15" i="3" s="1"/>
  <c r="D8" i="18"/>
  <c r="F15" i="3" s="1"/>
  <c r="C8" i="18"/>
  <c r="E15" i="3" s="1"/>
  <c r="B8" i="18"/>
  <c r="D15" i="3" s="1"/>
  <c r="E7" i="18"/>
  <c r="D7" i="18"/>
  <c r="C7" i="18"/>
  <c r="B7" i="18"/>
  <c r="B4" i="18"/>
  <c r="H15" i="3" s="1"/>
  <c r="E8" i="17"/>
  <c r="G14" i="3" s="1"/>
  <c r="D8" i="17"/>
  <c r="F14" i="3" s="1"/>
  <c r="C8" i="17"/>
  <c r="E14" i="3" s="1"/>
  <c r="B8" i="17"/>
  <c r="D14" i="3" s="1"/>
  <c r="E7" i="17"/>
  <c r="D7" i="17"/>
  <c r="C7" i="17"/>
  <c r="B7" i="17"/>
  <c r="B4" i="17"/>
  <c r="H14" i="3" s="1"/>
  <c r="E8" i="16"/>
  <c r="G13" i="3" s="1"/>
  <c r="D8" i="16"/>
  <c r="F13" i="3" s="1"/>
  <c r="C8" i="16"/>
  <c r="E13" i="3" s="1"/>
  <c r="B8" i="16"/>
  <c r="D13" i="3" s="1"/>
  <c r="E7" i="16"/>
  <c r="D7" i="16"/>
  <c r="C7" i="16"/>
  <c r="B7" i="16"/>
  <c r="B4" i="16"/>
  <c r="H13" i="3" s="1"/>
  <c r="E8" i="15"/>
  <c r="G12" i="3" s="1"/>
  <c r="D8" i="15"/>
  <c r="F12" i="3" s="1"/>
  <c r="C8" i="15"/>
  <c r="E12" i="3" s="1"/>
  <c r="B8" i="15"/>
  <c r="D12" i="3" s="1"/>
  <c r="E7" i="15"/>
  <c r="D7" i="15"/>
  <c r="C7" i="15"/>
  <c r="B7" i="15"/>
  <c r="B4" i="15"/>
  <c r="H12" i="3" s="1"/>
  <c r="E8" i="14"/>
  <c r="G11" i="3" s="1"/>
  <c r="D8" i="14"/>
  <c r="F11" i="3" s="1"/>
  <c r="C8" i="14"/>
  <c r="E11" i="3" s="1"/>
  <c r="E17" i="3" s="1"/>
  <c r="B8" i="14"/>
  <c r="D11" i="3" s="1"/>
  <c r="D17" i="3" s="1"/>
  <c r="E7" i="14"/>
  <c r="D7" i="14"/>
  <c r="C7" i="14"/>
  <c r="B7" i="14"/>
  <c r="B4" i="14"/>
  <c r="H11" i="3" s="1"/>
  <c r="H17" i="3" s="1"/>
  <c r="E6" i="19"/>
  <c r="D6" i="19"/>
  <c r="C6" i="19"/>
  <c r="B6" i="19"/>
  <c r="E6" i="18"/>
  <c r="D6" i="18"/>
  <c r="C6" i="18"/>
  <c r="B6" i="18"/>
  <c r="E6" i="17"/>
  <c r="D6" i="17"/>
  <c r="C6" i="17"/>
  <c r="B6" i="17"/>
  <c r="E6" i="16"/>
  <c r="D6" i="16"/>
  <c r="C6" i="16"/>
  <c r="B6" i="16"/>
  <c r="E6" i="15"/>
  <c r="D6" i="15"/>
  <c r="C6" i="15"/>
  <c r="B6" i="15"/>
  <c r="E6" i="14"/>
  <c r="D6" i="14"/>
  <c r="C6" i="14"/>
  <c r="B6" i="14"/>
  <c r="C5" i="3"/>
  <c r="B6" i="1"/>
  <c r="F17" i="3" l="1"/>
  <c r="G17" i="3"/>
  <c r="E20" i="3"/>
  <c r="E19" i="3"/>
</calcChain>
</file>

<file path=xl/sharedStrings.xml><?xml version="1.0" encoding="utf-8"?>
<sst xmlns="http://schemas.openxmlformats.org/spreadsheetml/2006/main" count="949" uniqueCount="420">
  <si>
    <t>TEST STATISTICS</t>
  </si>
  <si>
    <t>TEST CASE LIST</t>
  </si>
  <si>
    <t>Feature</t>
  </si>
  <si>
    <t>Login &amp; Authentication</t>
  </si>
  <si>
    <t>TEST REPORT DOCUMENT</t>
  </si>
  <si>
    <t>Passed</t>
  </si>
  <si>
    <t>Project Name</t>
  </si>
  <si>
    <t>Test requirement</t>
  </si>
  <si>
    <t>Failed</t>
  </si>
  <si>
    <t>Number of TCs</t>
  </si>
  <si>
    <t>Creator</t>
  </si>
  <si>
    <t>Project Code</t>
  </si>
  <si>
    <t>Pending</t>
  </si>
  <si>
    <t>Testing Round</t>
  </si>
  <si>
    <t>Clawbot</t>
  </si>
  <si>
    <t>Issue Date</t>
  </si>
  <si>
    <t>N/A</t>
  </si>
  <si>
    <t>Test Environment Setup Description</t>
  </si>
  <si>
    <t>Reviewer/Approver</t>
  </si>
  <si>
    <t>Document Code</t>
  </si>
  <si>
    <t>Round 1</t>
  </si>
  <si>
    <t>Version</t>
  </si>
  <si>
    <t>1.0</t>
  </si>
  <si>
    <t>Round 2</t>
  </si>
  <si>
    <t>Record of change</t>
  </si>
  <si>
    <t>Round 3</t>
  </si>
  <si>
    <t>Notes</t>
  </si>
  <si>
    <t>No</t>
  </si>
  <si>
    <t>Test cases Name</t>
  </si>
  <si>
    <t>Effective Date</t>
  </si>
  <si>
    <t>Sheet Name</t>
  </si>
  <si>
    <t>Description</t>
  </si>
  <si>
    <t>Change Item</t>
  </si>
  <si>
    <t>*A,D,M</t>
  </si>
  <si>
    <t>Pre-Condition</t>
  </si>
  <si>
    <t>Change description</t>
  </si>
  <si>
    <t>Reference</t>
  </si>
  <si>
    <t>A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</si>
  <si>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</si>
  <si>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</si>
  <si>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</si>
  <si>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</si>
  <si>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</si>
  <si>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</si>
  <si>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</si>
  <si>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Module code</t>
  </si>
  <si>
    <t>Note</t>
  </si>
  <si>
    <t>Number of  test cases</t>
  </si>
  <si>
    <t>Login</t>
  </si>
  <si>
    <t>TC-LOG-001</t>
  </si>
  <si>
    <t>TC-LOG-002</t>
  </si>
  <si>
    <t>TC-LOG-003</t>
  </si>
  <si>
    <t>TC-LOG-004</t>
  </si>
  <si>
    <t>TC-LOG-005</t>
  </si>
  <si>
    <t>TC-LOG-006</t>
  </si>
  <si>
    <t>TC-LOG-007</t>
  </si>
  <si>
    <t>TC-LOG-008</t>
  </si>
  <si>
    <t>TC-LOG-009</t>
  </si>
  <si>
    <t>Sub total</t>
  </si>
  <si>
    <t>TC-LOG-010</t>
  </si>
  <si>
    <t>TC-LOG-011</t>
  </si>
  <si>
    <t>Test coverage</t>
  </si>
  <si>
    <t>%</t>
  </si>
  <si>
    <t>TC-LOG-012</t>
  </si>
  <si>
    <t>Test successful coverage</t>
  </si>
  <si>
    <t>Omnichannel Inbox</t>
  </si>
  <si>
    <t>Search conversations by keyword</t>
  </si>
  <si>
    <t>Knowledge Base</t>
  </si>
  <si>
    <t>Create a content brief</t>
  </si>
  <si>
    <t>Draft approval</t>
  </si>
  <si>
    <t>Lead CRUD</t>
  </si>
  <si>
    <t>JWT authentication with refresh-token rotation, 2FA, session revocation, password reset and change-password flows</t>
  </si>
  <si>
    <t>Sign in with valid credentials</t>
  </si>
  <si>
    <t>1. POST /auth/login with a valid email and password.
2. Check the response.</t>
  </si>
  <si>
    <t>HTTP 200; response body contains accessToken and refreshToken.</t>
  </si>
  <si>
    <t>The account is active and no lockout is in effect</t>
  </si>
  <si>
    <t>QA1</t>
  </si>
  <si>
    <t>Reject sign-in with a wrong password</t>
  </si>
  <si>
    <t>1. POST /auth/login with a valid email and an incorrect password.</t>
  </si>
  <si>
    <t>HTTP 401; no token is issued; generic error message returned.</t>
  </si>
  <si>
    <t>The account is active</t>
  </si>
  <si>
    <t>Lock the account after five consecutive wrong passwords</t>
  </si>
  <si>
    <t>1. POST /auth/login with a wrong password five times.
2. Submit the correct password.</t>
  </si>
  <si>
    <t>HTTP 429 or 401 on the sixth attempt; the correct password is also rejected until lockout expires.</t>
  </si>
  <si>
    <t>Lockout threshold is configured to five attempts</t>
  </si>
  <si>
    <t>Lockout window duration needs product-owner confirmation</t>
  </si>
  <si>
    <t>Refresh and logout</t>
  </si>
  <si>
    <t>Refresh an access token using a valid refresh token</t>
  </si>
  <si>
    <t>1. POST /auth/refresh with a valid refreshToken.
2. Check the response.</t>
  </si>
  <si>
    <t>HTTP 200; new accessToken and rotated refreshToken are returned.</t>
  </si>
  <si>
    <t>A signed-in session exists with a valid refresh token</t>
  </si>
  <si>
    <t>QA2</t>
  </si>
  <si>
    <t>Replay a refresh token after rotation is rejected</t>
  </si>
  <si>
    <t>1. POST /auth/refresh to rotate the token.
2. Replay the original refresh token.</t>
  </si>
  <si>
    <t>HTTP 401; the replayed token is rejected (rotation invalidates the previous token).</t>
  </si>
  <si>
    <t>A signed-in session exists</t>
  </si>
  <si>
    <t>Sign out revokes the refresh token</t>
  </si>
  <si>
    <t>1. POST /auth/logout.
2. Attempt to use the previous refresh token.</t>
  </si>
  <si>
    <t>Logout returns HTTP 200; the revoked refresh token is rejected with HTTP 401.</t>
  </si>
  <si>
    <t>An active session exists</t>
  </si>
  <si>
    <t>Two-factor authentication</t>
  </si>
  <si>
    <t>Enable 2FA and verify the setup TOTP code</t>
  </si>
  <si>
    <t>1. POST /auth/2fa/enable to get the TOTP secret.
2. POST /auth/2fa/verify with a valid TOTP code.</t>
  </si>
  <si>
    <t>2FA is enabled on the account; subsequent logins require a TOTP step.</t>
  </si>
  <si>
    <t>Account does not have 2FA enabled</t>
  </si>
  <si>
    <t>Complete login with a valid TOTP code when 2FA is active</t>
  </si>
  <si>
    <t>1. POST /auth/login to receive a partial token.
2. POST /auth/login/2fa with the current TOTP code.</t>
  </si>
  <si>
    <t>HTTP 200; full accessToken and refreshToken are returned.</t>
  </si>
  <si>
    <t>2FA is enabled on the account</t>
  </si>
  <si>
    <t>Reject login with an incorrect TOTP code</t>
  </si>
  <si>
    <t>1. POST /auth/login to receive a partial token.
2. POST /auth/login/2fa with an invalid TOTP code.</t>
  </si>
  <si>
    <t>HTTP 401; no full token is issued.</t>
  </si>
  <si>
    <t>Password management</t>
  </si>
  <si>
    <t>Change password while signed in</t>
  </si>
  <si>
    <t>1. POST /auth/change-password with the current and new passwords.
2. Sign out and sign back in with the new password.</t>
  </si>
  <si>
    <t>Password change returns HTTP 200; old password is no longer accepted.</t>
  </si>
  <si>
    <t>Request a password reset email</t>
  </si>
  <si>
    <t>1. POST /auth/reset/request with the account email.</t>
  </si>
  <si>
    <t>HTTP 200 is returned regardless of whether the email exists (no user enumeration).</t>
  </si>
  <si>
    <t>SMTP is configured in the test environment</t>
  </si>
  <si>
    <t>Confirm a password reset with a valid token</t>
  </si>
  <si>
    <t>1. Extract the reset token from the email link.
2. POST /auth/reset/confirm with the token and new password.</t>
  </si>
  <si>
    <t>HTTP 200; the user can sign in with the new password; the reset token cannot be reused.</t>
  </si>
  <si>
    <t>A valid reset token was issued within the expiry window</t>
  </si>
  <si>
    <t>Channel connection, message ingestion via webhook and polling, deduplication, outbound replies, auto-reply with AI, pause/resume, draft approval, escalation and conversation search</t>
  </si>
  <si>
    <t>Channel connection</t>
  </si>
  <si>
    <t>TC-INB-001</t>
  </si>
  <si>
    <t>Connect a channel with a valid page token</t>
  </si>
  <si>
    <t>1. POST /api/admin/inboxes with a valid page token.
2. Wait for the first sync to start.</t>
  </si>
  <si>
    <t>HTTP 201; channel is listed as connected; initial conversation sync begins.</t>
  </si>
  <si>
    <t>A valid page token is available</t>
  </si>
  <si>
    <t>TC-INB-002</t>
  </si>
  <si>
    <t>Reject a channel connection with an invalid token</t>
  </si>
  <si>
    <t>1. POST /api/admin/inboxes with an invalid token.</t>
  </si>
  <si>
    <t>HTTP 422; no inbox row is persisted; error message is returned.</t>
  </si>
  <si>
    <t>None</t>
  </si>
  <si>
    <t>TC-INB-003</t>
  </si>
  <si>
    <t>Reconnect a channel after the token is revoked</t>
  </si>
  <si>
    <t>1. Revoke the token at the provider.
2. PUT /api/admin/inboxes/{id} with a new token.</t>
  </si>
  <si>
    <t>Sync error is cleared; message ingestion resumes for new messages.</t>
  </si>
  <si>
    <t>The channel is currently connected</t>
  </si>
  <si>
    <t>TC-INB-004</t>
  </si>
  <si>
    <t>Conversations from different tenants remain isolated</t>
  </si>
  <si>
    <t>1. Connect the same page under two tenants.
2. Send a message.</t>
  </si>
  <si>
    <t>The message appears only in the correct tenant inbox.</t>
  </si>
  <si>
    <t>Two active tenant accounts exist</t>
  </si>
  <si>
    <t>Message ingestion</t>
  </si>
  <si>
    <t>TC-INB-005</t>
  </si>
  <si>
    <t>Ingest an inbound message through the webhook</t>
  </si>
  <si>
    <t>1. POST a valid signed webhook payload to the Pancake webhook endpoint.
2. GET /api/inbox/conversations/{id}.</t>
  </si>
  <si>
    <t>The message appears in the conversation within a few seconds.</t>
  </si>
  <si>
    <t>Webhook secret is configured; HMAC signature is valid</t>
  </si>
  <si>
    <t>TC-INB-006</t>
  </si>
  <si>
    <t>Reject a webhook payload with an invalid HMAC signature</t>
  </si>
  <si>
    <t>1. POST a webhook payload with a tampered x-pancake-signature header.</t>
  </si>
  <si>
    <t>HTTP 401; the message is not stored.</t>
  </si>
  <si>
    <t>Webhook secret is configured</t>
  </si>
  <si>
    <t>TC-INB-007</t>
  </si>
  <si>
    <t>Ingest a message through polling when the webhook is unavailable</t>
  </si>
  <si>
    <t>1. Disable the webhook.
2. Send a message from the channel.
3. Wait for the next polling cycle.</t>
  </si>
  <si>
    <t>The message is ingested by the polling worker and appears in the inbox.</t>
  </si>
  <si>
    <t>Polling is enabled and the channel token is valid</t>
  </si>
  <si>
    <t>TC-INB-008</t>
  </si>
  <si>
    <t>Deduplicate a message delivered by both webhook and polling</t>
  </si>
  <si>
    <t>1. Enable both ingestion paths.
2. Send a single message from the channel.</t>
  </si>
  <si>
    <t>Exactly one message record is stored.</t>
  </si>
  <si>
    <t>Both ingestion paths are active</t>
  </si>
  <si>
    <t>TC-INB-009</t>
  </si>
  <si>
    <t>Keep the queue intact when the consumer restarts</t>
  </si>
  <si>
    <t>1. Stop the RabbitMQ consumer.
2. Send two messages.
3. Start the consumer again.</t>
  </si>
  <si>
    <t>Both messages are processed after restart; none is lost.</t>
  </si>
  <si>
    <t>RabbitMQ persistence is enabled</t>
  </si>
  <si>
    <t>One message stayed unacked until the next cycle; tracked in backlog</t>
  </si>
  <si>
    <t>Reply and auto-reply</t>
  </si>
  <si>
    <t>TC-INB-010</t>
  </si>
  <si>
    <t>Send a manual outbound reply</t>
  </si>
  <si>
    <t>1. POST /api/inbox/conversations/{id}/messages with a text body.</t>
  </si>
  <si>
    <t>HTTP 201; reply is delivered to the channel and shown as outbound.</t>
  </si>
  <si>
    <t>The conversation is open and assigned</t>
  </si>
  <si>
    <t>TC-INB-011</t>
  </si>
  <si>
    <t>Auto-reply answers a question covered by the knowledge base</t>
  </si>
  <si>
    <t>1. Enable auto-reply via POST /api/inbox/conversations/{id}/ai.
2. Send an inbound message matching a KB topic.</t>
  </si>
  <si>
    <t>An accurate automatic reply is sent within the SLA window.</t>
  </si>
  <si>
    <t>Auto-reply is enabled; KB is deployed</t>
  </si>
  <si>
    <t>TC-INB-012</t>
  </si>
  <si>
    <t>A manual reply by an agent pauses auto-reply</t>
  </si>
  <si>
    <t>1. Confirm auto-reply is enabled.
2. Send a manual reply as an agent.
3. Send a new inbound message immediately.</t>
  </si>
  <si>
    <t>Auto-reply does not respond during the configured pause window (default 5 min).</t>
  </si>
  <si>
    <t>Auto-reply is enabled</t>
  </si>
  <si>
    <t>TC-INB-013</t>
  </si>
  <si>
    <t>Auto-reply resumes automatically after the pause window elapses</t>
  </si>
  <si>
    <t>1. Trigger a pause by sending a manual reply.
2. Advance the clock past the pause window.
3. Send a new inbound message.</t>
  </si>
  <si>
    <t>Auto-reply answers the new message without manual intervention.</t>
  </si>
  <si>
    <t>A pause was triggered; the sweep job is running</t>
  </si>
  <si>
    <t>TC-INB-014</t>
  </si>
  <si>
    <t>Escalate a conversation disables auto-reply permanently</t>
  </si>
  <si>
    <t>1. POST /api/inbox/conversations/{id}/escalate.</t>
  </si>
  <si>
    <t>Auto-reply is disabled and resume_at is null; conversation is flagged as escalated.</t>
  </si>
  <si>
    <t>TC-INB-015</t>
  </si>
  <si>
    <t>Approve an AI draft and confirm it is sent</t>
  </si>
  <si>
    <t>1. POST /api/inbox/conversations/{id}/drafts/{messageId}/approve.</t>
  </si>
  <si>
    <t>HTTP 200; draft is sent to the channel; status changes to delivered.</t>
  </si>
  <si>
    <t>A pending AI draft exists</t>
  </si>
  <si>
    <t>TC-INB-016</t>
  </si>
  <si>
    <t>Reject an AI draft so it is not sent</t>
  </si>
  <si>
    <t>1. POST /api/inbox/conversations/{id}/drafts/{messageId}/reject.</t>
  </si>
  <si>
    <t>HTTP 200; draft is discarded; no outbound message is delivered.</t>
  </si>
  <si>
    <t>Conversation management</t>
  </si>
  <si>
    <t>TC-INB-017</t>
  </si>
  <si>
    <t>Assign a conversation to a different agent</t>
  </si>
  <si>
    <t>1. POST /api/inbox/conversations/{id}/assign with a target agentId.</t>
  </si>
  <si>
    <t>HTTP 200; the new agent sees the conversation in their queue.</t>
  </si>
  <si>
    <t>A second agent account exists</t>
  </si>
  <si>
    <t>TC-INB-018</t>
  </si>
  <si>
    <t>Resolve a conversation</t>
  </si>
  <si>
    <t>1. POST /api/inbox/conversations/{id}/resolve.</t>
  </si>
  <si>
    <t>HTTP 200; status changes to resolved; removed from the open queue.</t>
  </si>
  <si>
    <t>The conversation is open</t>
  </si>
  <si>
    <t>TC-INB-019</t>
  </si>
  <si>
    <t>1. GET /api/inbox/search?q={keyword}.</t>
  </si>
  <si>
    <t>Only conversations whose messages contain the keyword are returned.</t>
  </si>
  <si>
    <t>Several conversations with varied message content exist</t>
  </si>
  <si>
    <t>TC-INB-020</t>
  </si>
  <si>
    <t>Export conversation history to CSV</t>
  </si>
  <si>
    <t>1. GET /api/inbox/conversations/{id}/export.csv.</t>
  </si>
  <si>
    <t>HTTP 200 with Content-Type text/csv; file contains all messages in order.</t>
  </si>
  <si>
    <t>The conversation has at least one message</t>
  </si>
  <si>
    <t>KB module management, version creation, content deploy to vector store, rollback, accuracy measurement and auto-approving AI suggestions when accuracy does not decrease</t>
  </si>
  <si>
    <t>Module management</t>
  </si>
  <si>
    <t>TC-KB-001</t>
  </si>
  <si>
    <t>Create a knowledge base module</t>
  </si>
  <si>
    <t>1. POST /api/kb/modules with a name and description.</t>
  </si>
  <si>
    <t>HTTP 201; module is created with status draft.</t>
  </si>
  <si>
    <t>User holds kb:write permission</t>
  </si>
  <si>
    <t>TC-KB-002</t>
  </si>
  <si>
    <t>Archive a module removes it from retrieval</t>
  </si>
  <si>
    <t>1. POST /api/kb/modules/{id}/archive.
2. Ask a question that was answered by that module.</t>
  </si>
  <si>
    <t>The archived module is excluded from all retrieval results.</t>
  </si>
  <si>
    <t>Module is deployed and active</t>
  </si>
  <si>
    <t>Version and deployment</t>
  </si>
  <si>
    <t>TC-KB-003</t>
  </si>
  <si>
    <t>Create a new version with Markdown content</t>
  </si>
  <si>
    <t>1. POST /api/kb/modules/{id}/versions with contentMd.</t>
  </si>
  <si>
    <t>HTTP 201; version is created in draft state; chunk count is zero until deployed.</t>
  </si>
  <si>
    <t>Module exists</t>
  </si>
  <si>
    <t>TC-KB-004</t>
  </si>
  <si>
    <t>Deploy a version embeds chunks into the vector store</t>
  </si>
  <si>
    <t>1. POST /api/kb/modules/{id}/versions/{versionId}/deploy.
2. Wait for the deploy job to finish.</t>
  </si>
  <si>
    <t>Chunk count is greater than zero; module status changes to deployed.</t>
  </si>
  <si>
    <t>A draft version with content exists; Qdrant is reachable</t>
  </si>
  <si>
    <t>TC-KB-005</t>
  </si>
  <si>
    <t>Rollback to the previous deployed version</t>
  </si>
  <si>
    <t>1. Deploy version 2.
2. POST /api/kb/modules/{id}/versions/{v1id}/rollback.</t>
  </si>
  <si>
    <t>Version 1 becomes active; retrieval uses version 1 chunks.</t>
  </si>
  <si>
    <t>At least two deployed versions exist</t>
  </si>
  <si>
    <t>Accuracy and suggestions</t>
  </si>
  <si>
    <t>TC-KB-006</t>
  </si>
  <si>
    <t>Run the accuracy test suite on a deployed version</t>
  </si>
  <si>
    <t>1. POST /api/kb/modules/{id}/versions/{versionId}/test.</t>
  </si>
  <si>
    <t>Each test case is evaluated; an overall accuracy score is returned.</t>
  </si>
  <si>
    <t>Test cases exist; the version is deployed</t>
  </si>
  <si>
    <t>TC-KB-007</t>
  </si>
  <si>
    <t>Auto-approve a KB suggestion when accuracy does not decrease</t>
  </si>
  <si>
    <t>1. Create a suggestion with verdict=approve and accuracy_after &gt;= accuracy_before.
2. Trigger the auto-approve job.</t>
  </si>
  <si>
    <t>Suggestion is automatically approved and applied without human action.</t>
  </si>
  <si>
    <t>Auto-approve rail is enabled; suggestion status is pending</t>
  </si>
  <si>
    <t>TC-KB-008</t>
  </si>
  <si>
    <t>Hold a KB suggestion for human review when accuracy decreases</t>
  </si>
  <si>
    <t>1. Create a suggestion with verdict=approve and accuracy_after &lt; accuracy_before.
2. Trigger the auto-approve job.</t>
  </si>
  <si>
    <t>Suggestion is NOT auto-approved; stays in pending state waiting for human decision.</t>
  </si>
  <si>
    <t>Lead Management</t>
  </si>
  <si>
    <t>Lead CRUD, pipeline stage transitions driven by score, manual stage override, scoring rule management, lead assignment and activity feed</t>
  </si>
  <si>
    <t>TC-LM-001</t>
  </si>
  <si>
    <t>Create a lead from a contact</t>
  </si>
  <si>
    <t>1. POST /api/leads with contactId, source and assignedTo.</t>
  </si>
  <si>
    <t>HTTP 201; lead is created with stage=cold; initial score is 0.</t>
  </si>
  <si>
    <t>A contact exists; user holds leads:write permission</t>
  </si>
  <si>
    <t>TC-LM-002</t>
  </si>
  <si>
    <t>List leads with pagination and stage filter</t>
  </si>
  <si>
    <t>1. GET /api/leads?stage=warm&amp;page=1&amp;pageSize=20.</t>
  </si>
  <si>
    <t>HTTP 200; only leads with stage=warm are returned; pagination metadata is present.</t>
  </si>
  <si>
    <t>Multiple leads exist across different stages</t>
  </si>
  <si>
    <t>TC-LM-003</t>
  </si>
  <si>
    <t>Assign a lead to another sales agent</t>
  </si>
  <si>
    <t>1. POST /api/leads/{id}/assign with the target agentId.</t>
  </si>
  <si>
    <t>HTTP 200; assignedTo is updated; the new agent sees the lead in their queue.</t>
  </si>
  <si>
    <t>Lead scoring and stage</t>
  </si>
  <si>
    <t>TC-LM-004</t>
  </si>
  <si>
    <t>Score increases when a purchase_intent activity is recorded</t>
  </si>
  <si>
    <t>1. POST /api/leads/{id}/activities with eventCode=purchase_intent.</t>
  </si>
  <si>
    <t>Lead score increases by the purchase_intent delta (default +20); stage may advance to hot.</t>
  </si>
  <si>
    <t>Lead scoring rules are seeded; lead is cold</t>
  </si>
  <si>
    <t>TC-LM-005</t>
  </si>
  <si>
    <t>Pipeline stage advances automatically when the score threshold is crossed</t>
  </si>
  <si>
    <t>1. Record activities until the score reaches 70.
2. GET /api/leads/{id}.</t>
  </si>
  <si>
    <t>stage=hot (score &gt;= 70); previous warm stage is no longer shown.</t>
  </si>
  <si>
    <t>Lead scoring rules give enough delta per event</t>
  </si>
  <si>
    <t>TC-LM-006</t>
  </si>
  <si>
    <t>Re-score a lead using the latest rules</t>
  </si>
  <si>
    <t>1. POST /api/leads/{id}/rescore.</t>
  </si>
  <si>
    <t>HTTP 200; score is recalculated using the current rule set; stage is updated accordingly.</t>
  </si>
  <si>
    <t>Lead scoring rules have been modified since the lead was created</t>
  </si>
  <si>
    <t>TC-LM-007</t>
  </si>
  <si>
    <t>A lost lead is reactivated when new inbound activity arrives</t>
  </si>
  <si>
    <t>1. Mark the lead as lost.
2. POST /api/leads/{id}/activities with any inbound event.</t>
  </si>
  <si>
    <t>Lead status changes from lost to active; LastActivityAt is updated.</t>
  </si>
  <si>
    <t>A lost lead exists</t>
  </si>
  <si>
    <t>Scoring rule management</t>
  </si>
  <si>
    <t>TC-LM-008</t>
  </si>
  <si>
    <t>Seed default scoring rules for a tenant</t>
  </si>
  <si>
    <t>1. POST /api/lead-scoring-rules/seed-defaults.</t>
  </si>
  <si>
    <t>HTTP 200; default rules are created (asked_price, purchase_intent, fast_reply etc.); each has the correct default delta.</t>
  </si>
  <si>
    <t>No rules exist for the tenant yet</t>
  </si>
  <si>
    <t>TC-LM-009</t>
  </si>
  <si>
    <t>Create a platform-specific rule that overrides the platform-null rule</t>
  </si>
  <si>
    <t>1. POST /api/lead-scoring-rules with eventCode=asked_price and platform=facebook and delta=15.
2. Record asked_price on a facebook conversation.</t>
  </si>
  <si>
    <t>The facebook-specific rule (delta=15) is used instead of the platform-null rule (delta=9).</t>
  </si>
  <si>
    <t>A platform-null asked_price rule already exists</t>
  </si>
  <si>
    <t>Content Pipeline</t>
  </si>
  <si>
    <t>Brief management, AI content generation, review gate, human approval, scheduling and publishing lifecycle for social media posts</t>
  </si>
  <si>
    <t>Brief and generation</t>
  </si>
  <si>
    <t>TC-CP-001</t>
  </si>
  <si>
    <t>1. POST /api/content/briefs with platform, topic and target audience.</t>
  </si>
  <si>
    <t>HTTP 201; brief is created in draft state.</t>
  </si>
  <si>
    <t>User holds content:write permission</t>
  </si>
  <si>
    <t>TC-CP-002</t>
  </si>
  <si>
    <t>Generate a content item from a brief</t>
  </si>
  <si>
    <t>1. POST /api/content/items/generate with briefId.</t>
  </si>
  <si>
    <t>HTTP 202; a background job is queued; polling shows the item transitions to draft with a non-empty body.</t>
  </si>
  <si>
    <t>A brief exists; LLM provider is configured</t>
  </si>
  <si>
    <t>TC-CP-003</t>
  </si>
  <si>
    <t>Generation is blocked when the body contains an absolute guarantee phrase</t>
  </si>
  <si>
    <t>1. Configure the LLM stub to return a body that contains an absolute-guarantee phrase.
2. Trigger generation.</t>
  </si>
  <si>
    <t>The content lint step fails; item status becomes needs_human with ErrorCode=lint_absolute_guarantee.</t>
  </si>
  <si>
    <t>ContentLint is enabled; LLM stub is available</t>
  </si>
  <si>
    <t>Review and approval</t>
  </si>
  <si>
    <t>TC-CP-004</t>
  </si>
  <si>
    <t>Agent review passes and item moves to approved</t>
  </si>
  <si>
    <t>1. Wait for the AI reviewer agent to process the draft item.</t>
  </si>
  <si>
    <t>AgentReviewStatus=passed; item is eligible for human approval or auto-publish depending on policy.</t>
  </si>
  <si>
    <t>A reviewer agent is configured and bound to an LLM</t>
  </si>
  <si>
    <t>TC-CP-005</t>
  </si>
  <si>
    <t>Human approves an item that requires human review</t>
  </si>
  <si>
    <t>1. POST /api/content/items/{id}/approve.</t>
  </si>
  <si>
    <t>HTTP 200; item status=approved; ApprovedAt and ApprovedBy are set.</t>
  </si>
  <si>
    <t>Item is in needs_human state with agent review passed</t>
  </si>
  <si>
    <t>TC-CP-006</t>
  </si>
  <si>
    <t>Human rejects an item with a reason</t>
  </si>
  <si>
    <t>1. POST /api/content/items/{id}/reject with a reason string.</t>
  </si>
  <si>
    <t>HTTP 200; item status=rejected; RejectedReason is stored.</t>
  </si>
  <si>
    <t>Item is in draft or needs_human state</t>
  </si>
  <si>
    <t>Scheduling and publishing</t>
  </si>
  <si>
    <t>TC-CP-007</t>
  </si>
  <si>
    <t>Schedule an approved item for a future golden-hour slot</t>
  </si>
  <si>
    <t>1. POST /api/content/items/{id}/schedule with a future publishAt timestamp.</t>
  </si>
  <si>
    <t>HTTP 200; item status=scheduled; publishAt is stored.</t>
  </si>
  <si>
    <t>Item is approved</t>
  </si>
  <si>
    <t>TC-CP-008</t>
  </si>
  <si>
    <t>Repurpose a published item for a different platform</t>
  </si>
  <si>
    <t>1. POST /api/content/items/{id}/repurpose with targetPlatform.</t>
  </si>
  <si>
    <t>HTTP 202; a new draft item is created for the target platform; the original item is unchanged.</t>
  </si>
  <si>
    <t>The item has been published; a brief exists for the target platform</t>
  </si>
  <si>
    <t>Agent Orchestration</t>
  </si>
  <si>
    <t>Create and run orchestration sessions, pause for manual intervention, resume after approval, manage recurring schedules and verify agent tool grants</t>
  </si>
  <si>
    <t>Session lifecycle</t>
  </si>
  <si>
    <t>TC-ORC-001</t>
  </si>
  <si>
    <t>Create and start an orchestration run</t>
  </si>
  <si>
    <t>1. POST /api/orchestration/runs with a planId.
2. Poll GET /api/orchestration/runs/{id} until status=running.</t>
  </si>
  <si>
    <t>Run transitions from queued to running; agent tasks begin executing.</t>
  </si>
  <si>
    <t>A plan exists; agents are bound to LLM providers</t>
  </si>
  <si>
    <t>TC-ORC-002</t>
  </si>
  <si>
    <t>Pause a running session for manual intervention</t>
  </si>
  <si>
    <t>1. POST /api/orchestration/runs/{id}/pause.</t>
  </si>
  <si>
    <t>HTTP 200; run status=paused; no new tasks are started.</t>
  </si>
  <si>
    <t>A run is in running status</t>
  </si>
  <si>
    <t>TC-ORC-003</t>
  </si>
  <si>
    <t>Intervene by editing a task output then resume the run</t>
  </si>
  <si>
    <t>1. POST /api/orchestration/runs/{id}/intervene with an edited taskId and new output.
2. POST /api/orchestration/runs/{id}/resume.</t>
  </si>
  <si>
    <t>HTTP 200; the run resumes with the edited output; downstream tasks use the corrected data.</t>
  </si>
  <si>
    <t>Run is paused</t>
  </si>
  <si>
    <t>TC-ORC-004</t>
  </si>
  <si>
    <t>Cancel a running session</t>
  </si>
  <si>
    <t>1. POST /api/orchestration/runs/{id}/cancel.</t>
  </si>
  <si>
    <t>HTTP 200; run status=cancelled; all pending tasks are marked skipped.</t>
  </si>
  <si>
    <t>A run is in running or paused status</t>
  </si>
  <si>
    <t>Schedules</t>
  </si>
  <si>
    <t>TC-ORC-005</t>
  </si>
  <si>
    <t>Create a recurring weekly schedule</t>
  </si>
  <si>
    <t>1. POST /api/orchestration/schedules with cadence=weekly and a valid timezone.</t>
  </si>
  <si>
    <t>HTTP 201; schedule is created; nextRunAt is set to the correct window in the given timezone.</t>
  </si>
  <si>
    <t>A plan exists</t>
  </si>
  <si>
    <t>TC-ORC-006</t>
  </si>
  <si>
    <t>Pause and reactivate a schedule</t>
  </si>
  <si>
    <t>1. POST /api/orchestration/schedules/{id}/pause.
2. POST /api/orchestration/schedules/{id}/activate.</t>
  </si>
  <si>
    <t>Pause: status=paused, no new runs are triggered. Activate: status=active, nextRunAt is recalculated.</t>
  </si>
  <si>
    <t>An active schedule exists</t>
  </si>
  <si>
    <t>Agent tool grants</t>
  </si>
  <si>
    <t>TC-ORC-007</t>
  </si>
  <si>
    <t>An agent without tool grants cannot call restricted tools</t>
  </si>
  <si>
    <t>1. Create an agent definition with no tool grants.
2. Start a run that requires a restricted tool.</t>
  </si>
  <si>
    <t>The tool call is blocked; the agent task fails with a permission error; the run does not crash.</t>
  </si>
  <si>
    <t>A restricted tool exists in the tool registry</t>
  </si>
  <si>
    <t>TC-ORC-008</t>
  </si>
  <si>
    <t>Grant a tool to an agent and confirm the tool call succeeds</t>
  </si>
  <si>
    <t>1. POST /api/orchestration/agents/{id}/grants with the tool name.
2. Restart the run.</t>
  </si>
  <si>
    <t>The tool call succeeds; the run completes the task.</t>
  </si>
  <si>
    <t>TC-ORC-007 has been completed</t>
  </si>
  <si>
    <t>&lt;Creator&gt;</t>
  </si>
  <si>
    <t>CLAWBOT</t>
  </si>
  <si>
    <t>All modules</t>
  </si>
  <si>
    <t>Initial version</t>
  </si>
  <si>
    <t/>
  </si>
  <si>
    <t>1. Frontend: React + Vite (localhost:15876)
2. API Backend: .NET 8 (localhost:15874)
3. AgentService gRPC (localhost:15875)
4. SQL Server 2022 (Docker :1433)
5. Redis 7 (Docker :6379)
6. Qdrant vector store (Docker :6333)</t>
  </si>
  <si>
    <t>API and database are reachable; a seeded tenant account exists</t>
  </si>
  <si>
    <t>At least one channel is connected; RabbitMQ consumer is running</t>
  </si>
  <si>
    <t>Qdrant vector store is reachable; a configured LLM provider is active</t>
  </si>
  <si>
    <t>API is running; lead scoring rules are seeded via POST /api/lead-scoring-rules/seed-defaults</t>
  </si>
  <si>
    <t>A configured LLM provider is active; a deployed KB module exists for RAG context</t>
  </si>
  <si>
    <t>AgentService gRPC is running; at least one agent definition is bound to an LLM provider</t>
  </si>
  <si>
    <t>Login &amp; Auth, Omnichannel Inbox, Knowledge Base, Lead Management, Content Pipeline, Agent Orchestration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</si>
</sst>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19" x14ac:knownFonts="1">
    <font>
      <sz val="11"/>
      <color rgb="FF000000"/>
      <name val="MS PGothic"/>
      <scheme val="minor"/>
    </font>
    <font>
      <sz val="10"/>
      <color theme="1"/>
      <name val="Tahoma"/>
    </font>
    <font>
      <b/>
      <sz val="20"/>
      <color rgb="FF000000"/>
      <name val="Tahoma"/>
    </font>
    <font>
      <b/>
      <sz val="10"/>
      <color rgb="FF000000"/>
      <name val="Tahoma"/>
    </font>
    <font>
      <sz val="11"/>
      <name val="MS PGothic"/>
    </font>
    <font>
      <sz val="10"/>
      <color rgb="FFFF0000"/>
      <name val="Tahoma"/>
    </font>
    <font>
      <b/>
      <sz val="10"/>
      <color theme="1"/>
      <name val="Tahoma"/>
    </font>
    <font>
      <b/>
      <sz val="10"/>
      <color rgb="FFFF0000"/>
      <name val="Tahoma"/>
    </font>
    <font>
      <b/>
      <sz val="26"/>
      <color rgb="FFFF0000"/>
      <name val="Tahoma"/>
    </font>
    <font>
      <i/>
      <sz val="10"/>
      <color rgb="FF008000"/>
      <name val="Tahoma"/>
    </font>
    <font>
      <sz val="10"/>
      <color rgb="FF000000"/>
      <name val="Tahoma"/>
    </font>
    <font>
      <b/>
      <sz val="10"/>
      <color rgb="FF993300"/>
      <name val="Tahoma"/>
    </font>
    <font>
      <i/>
      <sz val="10"/>
      <color rgb="FF000000"/>
      <name val="Tahoma"/>
    </font>
    <font>
      <i/>
      <sz val="10"/>
      <color theme="1"/>
      <name val="Tahoma"/>
    </font>
    <font>
      <b/>
      <i/>
      <sz val="10"/>
      <color theme="1"/>
      <name val="Tahoma"/>
    </font>
    <font>
      <b/>
      <sz val="10"/>
      <color rgb="FFFFFFFF"/>
      <name val="Tahoma"/>
    </font>
    <font>
      <u/>
      <sz val="10"/>
      <color rgb="FF0000FF"/>
      <name val="Tahoma"/>
    </font>
    <font>
      <sz val="10"/>
      <color rgb="FFFFFFFF"/>
      <name val="Tahoma"/>
    </font>
    <font>
      <b/>
      <sz val="10"/>
      <color rgb="FF0000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33399"/>
        <bgColor rgb="FF333399"/>
      </patternFill>
    </fill>
    <fill>
      <patternFill patternType="solid">
        <fgColor rgb="FF000080"/>
        <bgColor rgb="FF000080"/>
      </patternFill>
    </fill>
    <fill>
      <patternFill patternType="solid">
        <fgColor rgb="FF76923C"/>
        <bgColor rgb="FF76923C"/>
      </patternFill>
    </fill>
    <fill>
      <patternFill patternType="solid">
        <fgColor rgb="FFE2EFDA"/>
        <bgColor rgb="FFE2EFDA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/>
    <xf numFmtId="1" fontId="1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/>
    <xf numFmtId="0" fontId="1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6" fillId="2" borderId="5" xfId="0" applyFont="1" applyFill="1" applyBorder="1" applyAlignment="1">
      <alignment horizontal="center" vertical="top" wrapText="1"/>
    </xf>
    <xf numFmtId="164" fontId="1" fillId="2" borderId="1" xfId="0" applyNumberFormat="1" applyFont="1" applyFill="1" applyBorder="1"/>
    <xf numFmtId="0" fontId="8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10" fillId="2" borderId="1" xfId="0" applyFont="1" applyFill="1" applyBorder="1"/>
    <xf numFmtId="0" fontId="11" fillId="2" borderId="15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left" wrapText="1"/>
    </xf>
    <xf numFmtId="0" fontId="9" fillId="0" borderId="0" xfId="0" applyFont="1" applyAlignment="1">
      <alignment horizontal="center" wrapText="1"/>
    </xf>
    <xf numFmtId="0" fontId="6" fillId="2" borderId="15" xfId="0" applyFont="1" applyFill="1" applyBorder="1" applyAlignment="1">
      <alignment horizontal="left" wrapText="1"/>
    </xf>
    <xf numFmtId="0" fontId="6" fillId="2" borderId="15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vertical="center" wrapText="1"/>
    </xf>
    <xf numFmtId="0" fontId="14" fillId="2" borderId="17" xfId="0" applyFont="1" applyFill="1" applyBorder="1" applyAlignment="1">
      <alignment horizontal="center" vertical="top" wrapText="1"/>
    </xf>
    <xf numFmtId="0" fontId="14" fillId="2" borderId="15" xfId="0" applyFont="1" applyFill="1" applyBorder="1" applyAlignment="1">
      <alignment horizontal="center" vertical="top" wrapText="1"/>
    </xf>
    <xf numFmtId="14" fontId="13" fillId="0" borderId="13" xfId="0" applyNumberFormat="1" applyFont="1" applyBorder="1" applyAlignment="1">
      <alignment horizontal="left" vertical="center" wrapText="1"/>
    </xf>
    <xf numFmtId="0" fontId="14" fillId="2" borderId="2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6" fillId="2" borderId="15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top" wrapText="1"/>
    </xf>
    <xf numFmtId="1" fontId="11" fillId="2" borderId="1" xfId="0" applyNumberFormat="1" applyFont="1" applyFill="1" applyBorder="1" applyAlignment="1">
      <alignment horizontal="center" wrapText="1"/>
    </xf>
    <xf numFmtId="0" fontId="13" fillId="0" borderId="13" xfId="0" applyFont="1" applyBorder="1" applyAlignment="1">
      <alignment horizontal="left" vertical="center" wrapText="1"/>
    </xf>
    <xf numFmtId="0" fontId="1" fillId="2" borderId="22" xfId="0" applyFont="1" applyFill="1" applyBorder="1" applyAlignment="1">
      <alignment horizontal="center" vertical="top" wrapText="1"/>
    </xf>
    <xf numFmtId="0" fontId="11" fillId="2" borderId="15" xfId="0" applyFont="1" applyFill="1" applyBorder="1" applyAlignment="1">
      <alignment vertical="center"/>
    </xf>
    <xf numFmtId="0" fontId="6" fillId="0" borderId="0" xfId="0" applyFont="1" applyAlignment="1">
      <alignment wrapText="1"/>
    </xf>
    <xf numFmtId="0" fontId="11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1" fillId="2" borderId="1" xfId="0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14" fillId="2" borderId="23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wrapText="1"/>
    </xf>
    <xf numFmtId="1" fontId="15" fillId="3" borderId="24" xfId="0" applyNumberFormat="1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top" wrapText="1"/>
    </xf>
    <xf numFmtId="0" fontId="15" fillId="3" borderId="26" xfId="0" applyFont="1" applyFill="1" applyBorder="1" applyAlignment="1">
      <alignment horizontal="center" vertical="center" wrapText="1"/>
    </xf>
    <xf numFmtId="164" fontId="15" fillId="4" borderId="27" xfId="0" applyNumberFormat="1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top" wrapText="1"/>
    </xf>
    <xf numFmtId="0" fontId="15" fillId="4" borderId="29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 wrapText="1"/>
    </xf>
    <xf numFmtId="0" fontId="15" fillId="4" borderId="3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1" fillId="2" borderId="1" xfId="0" applyFont="1" applyFill="1" applyBorder="1"/>
    <xf numFmtId="0" fontId="9" fillId="2" borderId="1" xfId="0" applyFont="1" applyFill="1" applyBorder="1"/>
    <xf numFmtId="14" fontId="1" fillId="0" borderId="33" xfId="0" applyNumberFormat="1" applyFont="1" applyBorder="1" applyAlignment="1">
      <alignment horizontal="center" vertical="top" wrapText="1"/>
    </xf>
    <xf numFmtId="49" fontId="1" fillId="0" borderId="34" xfId="0" applyNumberFormat="1" applyFont="1" applyBorder="1" applyAlignment="1">
      <alignment horizontal="center" vertical="top" wrapText="1"/>
    </xf>
    <xf numFmtId="0" fontId="1" fillId="0" borderId="34" xfId="0" applyFont="1" applyBorder="1" applyAlignment="1">
      <alignment vertical="top" wrapText="1"/>
    </xf>
    <xf numFmtId="0" fontId="1" fillId="0" borderId="34" xfId="0" applyFont="1" applyBorder="1" applyAlignment="1">
      <alignment horizontal="center" vertical="top" wrapText="1"/>
    </xf>
    <xf numFmtId="0" fontId="13" fillId="0" borderId="36" xfId="0" applyFont="1" applyBorder="1" applyAlignment="1">
      <alignment vertical="top" wrapText="1"/>
    </xf>
    <xf numFmtId="0" fontId="1" fillId="2" borderId="2" xfId="0" applyFont="1" applyFill="1" applyBorder="1" applyAlignment="1">
      <alignment wrapText="1"/>
    </xf>
    <xf numFmtId="0" fontId="1" fillId="0" borderId="0" xfId="0" applyFont="1" applyAlignment="1">
      <alignment vertical="top" wrapText="1"/>
    </xf>
    <xf numFmtId="1" fontId="1" fillId="2" borderId="15" xfId="0" applyNumberFormat="1" applyFont="1" applyFill="1" applyBorder="1" applyAlignment="1">
      <alignment horizontal="center" vertical="center" wrapText="1"/>
    </xf>
    <xf numFmtId="0" fontId="1" fillId="0" borderId="1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6" fillId="0" borderId="15" xfId="0" applyFont="1" applyBorder="1" applyAlignment="1">
      <alignment vertical="center" wrapText="1"/>
    </xf>
    <xf numFmtId="0" fontId="15" fillId="5" borderId="15" xfId="0" applyFont="1" applyFill="1" applyBorder="1" applyAlignment="1">
      <alignment horizontal="center" vertical="top" wrapText="1"/>
    </xf>
    <xf numFmtId="0" fontId="10" fillId="0" borderId="15" xfId="0" applyFont="1" applyBorder="1" applyAlignment="1">
      <alignment vertical="top" wrapText="1"/>
    </xf>
    <xf numFmtId="0" fontId="1" fillId="2" borderId="4" xfId="0" applyFont="1" applyFill="1" applyBorder="1" applyAlignment="1">
      <alignment wrapText="1"/>
    </xf>
    <xf numFmtId="0" fontId="1" fillId="2" borderId="39" xfId="0" applyFont="1" applyFill="1" applyBorder="1"/>
    <xf numFmtId="0" fontId="15" fillId="4" borderId="40" xfId="0" applyFont="1" applyFill="1" applyBorder="1" applyAlignment="1">
      <alignment horizontal="center"/>
    </xf>
    <xf numFmtId="0" fontId="15" fillId="4" borderId="29" xfId="0" applyFont="1" applyFill="1" applyBorder="1" applyAlignment="1">
      <alignment horizontal="center"/>
    </xf>
    <xf numFmtId="0" fontId="15" fillId="4" borderId="29" xfId="0" applyFont="1" applyFill="1" applyBorder="1" applyAlignment="1">
      <alignment horizontal="center" wrapText="1"/>
    </xf>
    <xf numFmtId="0" fontId="15" fillId="4" borderId="41" xfId="0" applyFont="1" applyFill="1" applyBorder="1" applyAlignment="1">
      <alignment horizontal="center"/>
    </xf>
    <xf numFmtId="0" fontId="15" fillId="4" borderId="42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/>
    </xf>
    <xf numFmtId="0" fontId="1" fillId="2" borderId="34" xfId="0" applyFont="1" applyFill="1" applyBorder="1"/>
    <xf numFmtId="0" fontId="10" fillId="2" borderId="4" xfId="0" applyFont="1" applyFill="1" applyBorder="1"/>
    <xf numFmtId="0" fontId="1" fillId="2" borderId="3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164" fontId="1" fillId="0" borderId="33" xfId="0" applyNumberFormat="1" applyFont="1" applyBorder="1" applyAlignment="1">
      <alignment vertical="top" wrapText="1"/>
    </xf>
    <xf numFmtId="0" fontId="1" fillId="2" borderId="36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15" xfId="0" applyFont="1" applyFill="1" applyBorder="1" applyAlignment="1">
      <alignment vertical="top" wrapText="1"/>
    </xf>
    <xf numFmtId="14" fontId="10" fillId="2" borderId="15" xfId="0" applyNumberFormat="1" applyFont="1" applyFill="1" applyBorder="1" applyAlignment="1">
      <alignment horizontal="left" vertical="top"/>
    </xf>
    <xf numFmtId="0" fontId="10" fillId="2" borderId="4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 wrapText="1"/>
    </xf>
    <xf numFmtId="49" fontId="1" fillId="0" borderId="45" xfId="0" applyNumberFormat="1" applyFont="1" applyBorder="1" applyAlignment="1">
      <alignment horizontal="center" vertical="top" wrapText="1"/>
    </xf>
    <xf numFmtId="0" fontId="1" fillId="0" borderId="45" xfId="0" applyFont="1" applyBorder="1" applyAlignment="1">
      <alignment vertical="top" wrapText="1"/>
    </xf>
    <xf numFmtId="0" fontId="1" fillId="0" borderId="45" xfId="0" applyFont="1" applyBorder="1" applyAlignment="1">
      <alignment horizontal="center" vertical="top" wrapText="1"/>
    </xf>
    <xf numFmtId="0" fontId="1" fillId="0" borderId="46" xfId="0" applyFont="1" applyBorder="1" applyAlignment="1">
      <alignment vertical="top" wrapText="1"/>
    </xf>
    <xf numFmtId="0" fontId="6" fillId="2" borderId="15" xfId="0" applyFont="1" applyFill="1" applyBorder="1" applyAlignment="1">
      <alignment horizontal="left" vertical="top" wrapText="1"/>
    </xf>
    <xf numFmtId="0" fontId="17" fillId="4" borderId="47" xfId="0" applyFont="1" applyFill="1" applyBorder="1" applyAlignment="1">
      <alignment horizontal="center"/>
    </xf>
    <xf numFmtId="0" fontId="15" fillId="4" borderId="45" xfId="0" applyFont="1" applyFill="1" applyBorder="1"/>
    <xf numFmtId="0" fontId="17" fillId="4" borderId="45" xfId="0" applyFont="1" applyFill="1" applyBorder="1" applyAlignment="1">
      <alignment horizontal="center"/>
    </xf>
    <xf numFmtId="0" fontId="17" fillId="4" borderId="4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2" fontId="18" fillId="2" borderId="1" xfId="0" applyNumberFormat="1" applyFont="1" applyFill="1" applyBorder="1" applyAlignment="1">
      <alignment horizontal="right" wrapText="1"/>
    </xf>
    <xf numFmtId="0" fontId="10" fillId="2" borderId="1" xfId="0" applyFont="1" applyFill="1" applyBorder="1" applyAlignment="1">
      <alignment horizontal="center" wrapText="1"/>
    </xf>
    <xf numFmtId="0" fontId="1" fillId="2" borderId="49" xfId="0" applyFont="1" applyFill="1" applyBorder="1" applyAlignment="1">
      <alignment vertical="center"/>
    </xf>
    <xf numFmtId="1" fontId="1" fillId="2" borderId="49" xfId="0" applyNumberFormat="1" applyFont="1" applyFill="1" applyBorder="1" applyAlignment="1">
      <alignment horizontal="center" wrapText="1"/>
    </xf>
    <xf numFmtId="0" fontId="1" fillId="2" borderId="49" xfId="0" applyFont="1" applyFill="1" applyBorder="1" applyAlignment="1">
      <alignment horizontal="left" wrapText="1"/>
    </xf>
    <xf numFmtId="0" fontId="2" fillId="0" borderId="7" xfId="0" applyFont="1" applyBorder="1" applyAlignment="1">
      <alignment horizontal="center" vertical="center" wrapText="1"/>
    </xf>
    <xf numFmtId="0" fontId="4" fillId="0" borderId="11" xfId="0" applyFont="1" applyBorder="1"/>
    <xf numFmtId="0" fontId="4" fillId="0" borderId="13" xfId="0" applyFont="1" applyBorder="1"/>
    <xf numFmtId="0" fontId="13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1" fontId="11" fillId="2" borderId="7" xfId="0" applyNumberFormat="1" applyFont="1" applyFill="1" applyBorder="1" applyAlignment="1">
      <alignment horizontal="center" wrapText="1"/>
    </xf>
    <xf numFmtId="0" fontId="4" fillId="0" borderId="16" xfId="0" applyFont="1" applyBorder="1"/>
    <xf numFmtId="0" fontId="12" fillId="2" borderId="7" xfId="0" applyFont="1" applyFill="1" applyBorder="1" applyAlignment="1">
      <alignment horizontal="left" wrapText="1"/>
    </xf>
    <xf numFmtId="1" fontId="11" fillId="2" borderId="7" xfId="0" applyNumberFormat="1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vertical="top" wrapText="1"/>
    </xf>
    <xf numFmtId="0" fontId="12" fillId="2" borderId="7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14" fontId="12" fillId="2" borderId="21" xfId="0" applyNumberFormat="1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top" wrapText="1"/>
    </xf>
    <xf numFmtId="0" fontId="4" fillId="0" borderId="8" xfId="0" applyFont="1" applyBorder="1"/>
    <xf numFmtId="0" fontId="4" fillId="0" borderId="9" xfId="0" applyFont="1" applyBorder="1"/>
    <xf numFmtId="0" fontId="9" fillId="2" borderId="10" xfId="0" applyFont="1" applyFill="1" applyBorder="1" applyAlignment="1">
      <alignment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9" xfId="0" applyFont="1" applyBorder="1"/>
    <xf numFmtId="0" fontId="0" fillId="0" borderId="0" xfId="0"/>
    <xf numFmtId="0" fontId="4" fillId="0" borderId="20" xfId="0" applyFont="1" applyBorder="1"/>
    <xf numFmtId="0" fontId="4" fillId="0" borderId="35" xfId="0" applyFont="1" applyBorder="1"/>
    <xf numFmtId="0" fontId="4" fillId="0" borderId="37" xfId="0" applyFont="1" applyBorder="1"/>
    <xf numFmtId="0" fontId="4" fillId="0" borderId="38" xfId="0" applyFont="1" applyBorder="1"/>
    <xf numFmtId="0" fontId="1" fillId="2" borderId="7" xfId="0" applyFont="1" applyFill="1" applyBorder="1" applyAlignment="1">
      <alignment horizontal="left" vertical="top" wrapText="1"/>
    </xf>
    <xf numFmtId="0" fontId="4" fillId="0" borderId="18" xfId="0" applyFont="1" applyBorder="1"/>
    <xf numFmtId="0" fontId="6" fillId="6" borderId="7" xfId="0" applyFont="1" applyFill="1" applyBorder="1" applyAlignment="1">
      <alignment vertical="top" wrapText="1"/>
    </xf>
    <xf numFmtId="0" fontId="6" fillId="6" borderId="21" xfId="0" applyFont="1" applyFill="1" applyBorder="1" applyAlignment="1">
      <alignment vertical="top" wrapText="1"/>
    </xf>
    <xf numFmtId="0" fontId="6" fillId="6" borderId="1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43125" cy="781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showGridLines="0" workbookViewId="0"/>
  </sheetViews>
  <sheetFormatPr defaultColWidth="12.6328125" defaultRowHeight="15" customHeight="1" x14ac:dyDescent="0.2"/>
  <cols>
    <col min="1" max="1" width="28.08984375" customWidth="1"/>
    <col min="2" max="2" width="10" customWidth="1"/>
    <col min="3" max="3" width="35.36328125" customWidth="1"/>
    <col min="4" max="4" width="8" customWidth="1"/>
    <col min="5" max="5" width="38" customWidth="1"/>
    <col min="6" max="6" width="18.453125" customWidth="1"/>
    <col min="7" max="26" width="9" customWidth="1"/>
  </cols>
  <sheetData>
    <row r="1" spans="1:26" ht="12.75" customHeight="1" x14ac:dyDescent="0.25">
      <c r="A1" s="3"/>
      <c r="B1" s="4"/>
      <c r="C1" s="5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75.75" customHeight="1" x14ac:dyDescent="0.2">
      <c r="A2" s="14"/>
      <c r="B2" s="111" t="s">
        <v>4</v>
      </c>
      <c r="C2" s="112"/>
      <c r="D2" s="112"/>
      <c r="E2" s="112"/>
      <c r="F2" s="113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A3" s="20"/>
      <c r="B3" s="21"/>
      <c r="C3" s="5"/>
      <c r="D3" s="4"/>
      <c r="E3" s="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2" customHeight="1" x14ac:dyDescent="0.25">
      <c r="A4" s="22" t="s">
        <v>6</v>
      </c>
      <c r="B4" s="114" t="s">
        <v>14</v>
      </c>
      <c r="C4" s="112"/>
      <c r="D4" s="113"/>
      <c r="E4" s="23" t="s">
        <v>10</v>
      </c>
      <c r="F4" s="24" t="s">
        <v>407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22" t="s">
        <v>11</v>
      </c>
      <c r="B5" s="114" t="s">
        <v>408</v>
      </c>
      <c r="C5" s="112"/>
      <c r="D5" s="113"/>
      <c r="E5" s="23" t="s">
        <v>15</v>
      </c>
      <c r="F5" s="27">
        <v>46244.708333333336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31" t="s">
        <v>19</v>
      </c>
      <c r="B6" s="114" t="str">
        <f>B5&amp;"_"&amp;"XXX"&amp;"_"&amp;"vx.x"</f>
        <v>CLAWBOT_XXX_vx.x</v>
      </c>
      <c r="C6" s="112"/>
      <c r="D6" s="113"/>
      <c r="E6" s="23" t="s">
        <v>21</v>
      </c>
      <c r="F6" s="34">
        <v>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5">
      <c r="A7" s="37"/>
      <c r="B7" s="21"/>
      <c r="C7" s="5"/>
      <c r="D7" s="4"/>
      <c r="E7" s="38"/>
      <c r="F7" s="3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5"/>
      <c r="B8" s="4"/>
      <c r="C8" s="5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43" t="s">
        <v>24</v>
      </c>
      <c r="B9" s="4"/>
      <c r="C9" s="5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">
      <c r="A10" s="49" t="s">
        <v>29</v>
      </c>
      <c r="B10" s="51" t="s">
        <v>21</v>
      </c>
      <c r="C10" s="51" t="s">
        <v>32</v>
      </c>
      <c r="D10" s="51" t="s">
        <v>33</v>
      </c>
      <c r="E10" s="51" t="s">
        <v>35</v>
      </c>
      <c r="F10" s="54" t="s">
        <v>36</v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26.25" customHeight="1" x14ac:dyDescent="0.2">
      <c r="A11" s="58">
        <v>46244.708333333336</v>
      </c>
      <c r="B11" s="59" t="s">
        <v>22</v>
      </c>
      <c r="C11" s="60" t="s">
        <v>409</v>
      </c>
      <c r="D11" s="61" t="s">
        <v>37</v>
      </c>
      <c r="E11" s="60" t="s">
        <v>410</v>
      </c>
      <c r="F11" s="62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36" customHeight="1" x14ac:dyDescent="0.2">
      <c r="A12" s="58"/>
      <c r="B12" s="59" t="s">
        <v>411</v>
      </c>
      <c r="C12" s="60"/>
      <c r="D12" s="61"/>
      <c r="E12" s="60"/>
      <c r="F12" s="67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32.25" customHeight="1" x14ac:dyDescent="0.2">
      <c r="A13" s="58"/>
      <c r="B13" s="59" t="s">
        <v>411</v>
      </c>
      <c r="C13" s="60"/>
      <c r="D13" s="61"/>
      <c r="E13" s="60"/>
      <c r="F13" s="67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21.75" customHeight="1" x14ac:dyDescent="0.2">
      <c r="A14" s="58"/>
      <c r="B14" s="59" t="s">
        <v>411</v>
      </c>
      <c r="C14" s="60"/>
      <c r="D14" s="61"/>
      <c r="E14" s="60"/>
      <c r="F14" s="67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43.5" customHeight="1" x14ac:dyDescent="0.2">
      <c r="A15" s="58"/>
      <c r="B15" s="59" t="s">
        <v>411</v>
      </c>
      <c r="C15" s="60"/>
      <c r="D15" s="61"/>
      <c r="E15" s="60"/>
      <c r="F15" s="67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21.75" customHeight="1" x14ac:dyDescent="0.2">
      <c r="A16" s="58"/>
      <c r="B16" s="59" t="s">
        <v>411</v>
      </c>
      <c r="C16" s="60"/>
      <c r="D16" s="61"/>
      <c r="E16" s="60"/>
      <c r="F16" s="67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1.75" customHeight="1" x14ac:dyDescent="0.2">
      <c r="A17" s="84"/>
      <c r="B17" s="59"/>
      <c r="C17" s="60"/>
      <c r="D17" s="61"/>
      <c r="E17" s="60"/>
      <c r="F17" s="67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21.75" customHeight="1" x14ac:dyDescent="0.2">
      <c r="A18" s="84"/>
      <c r="B18" s="59"/>
      <c r="C18" s="60"/>
      <c r="D18" s="61"/>
      <c r="E18" s="60"/>
      <c r="F18" s="67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21.75" customHeight="1" x14ac:dyDescent="0.2">
      <c r="A19" s="84"/>
      <c r="B19" s="59"/>
      <c r="C19" s="60"/>
      <c r="D19" s="61"/>
      <c r="E19" s="60"/>
      <c r="F19" s="67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21.75" customHeight="1" x14ac:dyDescent="0.2">
      <c r="A20" s="84"/>
      <c r="B20" s="59"/>
      <c r="C20" s="60"/>
      <c r="D20" s="61"/>
      <c r="E20" s="60"/>
      <c r="F20" s="67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21.75" customHeight="1" x14ac:dyDescent="0.2">
      <c r="A21" s="84"/>
      <c r="B21" s="59"/>
      <c r="C21" s="60"/>
      <c r="D21" s="61"/>
      <c r="E21" s="60"/>
      <c r="F21" s="67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9.5" customHeight="1" x14ac:dyDescent="0.2">
      <c r="A22" s="92"/>
      <c r="B22" s="93"/>
      <c r="C22" s="94"/>
      <c r="D22" s="95"/>
      <c r="E22" s="94"/>
      <c r="F22" s="96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2.75" customHeight="1" x14ac:dyDescent="0.25">
      <c r="A23" s="3"/>
      <c r="B23" s="4"/>
      <c r="C23" s="5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3"/>
      <c r="B24" s="4"/>
      <c r="C24" s="5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3"/>
      <c r="B25" s="4"/>
      <c r="C25" s="5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3"/>
      <c r="B26" s="4"/>
      <c r="C26" s="5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3"/>
      <c r="B27" s="4"/>
      <c r="C27" s="5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3"/>
      <c r="B28" s="4"/>
      <c r="C28" s="5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3"/>
      <c r="B29" s="4"/>
      <c r="C29" s="5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3"/>
      <c r="B30" s="4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3"/>
      <c r="B31" s="4"/>
      <c r="C31" s="5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3"/>
      <c r="B32" s="4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3"/>
      <c r="B33" s="4"/>
      <c r="C33" s="5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3"/>
      <c r="B34" s="4"/>
      <c r="C34" s="5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3"/>
      <c r="B35" s="4"/>
      <c r="C35" s="5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3"/>
      <c r="B36" s="4"/>
      <c r="C36" s="5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3"/>
      <c r="B37" s="4"/>
      <c r="C37" s="5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3"/>
      <c r="B38" s="4"/>
      <c r="C38" s="5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3"/>
      <c r="B39" s="4"/>
      <c r="C39" s="5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3"/>
      <c r="B40" s="4"/>
      <c r="C40" s="5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3"/>
      <c r="B41" s="4"/>
      <c r="C41" s="5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3"/>
      <c r="B42" s="4"/>
      <c r="C42" s="5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3"/>
      <c r="B43" s="4"/>
      <c r="C43" s="5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3"/>
      <c r="B44" s="4"/>
      <c r="C44" s="5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3"/>
      <c r="B45" s="4"/>
      <c r="C45" s="5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3"/>
      <c r="B46" s="4"/>
      <c r="C46" s="5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3"/>
      <c r="B47" s="4"/>
      <c r="C47" s="5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3"/>
      <c r="B48" s="4"/>
      <c r="C48" s="5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3"/>
      <c r="B49" s="4"/>
      <c r="C49" s="5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3"/>
      <c r="B50" s="4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3"/>
      <c r="B51" s="4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3"/>
      <c r="B52" s="4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3"/>
      <c r="B53" s="4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3"/>
      <c r="B54" s="4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3"/>
      <c r="B55" s="4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5">
      <c r="A56" s="3"/>
      <c r="B56" s="4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3"/>
      <c r="B57" s="4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5">
      <c r="A58" s="3"/>
      <c r="B58" s="4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3"/>
      <c r="B59" s="4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3"/>
      <c r="B60" s="4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3"/>
      <c r="B61" s="4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3"/>
      <c r="B62" s="4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3"/>
      <c r="B63" s="4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3"/>
      <c r="B64" s="4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3"/>
      <c r="B65" s="4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3"/>
      <c r="B66" s="4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3"/>
      <c r="B67" s="4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3"/>
      <c r="B68" s="4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3"/>
      <c r="B69" s="4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3"/>
      <c r="B70" s="4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3"/>
      <c r="B71" s="4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3"/>
      <c r="B72" s="4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3"/>
      <c r="B73" s="4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3"/>
      <c r="B74" s="4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3"/>
      <c r="B75" s="4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3"/>
      <c r="B76" s="4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3"/>
      <c r="B77" s="4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3"/>
      <c r="B78" s="4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3"/>
      <c r="B79" s="4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3"/>
      <c r="B80" s="4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3"/>
      <c r="B81" s="4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3"/>
      <c r="B82" s="4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3"/>
      <c r="B83" s="4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3"/>
      <c r="B84" s="4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3"/>
      <c r="B85" s="4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3"/>
      <c r="B86" s="4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3"/>
      <c r="B87" s="4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3"/>
      <c r="B88" s="4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3"/>
      <c r="B89" s="4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3"/>
      <c r="B90" s="4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3"/>
      <c r="B91" s="4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3"/>
      <c r="B92" s="4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3"/>
      <c r="B93" s="4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3"/>
      <c r="B94" s="4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3"/>
      <c r="B95" s="4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3"/>
      <c r="B96" s="4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3"/>
      <c r="B97" s="4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3"/>
      <c r="B98" s="4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3"/>
      <c r="B99" s="4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3"/>
      <c r="B100" s="4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3"/>
      <c r="B101" s="4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3"/>
      <c r="B102" s="4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3"/>
      <c r="B103" s="4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3"/>
      <c r="B104" s="4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3"/>
      <c r="B105" s="4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3"/>
      <c r="B106" s="4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3"/>
      <c r="B107" s="4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3"/>
      <c r="B108" s="4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3"/>
      <c r="B109" s="4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3"/>
      <c r="B110" s="4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3"/>
      <c r="B111" s="4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3"/>
      <c r="B112" s="4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3"/>
      <c r="B113" s="4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3"/>
      <c r="B114" s="4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3"/>
      <c r="B115" s="4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3"/>
      <c r="B116" s="4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3"/>
      <c r="B117" s="4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3"/>
      <c r="B118" s="4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3"/>
      <c r="B119" s="4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3"/>
      <c r="B120" s="4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3"/>
      <c r="B121" s="4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3"/>
      <c r="B122" s="4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3"/>
      <c r="B123" s="4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3"/>
      <c r="B124" s="4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3"/>
      <c r="B125" s="4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3"/>
      <c r="B126" s="4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3"/>
      <c r="B127" s="4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3"/>
      <c r="B128" s="4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3"/>
      <c r="B129" s="4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3"/>
      <c r="B130" s="4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3"/>
      <c r="B131" s="4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3"/>
      <c r="B132" s="4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3"/>
      <c r="B133" s="4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3"/>
      <c r="B134" s="4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3"/>
      <c r="B135" s="4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3"/>
      <c r="B136" s="4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3"/>
      <c r="B137" s="4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3"/>
      <c r="B138" s="4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3"/>
      <c r="B139" s="4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3"/>
      <c r="B140" s="4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3"/>
      <c r="B141" s="4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3"/>
      <c r="B142" s="4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3"/>
      <c r="B143" s="4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3"/>
      <c r="B144" s="4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3"/>
      <c r="B145" s="4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3"/>
      <c r="B146" s="4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3"/>
      <c r="B147" s="4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3"/>
      <c r="B148" s="4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3"/>
      <c r="B149" s="4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3"/>
      <c r="B150" s="4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3"/>
      <c r="B151" s="4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3"/>
      <c r="B152" s="4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3"/>
      <c r="B153" s="4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3"/>
      <c r="B154" s="4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3"/>
      <c r="B155" s="4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3"/>
      <c r="B156" s="4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3"/>
      <c r="B157" s="4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3"/>
      <c r="B158" s="4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3"/>
      <c r="B159" s="4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3"/>
      <c r="B160" s="4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3"/>
      <c r="B161" s="4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3"/>
      <c r="B162" s="4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3"/>
      <c r="B163" s="4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3"/>
      <c r="B164" s="4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3"/>
      <c r="B165" s="4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3"/>
      <c r="B166" s="4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3"/>
      <c r="B167" s="4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3"/>
      <c r="B168" s="4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3"/>
      <c r="B169" s="4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3"/>
      <c r="B170" s="4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3"/>
      <c r="B171" s="4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3"/>
      <c r="B172" s="4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3"/>
      <c r="B173" s="4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3"/>
      <c r="B174" s="4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3"/>
      <c r="B175" s="4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3"/>
      <c r="B176" s="4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3"/>
      <c r="B177" s="4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3"/>
      <c r="B178" s="4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3"/>
      <c r="B179" s="4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3"/>
      <c r="B180" s="4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3"/>
      <c r="B181" s="4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3"/>
      <c r="B182" s="4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3"/>
      <c r="B183" s="4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3"/>
      <c r="B184" s="4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3"/>
      <c r="B185" s="4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3"/>
      <c r="B186" s="4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3"/>
      <c r="B187" s="4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3"/>
      <c r="B188" s="4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3"/>
      <c r="B189" s="4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3"/>
      <c r="B190" s="4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3"/>
      <c r="B191" s="4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3"/>
      <c r="B192" s="4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3"/>
      <c r="B193" s="4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3"/>
      <c r="B194" s="4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3"/>
      <c r="B195" s="4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3"/>
      <c r="B196" s="4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3"/>
      <c r="B197" s="4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3"/>
      <c r="B198" s="4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3"/>
      <c r="B199" s="4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3"/>
      <c r="B200" s="4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3"/>
      <c r="B201" s="4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3"/>
      <c r="B202" s="4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3"/>
      <c r="B203" s="4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3"/>
      <c r="B204" s="4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3"/>
      <c r="B205" s="4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3"/>
      <c r="B206" s="4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3"/>
      <c r="B207" s="4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3"/>
      <c r="B208" s="4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3"/>
      <c r="B209" s="4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3"/>
      <c r="B210" s="4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3"/>
      <c r="B211" s="4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3"/>
      <c r="B212" s="4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3"/>
      <c r="B213" s="4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3"/>
      <c r="B214" s="4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3"/>
      <c r="B215" s="4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3"/>
      <c r="B216" s="4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3"/>
      <c r="B217" s="4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3"/>
      <c r="B218" s="4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3"/>
      <c r="B219" s="4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3"/>
      <c r="B220" s="4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3"/>
      <c r="B221" s="4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3"/>
      <c r="B222" s="4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3"/>
      <c r="B223" s="4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3"/>
      <c r="B224" s="4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3"/>
      <c r="B225" s="4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3"/>
      <c r="B226" s="4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3"/>
      <c r="B227" s="4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3"/>
      <c r="B228" s="4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3"/>
      <c r="B229" s="4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3"/>
      <c r="B230" s="4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3"/>
      <c r="B231" s="4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3"/>
      <c r="B232" s="4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3"/>
      <c r="B233" s="4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3"/>
      <c r="B234" s="4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3"/>
      <c r="B235" s="4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3"/>
      <c r="B236" s="4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3"/>
      <c r="B237" s="4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3"/>
      <c r="B238" s="4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3"/>
      <c r="B239" s="4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3"/>
      <c r="B240" s="4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3"/>
      <c r="B241" s="4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3"/>
      <c r="B242" s="4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3"/>
      <c r="B243" s="4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3"/>
      <c r="B244" s="4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3"/>
      <c r="B245" s="4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3"/>
      <c r="B246" s="4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3"/>
      <c r="B247" s="4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3"/>
      <c r="B248" s="4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3"/>
      <c r="B249" s="4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3"/>
      <c r="B250" s="4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3"/>
      <c r="B251" s="4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3"/>
      <c r="B252" s="4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3"/>
      <c r="B253" s="4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3"/>
      <c r="B254" s="4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3"/>
      <c r="B255" s="4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3"/>
      <c r="B256" s="4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3"/>
      <c r="B257" s="4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3"/>
      <c r="B258" s="4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3"/>
      <c r="B259" s="4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5">
      <c r="A260" s="3"/>
      <c r="B260" s="4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5">
      <c r="A261" s="3"/>
      <c r="B261" s="4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5">
      <c r="A262" s="3"/>
      <c r="B262" s="4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5">
      <c r="A263" s="3"/>
      <c r="B263" s="4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5">
      <c r="A264" s="3"/>
      <c r="B264" s="4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5">
      <c r="A265" s="3"/>
      <c r="B265" s="4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5">
      <c r="A266" s="3"/>
      <c r="B266" s="4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5">
      <c r="A267" s="3"/>
      <c r="B267" s="4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5">
      <c r="A268" s="3"/>
      <c r="B268" s="4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5">
      <c r="A269" s="3"/>
      <c r="B269" s="4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5">
      <c r="A270" s="3"/>
      <c r="B270" s="4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5">
      <c r="A271" s="3"/>
      <c r="B271" s="4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5">
      <c r="A272" s="3"/>
      <c r="B272" s="4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5">
      <c r="A273" s="3"/>
      <c r="B273" s="4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5">
      <c r="A274" s="3"/>
      <c r="B274" s="4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5">
      <c r="A275" s="3"/>
      <c r="B275" s="4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5">
      <c r="A276" s="3"/>
      <c r="B276" s="4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5">
      <c r="A277" s="3"/>
      <c r="B277" s="4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5">
      <c r="A278" s="3"/>
      <c r="B278" s="4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5">
      <c r="A279" s="3"/>
      <c r="B279" s="4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5">
      <c r="A280" s="3"/>
      <c r="B280" s="4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5">
      <c r="A281" s="3"/>
      <c r="B281" s="4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5">
      <c r="A282" s="3"/>
      <c r="B282" s="4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5">
      <c r="A283" s="3"/>
      <c r="B283" s="4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5">
      <c r="A284" s="3"/>
      <c r="B284" s="4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5">
      <c r="A285" s="3"/>
      <c r="B285" s="4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5">
      <c r="A286" s="3"/>
      <c r="B286" s="4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5">
      <c r="A287" s="3"/>
      <c r="B287" s="4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5">
      <c r="A288" s="3"/>
      <c r="B288" s="4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5">
      <c r="A289" s="3"/>
      <c r="B289" s="4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5">
      <c r="A290" s="3"/>
      <c r="B290" s="4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5">
      <c r="A291" s="3"/>
      <c r="B291" s="4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5">
      <c r="A292" s="3"/>
      <c r="B292" s="4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5">
      <c r="A293" s="3"/>
      <c r="B293" s="4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5">
      <c r="A294" s="3"/>
      <c r="B294" s="4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5">
      <c r="A295" s="3"/>
      <c r="B295" s="4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5">
      <c r="A296" s="3"/>
      <c r="B296" s="4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5">
      <c r="A297" s="3"/>
      <c r="B297" s="4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5">
      <c r="A298" s="3"/>
      <c r="B298" s="4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5">
      <c r="A299" s="3"/>
      <c r="B299" s="4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5">
      <c r="A300" s="3"/>
      <c r="B300" s="4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5">
      <c r="A301" s="3"/>
      <c r="B301" s="4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5">
      <c r="A302" s="3"/>
      <c r="B302" s="4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5">
      <c r="A303" s="3"/>
      <c r="B303" s="4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5">
      <c r="A304" s="3"/>
      <c r="B304" s="4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5">
      <c r="A305" s="3"/>
      <c r="B305" s="4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5">
      <c r="A306" s="3"/>
      <c r="B306" s="4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5">
      <c r="A307" s="3"/>
      <c r="B307" s="4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5">
      <c r="A308" s="3"/>
      <c r="B308" s="4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5">
      <c r="A309" s="3"/>
      <c r="B309" s="4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5">
      <c r="A310" s="3"/>
      <c r="B310" s="4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5">
      <c r="A311" s="3"/>
      <c r="B311" s="4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5">
      <c r="A312" s="3"/>
      <c r="B312" s="4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5">
      <c r="A313" s="3"/>
      <c r="B313" s="4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5">
      <c r="A314" s="3"/>
      <c r="B314" s="4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5">
      <c r="A315" s="3"/>
      <c r="B315" s="4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5">
      <c r="A316" s="3"/>
      <c r="B316" s="4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5">
      <c r="A317" s="3"/>
      <c r="B317" s="4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5">
      <c r="A318" s="3"/>
      <c r="B318" s="4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5">
      <c r="A319" s="3"/>
      <c r="B319" s="4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5">
      <c r="A320" s="3"/>
      <c r="B320" s="4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5">
      <c r="A321" s="3"/>
      <c r="B321" s="4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5">
      <c r="A322" s="3"/>
      <c r="B322" s="4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5">
      <c r="A323" s="3"/>
      <c r="B323" s="4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5">
      <c r="A324" s="3"/>
      <c r="B324" s="4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5">
      <c r="A325" s="3"/>
      <c r="B325" s="4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5">
      <c r="A326" s="3"/>
      <c r="B326" s="4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5">
      <c r="A327" s="3"/>
      <c r="B327" s="4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5">
      <c r="A328" s="3"/>
      <c r="B328" s="4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5">
      <c r="A329" s="3"/>
      <c r="B329" s="4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5">
      <c r="A330" s="3"/>
      <c r="B330" s="4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5">
      <c r="A331" s="3"/>
      <c r="B331" s="4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5">
      <c r="A332" s="3"/>
      <c r="B332" s="4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5">
      <c r="A333" s="3"/>
      <c r="B333" s="4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5">
      <c r="A334" s="3"/>
      <c r="B334" s="4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5">
      <c r="A335" s="3"/>
      <c r="B335" s="4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5">
      <c r="A336" s="3"/>
      <c r="B336" s="4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5">
      <c r="A337" s="3"/>
      <c r="B337" s="4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5">
      <c r="A338" s="3"/>
      <c r="B338" s="4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5">
      <c r="A339" s="3"/>
      <c r="B339" s="4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5">
      <c r="A340" s="3"/>
      <c r="B340" s="4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5">
      <c r="A341" s="3"/>
      <c r="B341" s="4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5">
      <c r="A342" s="3"/>
      <c r="B342" s="4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5">
      <c r="A343" s="3"/>
      <c r="B343" s="4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5">
      <c r="A344" s="3"/>
      <c r="B344" s="4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5">
      <c r="A345" s="3"/>
      <c r="B345" s="4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5">
      <c r="A346" s="3"/>
      <c r="B346" s="4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5">
      <c r="A347" s="3"/>
      <c r="B347" s="4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5">
      <c r="A348" s="3"/>
      <c r="B348" s="4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5">
      <c r="A349" s="3"/>
      <c r="B349" s="4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5">
      <c r="A350" s="3"/>
      <c r="B350" s="4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5">
      <c r="A351" s="3"/>
      <c r="B351" s="4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5">
      <c r="A352" s="3"/>
      <c r="B352" s="4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5">
      <c r="A353" s="3"/>
      <c r="B353" s="4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5">
      <c r="A354" s="3"/>
      <c r="B354" s="4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5">
      <c r="A355" s="3"/>
      <c r="B355" s="4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5">
      <c r="A356" s="3"/>
      <c r="B356" s="4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5">
      <c r="A357" s="3"/>
      <c r="B357" s="4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5">
      <c r="A358" s="3"/>
      <c r="B358" s="4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5">
      <c r="A359" s="3"/>
      <c r="B359" s="4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5">
      <c r="A360" s="3"/>
      <c r="B360" s="4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5">
      <c r="A361" s="3"/>
      <c r="B361" s="4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5">
      <c r="A362" s="3"/>
      <c r="B362" s="4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5">
      <c r="A363" s="3"/>
      <c r="B363" s="4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5">
      <c r="A364" s="3"/>
      <c r="B364" s="4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5">
      <c r="A365" s="3"/>
      <c r="B365" s="4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5">
      <c r="A366" s="3"/>
      <c r="B366" s="4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5">
      <c r="A367" s="3"/>
      <c r="B367" s="4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5">
      <c r="A368" s="3"/>
      <c r="B368" s="4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5">
      <c r="A369" s="3"/>
      <c r="B369" s="4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5">
      <c r="A370" s="3"/>
      <c r="B370" s="4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5">
      <c r="A371" s="3"/>
      <c r="B371" s="4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5">
      <c r="A372" s="3"/>
      <c r="B372" s="4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5">
      <c r="A373" s="3"/>
      <c r="B373" s="4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5">
      <c r="A374" s="3"/>
      <c r="B374" s="4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5">
      <c r="A375" s="3"/>
      <c r="B375" s="4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5">
      <c r="A376" s="3"/>
      <c r="B376" s="4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5">
      <c r="A377" s="3"/>
      <c r="B377" s="4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5">
      <c r="A378" s="3"/>
      <c r="B378" s="4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5">
      <c r="A379" s="3"/>
      <c r="B379" s="4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5">
      <c r="A380" s="3"/>
      <c r="B380" s="4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5">
      <c r="A381" s="3"/>
      <c r="B381" s="4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5">
      <c r="A382" s="3"/>
      <c r="B382" s="4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5">
      <c r="A383" s="3"/>
      <c r="B383" s="4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5">
      <c r="A384" s="3"/>
      <c r="B384" s="4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5">
      <c r="A385" s="3"/>
      <c r="B385" s="4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5">
      <c r="A386" s="3"/>
      <c r="B386" s="4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5">
      <c r="A387" s="3"/>
      <c r="B387" s="4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5">
      <c r="A388" s="3"/>
      <c r="B388" s="4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5">
      <c r="A389" s="3"/>
      <c r="B389" s="4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5">
      <c r="A390" s="3"/>
      <c r="B390" s="4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5">
      <c r="A391" s="3"/>
      <c r="B391" s="4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5">
      <c r="A392" s="3"/>
      <c r="B392" s="4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5">
      <c r="A393" s="3"/>
      <c r="B393" s="4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5">
      <c r="A394" s="3"/>
      <c r="B394" s="4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5">
      <c r="A395" s="3"/>
      <c r="B395" s="4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5">
      <c r="A396" s="3"/>
      <c r="B396" s="4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5">
      <c r="A397" s="3"/>
      <c r="B397" s="4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5">
      <c r="A398" s="3"/>
      <c r="B398" s="4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5">
      <c r="A399" s="3"/>
      <c r="B399" s="4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5">
      <c r="A400" s="3"/>
      <c r="B400" s="4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5">
      <c r="A401" s="3"/>
      <c r="B401" s="4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5">
      <c r="A402" s="3"/>
      <c r="B402" s="4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5">
      <c r="A403" s="3"/>
      <c r="B403" s="4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5">
      <c r="A404" s="3"/>
      <c r="B404" s="4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5">
      <c r="A405" s="3"/>
      <c r="B405" s="4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5">
      <c r="A406" s="3"/>
      <c r="B406" s="4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5">
      <c r="A407" s="3"/>
      <c r="B407" s="4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5">
      <c r="A408" s="3"/>
      <c r="B408" s="4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5">
      <c r="A409" s="3"/>
      <c r="B409" s="4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5">
      <c r="A410" s="3"/>
      <c r="B410" s="4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5">
      <c r="A411" s="3"/>
      <c r="B411" s="4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5">
      <c r="A412" s="3"/>
      <c r="B412" s="4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5">
      <c r="A413" s="3"/>
      <c r="B413" s="4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5">
      <c r="A414" s="3"/>
      <c r="B414" s="4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5">
      <c r="A415" s="3"/>
      <c r="B415" s="4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5">
      <c r="A416" s="3"/>
      <c r="B416" s="4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5">
      <c r="A417" s="3"/>
      <c r="B417" s="4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5">
      <c r="A418" s="3"/>
      <c r="B418" s="4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5">
      <c r="A419" s="3"/>
      <c r="B419" s="4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5">
      <c r="A420" s="3"/>
      <c r="B420" s="4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5">
      <c r="A421" s="3"/>
      <c r="B421" s="4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5">
      <c r="A422" s="3"/>
      <c r="B422" s="4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5">
      <c r="A423" s="3"/>
      <c r="B423" s="4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5">
      <c r="A424" s="3"/>
      <c r="B424" s="4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5">
      <c r="A425" s="3"/>
      <c r="B425" s="4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5">
      <c r="A426" s="3"/>
      <c r="B426" s="4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5">
      <c r="A427" s="3"/>
      <c r="B427" s="4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5">
      <c r="A428" s="3"/>
      <c r="B428" s="4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5">
      <c r="A429" s="3"/>
      <c r="B429" s="4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5">
      <c r="A430" s="3"/>
      <c r="B430" s="4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5">
      <c r="A431" s="3"/>
      <c r="B431" s="4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5">
      <c r="A432" s="3"/>
      <c r="B432" s="4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5">
      <c r="A433" s="3"/>
      <c r="B433" s="4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5">
      <c r="A434" s="3"/>
      <c r="B434" s="4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5">
      <c r="A435" s="3"/>
      <c r="B435" s="4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5">
      <c r="A436" s="3"/>
      <c r="B436" s="4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5">
      <c r="A437" s="3"/>
      <c r="B437" s="4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5">
      <c r="A438" s="3"/>
      <c r="B438" s="4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5">
      <c r="A439" s="3"/>
      <c r="B439" s="4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5">
      <c r="A440" s="3"/>
      <c r="B440" s="4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5">
      <c r="A441" s="3"/>
      <c r="B441" s="4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5">
      <c r="A442" s="3"/>
      <c r="B442" s="4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5">
      <c r="A443" s="3"/>
      <c r="B443" s="4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5">
      <c r="A444" s="3"/>
      <c r="B444" s="4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5">
      <c r="A445" s="3"/>
      <c r="B445" s="4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5">
      <c r="A446" s="3"/>
      <c r="B446" s="4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5">
      <c r="A447" s="3"/>
      <c r="B447" s="4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5">
      <c r="A448" s="3"/>
      <c r="B448" s="4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5">
      <c r="A449" s="3"/>
      <c r="B449" s="4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5">
      <c r="A450" s="3"/>
      <c r="B450" s="4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5">
      <c r="A451" s="3"/>
      <c r="B451" s="4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5">
      <c r="A452" s="3"/>
      <c r="B452" s="4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5">
      <c r="A453" s="3"/>
      <c r="B453" s="4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5">
      <c r="A454" s="3"/>
      <c r="B454" s="4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5">
      <c r="A455" s="3"/>
      <c r="B455" s="4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5">
      <c r="A456" s="3"/>
      <c r="B456" s="4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5">
      <c r="A457" s="3"/>
      <c r="B457" s="4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5">
      <c r="A458" s="3"/>
      <c r="B458" s="4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5">
      <c r="A459" s="3"/>
      <c r="B459" s="4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5">
      <c r="A460" s="3"/>
      <c r="B460" s="4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5">
      <c r="A461" s="3"/>
      <c r="B461" s="4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5">
      <c r="A462" s="3"/>
      <c r="B462" s="4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5">
      <c r="A463" s="3"/>
      <c r="B463" s="4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5">
      <c r="A464" s="3"/>
      <c r="B464" s="4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5">
      <c r="A465" s="3"/>
      <c r="B465" s="4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5">
      <c r="A466" s="3"/>
      <c r="B466" s="4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5">
      <c r="A467" s="3"/>
      <c r="B467" s="4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5">
      <c r="A468" s="3"/>
      <c r="B468" s="4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5">
      <c r="A469" s="3"/>
      <c r="B469" s="4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5">
      <c r="A470" s="3"/>
      <c r="B470" s="4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5">
      <c r="A471" s="3"/>
      <c r="B471" s="4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5">
      <c r="A472" s="3"/>
      <c r="B472" s="4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5">
      <c r="A473" s="3"/>
      <c r="B473" s="4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5">
      <c r="A474" s="3"/>
      <c r="B474" s="4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5">
      <c r="A475" s="3"/>
      <c r="B475" s="4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5">
      <c r="A476" s="3"/>
      <c r="B476" s="4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5">
      <c r="A477" s="3"/>
      <c r="B477" s="4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5">
      <c r="A478" s="3"/>
      <c r="B478" s="4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5">
      <c r="A479" s="3"/>
      <c r="B479" s="4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5">
      <c r="A480" s="3"/>
      <c r="B480" s="4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5">
      <c r="A481" s="3"/>
      <c r="B481" s="4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5">
      <c r="A482" s="3"/>
      <c r="B482" s="4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5">
      <c r="A483" s="3"/>
      <c r="B483" s="4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5">
      <c r="A484" s="3"/>
      <c r="B484" s="4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5">
      <c r="A485" s="3"/>
      <c r="B485" s="4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5">
      <c r="A486" s="3"/>
      <c r="B486" s="4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5">
      <c r="A487" s="3"/>
      <c r="B487" s="4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5">
      <c r="A488" s="3"/>
      <c r="B488" s="4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5">
      <c r="A489" s="3"/>
      <c r="B489" s="4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5">
      <c r="A490" s="3"/>
      <c r="B490" s="4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5">
      <c r="A491" s="3"/>
      <c r="B491" s="4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5">
      <c r="A492" s="3"/>
      <c r="B492" s="4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5">
      <c r="A493" s="3"/>
      <c r="B493" s="4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5">
      <c r="A494" s="3"/>
      <c r="B494" s="4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5">
      <c r="A495" s="3"/>
      <c r="B495" s="4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5">
      <c r="A496" s="3"/>
      <c r="B496" s="4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5">
      <c r="A497" s="3"/>
      <c r="B497" s="4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5">
      <c r="A498" s="3"/>
      <c r="B498" s="4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5">
      <c r="A499" s="3"/>
      <c r="B499" s="4"/>
      <c r="C499" s="5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5">
      <c r="A500" s="3"/>
      <c r="B500" s="4"/>
      <c r="C500" s="5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5">
      <c r="A501" s="3"/>
      <c r="B501" s="4"/>
      <c r="C501" s="5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5">
      <c r="A502" s="3"/>
      <c r="B502" s="4"/>
      <c r="C502" s="5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5">
      <c r="A503" s="3"/>
      <c r="B503" s="4"/>
      <c r="C503" s="5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5">
      <c r="A504" s="3"/>
      <c r="B504" s="4"/>
      <c r="C504" s="5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5">
      <c r="A505" s="3"/>
      <c r="B505" s="4"/>
      <c r="C505" s="5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5">
      <c r="A506" s="3"/>
      <c r="B506" s="4"/>
      <c r="C506" s="5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5">
      <c r="A507" s="3"/>
      <c r="B507" s="4"/>
      <c r="C507" s="5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5">
      <c r="A508" s="3"/>
      <c r="B508" s="4"/>
      <c r="C508" s="5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5">
      <c r="A509" s="3"/>
      <c r="B509" s="4"/>
      <c r="C509" s="5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5">
      <c r="A510" s="3"/>
      <c r="B510" s="4"/>
      <c r="C510" s="5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5">
      <c r="A511" s="3"/>
      <c r="B511" s="4"/>
      <c r="C511" s="5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5">
      <c r="A512" s="3"/>
      <c r="B512" s="4"/>
      <c r="C512" s="5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5">
      <c r="A513" s="3"/>
      <c r="B513" s="4"/>
      <c r="C513" s="5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5">
      <c r="A514" s="3"/>
      <c r="B514" s="4"/>
      <c r="C514" s="5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5">
      <c r="A515" s="3"/>
      <c r="B515" s="4"/>
      <c r="C515" s="5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5">
      <c r="A516" s="3"/>
      <c r="B516" s="4"/>
      <c r="C516" s="5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5">
      <c r="A517" s="3"/>
      <c r="B517" s="4"/>
      <c r="C517" s="5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5">
      <c r="A518" s="3"/>
      <c r="B518" s="4"/>
      <c r="C518" s="5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5">
      <c r="A519" s="3"/>
      <c r="B519" s="4"/>
      <c r="C519" s="5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5">
      <c r="A520" s="3"/>
      <c r="B520" s="4"/>
      <c r="C520" s="5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5">
      <c r="A521" s="3"/>
      <c r="B521" s="4"/>
      <c r="C521" s="5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5">
      <c r="A522" s="3"/>
      <c r="B522" s="4"/>
      <c r="C522" s="5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5">
      <c r="A523" s="3"/>
      <c r="B523" s="4"/>
      <c r="C523" s="5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5">
      <c r="A524" s="3"/>
      <c r="B524" s="4"/>
      <c r="C524" s="5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5">
      <c r="A525" s="3"/>
      <c r="B525" s="4"/>
      <c r="C525" s="5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5">
      <c r="A526" s="3"/>
      <c r="B526" s="4"/>
      <c r="C526" s="5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5">
      <c r="A527" s="3"/>
      <c r="B527" s="4"/>
      <c r="C527" s="5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5">
      <c r="A528" s="3"/>
      <c r="B528" s="4"/>
      <c r="C528" s="5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5">
      <c r="A529" s="3"/>
      <c r="B529" s="4"/>
      <c r="C529" s="5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5">
      <c r="A530" s="3"/>
      <c r="B530" s="4"/>
      <c r="C530" s="5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5">
      <c r="A531" s="3"/>
      <c r="B531" s="4"/>
      <c r="C531" s="5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5">
      <c r="A532" s="3"/>
      <c r="B532" s="4"/>
      <c r="C532" s="5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5">
      <c r="A533" s="3"/>
      <c r="B533" s="4"/>
      <c r="C533" s="5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5">
      <c r="A534" s="3"/>
      <c r="B534" s="4"/>
      <c r="C534" s="5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5">
      <c r="A535" s="3"/>
      <c r="B535" s="4"/>
      <c r="C535" s="5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5">
      <c r="A536" s="3"/>
      <c r="B536" s="4"/>
      <c r="C536" s="5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5">
      <c r="A537" s="3"/>
      <c r="B537" s="4"/>
      <c r="C537" s="5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5">
      <c r="A538" s="3"/>
      <c r="B538" s="4"/>
      <c r="C538" s="5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5">
      <c r="A539" s="3"/>
      <c r="B539" s="4"/>
      <c r="C539" s="5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5">
      <c r="A540" s="3"/>
      <c r="B540" s="4"/>
      <c r="C540" s="5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5">
      <c r="A541" s="3"/>
      <c r="B541" s="4"/>
      <c r="C541" s="5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5">
      <c r="A542" s="3"/>
      <c r="B542" s="4"/>
      <c r="C542" s="5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5">
      <c r="A543" s="3"/>
      <c r="B543" s="4"/>
      <c r="C543" s="5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5">
      <c r="A544" s="3"/>
      <c r="B544" s="4"/>
      <c r="C544" s="5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5">
      <c r="A545" s="3"/>
      <c r="B545" s="4"/>
      <c r="C545" s="5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5">
      <c r="A546" s="3"/>
      <c r="B546" s="4"/>
      <c r="C546" s="5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5">
      <c r="A547" s="3"/>
      <c r="B547" s="4"/>
      <c r="C547" s="5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5">
      <c r="A548" s="3"/>
      <c r="B548" s="4"/>
      <c r="C548" s="5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5">
      <c r="A549" s="3"/>
      <c r="B549" s="4"/>
      <c r="C549" s="5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5">
      <c r="A550" s="3"/>
      <c r="B550" s="4"/>
      <c r="C550" s="5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5">
      <c r="A551" s="3"/>
      <c r="B551" s="4"/>
      <c r="C551" s="5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5">
      <c r="A552" s="3"/>
      <c r="B552" s="4"/>
      <c r="C552" s="5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5">
      <c r="A553" s="3"/>
      <c r="B553" s="4"/>
      <c r="C553" s="5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5">
      <c r="A554" s="3"/>
      <c r="B554" s="4"/>
      <c r="C554" s="5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5">
      <c r="A555" s="3"/>
      <c r="B555" s="4"/>
      <c r="C555" s="5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5">
      <c r="A556" s="3"/>
      <c r="B556" s="4"/>
      <c r="C556" s="5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5">
      <c r="A557" s="3"/>
      <c r="B557" s="4"/>
      <c r="C557" s="5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5">
      <c r="A558" s="3"/>
      <c r="B558" s="4"/>
      <c r="C558" s="5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5">
      <c r="A559" s="3"/>
      <c r="B559" s="4"/>
      <c r="C559" s="5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5">
      <c r="A560" s="3"/>
      <c r="B560" s="4"/>
      <c r="C560" s="5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5">
      <c r="A561" s="3"/>
      <c r="B561" s="4"/>
      <c r="C561" s="5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5">
      <c r="A562" s="3"/>
      <c r="B562" s="4"/>
      <c r="C562" s="5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5">
      <c r="A563" s="3"/>
      <c r="B563" s="4"/>
      <c r="C563" s="5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5">
      <c r="A564" s="3"/>
      <c r="B564" s="4"/>
      <c r="C564" s="5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5">
      <c r="A565" s="3"/>
      <c r="B565" s="4"/>
      <c r="C565" s="5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5">
      <c r="A566" s="3"/>
      <c r="B566" s="4"/>
      <c r="C566" s="5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5">
      <c r="A567" s="3"/>
      <c r="B567" s="4"/>
      <c r="C567" s="5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5">
      <c r="A568" s="3"/>
      <c r="B568" s="4"/>
      <c r="C568" s="5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5">
      <c r="A569" s="3"/>
      <c r="B569" s="4"/>
      <c r="C569" s="5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5">
      <c r="A570" s="3"/>
      <c r="B570" s="4"/>
      <c r="C570" s="5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5">
      <c r="A571" s="3"/>
      <c r="B571" s="4"/>
      <c r="C571" s="5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5">
      <c r="A572" s="3"/>
      <c r="B572" s="4"/>
      <c r="C572" s="5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5">
      <c r="A573" s="3"/>
      <c r="B573" s="4"/>
      <c r="C573" s="5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5">
      <c r="A574" s="3"/>
      <c r="B574" s="4"/>
      <c r="C574" s="5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5">
      <c r="A575" s="3"/>
      <c r="B575" s="4"/>
      <c r="C575" s="5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5">
      <c r="A576" s="3"/>
      <c r="B576" s="4"/>
      <c r="C576" s="5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5">
      <c r="A577" s="3"/>
      <c r="B577" s="4"/>
      <c r="C577" s="5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5">
      <c r="A578" s="3"/>
      <c r="B578" s="4"/>
      <c r="C578" s="5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5">
      <c r="A579" s="3"/>
      <c r="B579" s="4"/>
      <c r="C579" s="5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5">
      <c r="A580" s="3"/>
      <c r="B580" s="4"/>
      <c r="C580" s="5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5">
      <c r="A581" s="3"/>
      <c r="B581" s="4"/>
      <c r="C581" s="5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5">
      <c r="A582" s="3"/>
      <c r="B582" s="4"/>
      <c r="C582" s="5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5">
      <c r="A583" s="3"/>
      <c r="B583" s="4"/>
      <c r="C583" s="5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5">
      <c r="A584" s="3"/>
      <c r="B584" s="4"/>
      <c r="C584" s="5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5">
      <c r="A585" s="3"/>
      <c r="B585" s="4"/>
      <c r="C585" s="5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5">
      <c r="A586" s="3"/>
      <c r="B586" s="4"/>
      <c r="C586" s="5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5">
      <c r="A587" s="3"/>
      <c r="B587" s="4"/>
      <c r="C587" s="5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5">
      <c r="A588" s="3"/>
      <c r="B588" s="4"/>
      <c r="C588" s="5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5">
      <c r="A589" s="3"/>
      <c r="B589" s="4"/>
      <c r="C589" s="5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5">
      <c r="A590" s="3"/>
      <c r="B590" s="4"/>
      <c r="C590" s="5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5">
      <c r="A591" s="3"/>
      <c r="B591" s="4"/>
      <c r="C591" s="5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5">
      <c r="A592" s="3"/>
      <c r="B592" s="4"/>
      <c r="C592" s="5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5">
      <c r="A593" s="3"/>
      <c r="B593" s="4"/>
      <c r="C593" s="5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5">
      <c r="A594" s="3"/>
      <c r="B594" s="4"/>
      <c r="C594" s="5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5">
      <c r="A595" s="3"/>
      <c r="B595" s="4"/>
      <c r="C595" s="5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5">
      <c r="A596" s="3"/>
      <c r="B596" s="4"/>
      <c r="C596" s="5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5">
      <c r="A597" s="3"/>
      <c r="B597" s="4"/>
      <c r="C597" s="5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5">
      <c r="A598" s="3"/>
      <c r="B598" s="4"/>
      <c r="C598" s="5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5">
      <c r="A599" s="3"/>
      <c r="B599" s="4"/>
      <c r="C599" s="5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5">
      <c r="A600" s="3"/>
      <c r="B600" s="4"/>
      <c r="C600" s="5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5">
      <c r="A601" s="3"/>
      <c r="B601" s="4"/>
      <c r="C601" s="5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5">
      <c r="A602" s="3"/>
      <c r="B602" s="4"/>
      <c r="C602" s="5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5">
      <c r="A603" s="3"/>
      <c r="B603" s="4"/>
      <c r="C603" s="5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5">
      <c r="A604" s="3"/>
      <c r="B604" s="4"/>
      <c r="C604" s="5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5">
      <c r="A605" s="3"/>
      <c r="B605" s="4"/>
      <c r="C605" s="5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5">
      <c r="A606" s="3"/>
      <c r="B606" s="4"/>
      <c r="C606" s="5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5">
      <c r="A607" s="3"/>
      <c r="B607" s="4"/>
      <c r="C607" s="5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5">
      <c r="A608" s="3"/>
      <c r="B608" s="4"/>
      <c r="C608" s="5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5">
      <c r="A609" s="3"/>
      <c r="B609" s="4"/>
      <c r="C609" s="5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5">
      <c r="A610" s="3"/>
      <c r="B610" s="4"/>
      <c r="C610" s="5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5">
      <c r="A611" s="3"/>
      <c r="B611" s="4"/>
      <c r="C611" s="5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5">
      <c r="A612" s="3"/>
      <c r="B612" s="4"/>
      <c r="C612" s="5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5">
      <c r="A613" s="3"/>
      <c r="B613" s="4"/>
      <c r="C613" s="5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5">
      <c r="A614" s="3"/>
      <c r="B614" s="4"/>
      <c r="C614" s="5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5">
      <c r="A615" s="3"/>
      <c r="B615" s="4"/>
      <c r="C615" s="5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5">
      <c r="A616" s="3"/>
      <c r="B616" s="4"/>
      <c r="C616" s="5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5">
      <c r="A617" s="3"/>
      <c r="B617" s="4"/>
      <c r="C617" s="5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5">
      <c r="A618" s="3"/>
      <c r="B618" s="4"/>
      <c r="C618" s="5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5">
      <c r="A619" s="3"/>
      <c r="B619" s="4"/>
      <c r="C619" s="5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5">
      <c r="A620" s="3"/>
      <c r="B620" s="4"/>
      <c r="C620" s="5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5">
      <c r="A621" s="3"/>
      <c r="B621" s="4"/>
      <c r="C621" s="5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5">
      <c r="A622" s="3"/>
      <c r="B622" s="4"/>
      <c r="C622" s="5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5">
      <c r="A623" s="3"/>
      <c r="B623" s="4"/>
      <c r="C623" s="5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5">
      <c r="A624" s="3"/>
      <c r="B624" s="4"/>
      <c r="C624" s="5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5">
      <c r="A625" s="3"/>
      <c r="B625" s="4"/>
      <c r="C625" s="5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5">
      <c r="A626" s="3"/>
      <c r="B626" s="4"/>
      <c r="C626" s="5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5">
      <c r="A627" s="3"/>
      <c r="B627" s="4"/>
      <c r="C627" s="5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5">
      <c r="A628" s="3"/>
      <c r="B628" s="4"/>
      <c r="C628" s="5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5">
      <c r="A629" s="3"/>
      <c r="B629" s="4"/>
      <c r="C629" s="5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5">
      <c r="A630" s="3"/>
      <c r="B630" s="4"/>
      <c r="C630" s="5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5">
      <c r="A631" s="3"/>
      <c r="B631" s="4"/>
      <c r="C631" s="5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5">
      <c r="A632" s="3"/>
      <c r="B632" s="4"/>
      <c r="C632" s="5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5">
      <c r="A633" s="3"/>
      <c r="B633" s="4"/>
      <c r="C633" s="5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5">
      <c r="A634" s="3"/>
      <c r="B634" s="4"/>
      <c r="C634" s="5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5">
      <c r="A635" s="3"/>
      <c r="B635" s="4"/>
      <c r="C635" s="5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5">
      <c r="A636" s="3"/>
      <c r="B636" s="4"/>
      <c r="C636" s="5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5">
      <c r="A637" s="3"/>
      <c r="B637" s="4"/>
      <c r="C637" s="5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5">
      <c r="A638" s="3"/>
      <c r="B638" s="4"/>
      <c r="C638" s="5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5">
      <c r="A639" s="3"/>
      <c r="B639" s="4"/>
      <c r="C639" s="5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5">
      <c r="A640" s="3"/>
      <c r="B640" s="4"/>
      <c r="C640" s="5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5">
      <c r="A641" s="3"/>
      <c r="B641" s="4"/>
      <c r="C641" s="5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5">
      <c r="A642" s="3"/>
      <c r="B642" s="4"/>
      <c r="C642" s="5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5">
      <c r="A643" s="3"/>
      <c r="B643" s="4"/>
      <c r="C643" s="5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5">
      <c r="A644" s="3"/>
      <c r="B644" s="4"/>
      <c r="C644" s="5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5">
      <c r="A645" s="3"/>
      <c r="B645" s="4"/>
      <c r="C645" s="5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5">
      <c r="A646" s="3"/>
      <c r="B646" s="4"/>
      <c r="C646" s="5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5">
      <c r="A647" s="3"/>
      <c r="B647" s="4"/>
      <c r="C647" s="5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5">
      <c r="A648" s="3"/>
      <c r="B648" s="4"/>
      <c r="C648" s="5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5">
      <c r="A649" s="3"/>
      <c r="B649" s="4"/>
      <c r="C649" s="5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5">
      <c r="A650" s="3"/>
      <c r="B650" s="4"/>
      <c r="C650" s="5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5">
      <c r="A651" s="3"/>
      <c r="B651" s="4"/>
      <c r="C651" s="5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5">
      <c r="A652" s="3"/>
      <c r="B652" s="4"/>
      <c r="C652" s="5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5">
      <c r="A653" s="3"/>
      <c r="B653" s="4"/>
      <c r="C653" s="5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5">
      <c r="A654" s="3"/>
      <c r="B654" s="4"/>
      <c r="C654" s="5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5">
      <c r="A655" s="3"/>
      <c r="B655" s="4"/>
      <c r="C655" s="5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5">
      <c r="A656" s="3"/>
      <c r="B656" s="4"/>
      <c r="C656" s="5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5">
      <c r="A657" s="3"/>
      <c r="B657" s="4"/>
      <c r="C657" s="5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5">
      <c r="A658" s="3"/>
      <c r="B658" s="4"/>
      <c r="C658" s="5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5">
      <c r="A659" s="3"/>
      <c r="B659" s="4"/>
      <c r="C659" s="5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5">
      <c r="A660" s="3"/>
      <c r="B660" s="4"/>
      <c r="C660" s="5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5">
      <c r="A661" s="3"/>
      <c r="B661" s="4"/>
      <c r="C661" s="5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5">
      <c r="A662" s="3"/>
      <c r="B662" s="4"/>
      <c r="C662" s="5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5">
      <c r="A663" s="3"/>
      <c r="B663" s="4"/>
      <c r="C663" s="5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5">
      <c r="A664" s="3"/>
      <c r="B664" s="4"/>
      <c r="C664" s="5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5">
      <c r="A665" s="3"/>
      <c r="B665" s="4"/>
      <c r="C665" s="5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5">
      <c r="A666" s="3"/>
      <c r="B666" s="4"/>
      <c r="C666" s="5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5">
      <c r="A667" s="3"/>
      <c r="B667" s="4"/>
      <c r="C667" s="5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5">
      <c r="A668" s="3"/>
      <c r="B668" s="4"/>
      <c r="C668" s="5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5">
      <c r="A669" s="3"/>
      <c r="B669" s="4"/>
      <c r="C669" s="5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5">
      <c r="A670" s="3"/>
      <c r="B670" s="4"/>
      <c r="C670" s="5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5">
      <c r="A671" s="3"/>
      <c r="B671" s="4"/>
      <c r="C671" s="5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5">
      <c r="A672" s="3"/>
      <c r="B672" s="4"/>
      <c r="C672" s="5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5">
      <c r="A673" s="3"/>
      <c r="B673" s="4"/>
      <c r="C673" s="5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5">
      <c r="A674" s="3"/>
      <c r="B674" s="4"/>
      <c r="C674" s="5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5">
      <c r="A675" s="3"/>
      <c r="B675" s="4"/>
      <c r="C675" s="5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5">
      <c r="A676" s="3"/>
      <c r="B676" s="4"/>
      <c r="C676" s="5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5">
      <c r="A677" s="3"/>
      <c r="B677" s="4"/>
      <c r="C677" s="5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5">
      <c r="A678" s="3"/>
      <c r="B678" s="4"/>
      <c r="C678" s="5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5">
      <c r="A679" s="3"/>
      <c r="B679" s="4"/>
      <c r="C679" s="5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5">
      <c r="A680" s="3"/>
      <c r="B680" s="4"/>
      <c r="C680" s="5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5">
      <c r="A681" s="3"/>
      <c r="B681" s="4"/>
      <c r="C681" s="5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5">
      <c r="A682" s="3"/>
      <c r="B682" s="4"/>
      <c r="C682" s="5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5">
      <c r="A683" s="3"/>
      <c r="B683" s="4"/>
      <c r="C683" s="5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5">
      <c r="A684" s="3"/>
      <c r="B684" s="4"/>
      <c r="C684" s="5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5">
      <c r="A685" s="3"/>
      <c r="B685" s="4"/>
      <c r="C685" s="5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5">
      <c r="A686" s="3"/>
      <c r="B686" s="4"/>
      <c r="C686" s="5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5">
      <c r="A687" s="3"/>
      <c r="B687" s="4"/>
      <c r="C687" s="5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5">
      <c r="A688" s="3"/>
      <c r="B688" s="4"/>
      <c r="C688" s="5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5">
      <c r="A689" s="3"/>
      <c r="B689" s="4"/>
      <c r="C689" s="5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5">
      <c r="A690" s="3"/>
      <c r="B690" s="4"/>
      <c r="C690" s="5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5">
      <c r="A691" s="3"/>
      <c r="B691" s="4"/>
      <c r="C691" s="5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5">
      <c r="A692" s="3"/>
      <c r="B692" s="4"/>
      <c r="C692" s="5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5">
      <c r="A693" s="3"/>
      <c r="B693" s="4"/>
      <c r="C693" s="5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5">
      <c r="A694" s="3"/>
      <c r="B694" s="4"/>
      <c r="C694" s="5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5">
      <c r="A695" s="3"/>
      <c r="B695" s="4"/>
      <c r="C695" s="5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5">
      <c r="A696" s="3"/>
      <c r="B696" s="4"/>
      <c r="C696" s="5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5">
      <c r="A697" s="3"/>
      <c r="B697" s="4"/>
      <c r="C697" s="5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5">
      <c r="A698" s="3"/>
      <c r="B698" s="4"/>
      <c r="C698" s="5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5">
      <c r="A699" s="3"/>
      <c r="B699" s="4"/>
      <c r="C699" s="5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5">
      <c r="A700" s="3"/>
      <c r="B700" s="4"/>
      <c r="C700" s="5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5">
      <c r="A701" s="3"/>
      <c r="B701" s="4"/>
      <c r="C701" s="5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5">
      <c r="A702" s="3"/>
      <c r="B702" s="4"/>
      <c r="C702" s="5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5">
      <c r="A703" s="3"/>
      <c r="B703" s="4"/>
      <c r="C703" s="5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5">
      <c r="A704" s="3"/>
      <c r="B704" s="4"/>
      <c r="C704" s="5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5">
      <c r="A705" s="3"/>
      <c r="B705" s="4"/>
      <c r="C705" s="5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5">
      <c r="A706" s="3"/>
      <c r="B706" s="4"/>
      <c r="C706" s="5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5">
      <c r="A707" s="3"/>
      <c r="B707" s="4"/>
      <c r="C707" s="5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5">
      <c r="A708" s="3"/>
      <c r="B708" s="4"/>
      <c r="C708" s="5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5">
      <c r="A709" s="3"/>
      <c r="B709" s="4"/>
      <c r="C709" s="5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5">
      <c r="A710" s="3"/>
      <c r="B710" s="4"/>
      <c r="C710" s="5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5">
      <c r="A711" s="3"/>
      <c r="B711" s="4"/>
      <c r="C711" s="5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5">
      <c r="A712" s="3"/>
      <c r="B712" s="4"/>
      <c r="C712" s="5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5">
      <c r="A713" s="3"/>
      <c r="B713" s="4"/>
      <c r="C713" s="5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5">
      <c r="A714" s="3"/>
      <c r="B714" s="4"/>
      <c r="C714" s="5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5">
      <c r="A715" s="3"/>
      <c r="B715" s="4"/>
      <c r="C715" s="5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5">
      <c r="A716" s="3"/>
      <c r="B716" s="4"/>
      <c r="C716" s="5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5">
      <c r="A717" s="3"/>
      <c r="B717" s="4"/>
      <c r="C717" s="5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5">
      <c r="A718" s="3"/>
      <c r="B718" s="4"/>
      <c r="C718" s="5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5">
      <c r="A719" s="3"/>
      <c r="B719" s="4"/>
      <c r="C719" s="5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5">
      <c r="A720" s="3"/>
      <c r="B720" s="4"/>
      <c r="C720" s="5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5">
      <c r="A721" s="3"/>
      <c r="B721" s="4"/>
      <c r="C721" s="5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5">
      <c r="A722" s="3"/>
      <c r="B722" s="4"/>
      <c r="C722" s="5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5">
      <c r="A723" s="3"/>
      <c r="B723" s="4"/>
      <c r="C723" s="5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5">
      <c r="A724" s="3"/>
      <c r="B724" s="4"/>
      <c r="C724" s="5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5">
      <c r="A725" s="3"/>
      <c r="B725" s="4"/>
      <c r="C725" s="5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5">
      <c r="A726" s="3"/>
      <c r="B726" s="4"/>
      <c r="C726" s="5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5">
      <c r="A727" s="3"/>
      <c r="B727" s="4"/>
      <c r="C727" s="5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5">
      <c r="A728" s="3"/>
      <c r="B728" s="4"/>
      <c r="C728" s="5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5">
      <c r="A729" s="3"/>
      <c r="B729" s="4"/>
      <c r="C729" s="5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5">
      <c r="A730" s="3"/>
      <c r="B730" s="4"/>
      <c r="C730" s="5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5">
      <c r="A731" s="3"/>
      <c r="B731" s="4"/>
      <c r="C731" s="5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5">
      <c r="A732" s="3"/>
      <c r="B732" s="4"/>
      <c r="C732" s="5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5">
      <c r="A733" s="3"/>
      <c r="B733" s="4"/>
      <c r="C733" s="5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5">
      <c r="A734" s="3"/>
      <c r="B734" s="4"/>
      <c r="C734" s="5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5">
      <c r="A735" s="3"/>
      <c r="B735" s="4"/>
      <c r="C735" s="5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5">
      <c r="A736" s="3"/>
      <c r="B736" s="4"/>
      <c r="C736" s="5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5">
      <c r="A737" s="3"/>
      <c r="B737" s="4"/>
      <c r="C737" s="5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5">
      <c r="A738" s="3"/>
      <c r="B738" s="4"/>
      <c r="C738" s="5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5">
      <c r="A739" s="3"/>
      <c r="B739" s="4"/>
      <c r="C739" s="5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5">
      <c r="A740" s="3"/>
      <c r="B740" s="4"/>
      <c r="C740" s="5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5">
      <c r="A741" s="3"/>
      <c r="B741" s="4"/>
      <c r="C741" s="5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5">
      <c r="A742" s="3"/>
      <c r="B742" s="4"/>
      <c r="C742" s="5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5">
      <c r="A743" s="3"/>
      <c r="B743" s="4"/>
      <c r="C743" s="5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5">
      <c r="A744" s="3"/>
      <c r="B744" s="4"/>
      <c r="C744" s="5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5">
      <c r="A745" s="3"/>
      <c r="B745" s="4"/>
      <c r="C745" s="5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5">
      <c r="A746" s="3"/>
      <c r="B746" s="4"/>
      <c r="C746" s="5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5">
      <c r="A747" s="3"/>
      <c r="B747" s="4"/>
      <c r="C747" s="5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5">
      <c r="A748" s="3"/>
      <c r="B748" s="4"/>
      <c r="C748" s="5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5">
      <c r="A749" s="3"/>
      <c r="B749" s="4"/>
      <c r="C749" s="5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5">
      <c r="A750" s="3"/>
      <c r="B750" s="4"/>
      <c r="C750" s="5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5">
      <c r="A751" s="3"/>
      <c r="B751" s="4"/>
      <c r="C751" s="5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5">
      <c r="A752" s="3"/>
      <c r="B752" s="4"/>
      <c r="C752" s="5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5">
      <c r="A753" s="3"/>
      <c r="B753" s="4"/>
      <c r="C753" s="5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5">
      <c r="A754" s="3"/>
      <c r="B754" s="4"/>
      <c r="C754" s="5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5">
      <c r="A755" s="3"/>
      <c r="B755" s="4"/>
      <c r="C755" s="5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5">
      <c r="A756" s="3"/>
      <c r="B756" s="4"/>
      <c r="C756" s="5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5">
      <c r="A757" s="3"/>
      <c r="B757" s="4"/>
      <c r="C757" s="5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5">
      <c r="A758" s="3"/>
      <c r="B758" s="4"/>
      <c r="C758" s="5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5">
      <c r="A759" s="3"/>
      <c r="B759" s="4"/>
      <c r="C759" s="5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5">
      <c r="A760" s="3"/>
      <c r="B760" s="4"/>
      <c r="C760" s="5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5">
      <c r="A761" s="3"/>
      <c r="B761" s="4"/>
      <c r="C761" s="5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5">
      <c r="A762" s="3"/>
      <c r="B762" s="4"/>
      <c r="C762" s="5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5">
      <c r="A763" s="3"/>
      <c r="B763" s="4"/>
      <c r="C763" s="5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5">
      <c r="A764" s="3"/>
      <c r="B764" s="4"/>
      <c r="C764" s="5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5">
      <c r="A765" s="3"/>
      <c r="B765" s="4"/>
      <c r="C765" s="5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5">
      <c r="A766" s="3"/>
      <c r="B766" s="4"/>
      <c r="C766" s="5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5">
      <c r="A767" s="3"/>
      <c r="B767" s="4"/>
      <c r="C767" s="5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5">
      <c r="A768" s="3"/>
      <c r="B768" s="4"/>
      <c r="C768" s="5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5">
      <c r="A769" s="3"/>
      <c r="B769" s="4"/>
      <c r="C769" s="5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5">
      <c r="A770" s="3"/>
      <c r="B770" s="4"/>
      <c r="C770" s="5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5">
      <c r="A771" s="3"/>
      <c r="B771" s="4"/>
      <c r="C771" s="5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5">
      <c r="A772" s="3"/>
      <c r="B772" s="4"/>
      <c r="C772" s="5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5">
      <c r="A773" s="3"/>
      <c r="B773" s="4"/>
      <c r="C773" s="5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5">
      <c r="A774" s="3"/>
      <c r="B774" s="4"/>
      <c r="C774" s="5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5">
      <c r="A775" s="3"/>
      <c r="B775" s="4"/>
      <c r="C775" s="5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5">
      <c r="A776" s="3"/>
      <c r="B776" s="4"/>
      <c r="C776" s="5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5">
      <c r="A777" s="3"/>
      <c r="B777" s="4"/>
      <c r="C777" s="5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5">
      <c r="A778" s="3"/>
      <c r="B778" s="4"/>
      <c r="C778" s="5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5">
      <c r="A779" s="3"/>
      <c r="B779" s="4"/>
      <c r="C779" s="5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5">
      <c r="A780" s="3"/>
      <c r="B780" s="4"/>
      <c r="C780" s="5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5">
      <c r="A781" s="3"/>
      <c r="B781" s="4"/>
      <c r="C781" s="5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5">
      <c r="A782" s="3"/>
      <c r="B782" s="4"/>
      <c r="C782" s="5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5">
      <c r="A783" s="3"/>
      <c r="B783" s="4"/>
      <c r="C783" s="5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5">
      <c r="A784" s="3"/>
      <c r="B784" s="4"/>
      <c r="C784" s="5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5">
      <c r="A785" s="3"/>
      <c r="B785" s="4"/>
      <c r="C785" s="5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5">
      <c r="A786" s="3"/>
      <c r="B786" s="4"/>
      <c r="C786" s="5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5">
      <c r="A787" s="3"/>
      <c r="B787" s="4"/>
      <c r="C787" s="5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5">
      <c r="A788" s="3"/>
      <c r="B788" s="4"/>
      <c r="C788" s="5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5">
      <c r="A789" s="3"/>
      <c r="B789" s="4"/>
      <c r="C789" s="5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5">
      <c r="A790" s="3"/>
      <c r="B790" s="4"/>
      <c r="C790" s="5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5">
      <c r="A791" s="3"/>
      <c r="B791" s="4"/>
      <c r="C791" s="5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5">
      <c r="A792" s="3"/>
      <c r="B792" s="4"/>
      <c r="C792" s="5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5">
      <c r="A793" s="3"/>
      <c r="B793" s="4"/>
      <c r="C793" s="5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5">
      <c r="A794" s="3"/>
      <c r="B794" s="4"/>
      <c r="C794" s="5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5">
      <c r="A795" s="3"/>
      <c r="B795" s="4"/>
      <c r="C795" s="5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5">
      <c r="A796" s="3"/>
      <c r="B796" s="4"/>
      <c r="C796" s="5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5">
      <c r="A797" s="3"/>
      <c r="B797" s="4"/>
      <c r="C797" s="5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5">
      <c r="A798" s="3"/>
      <c r="B798" s="4"/>
      <c r="C798" s="5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5">
      <c r="A799" s="3"/>
      <c r="B799" s="4"/>
      <c r="C799" s="5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5">
      <c r="A800" s="3"/>
      <c r="B800" s="4"/>
      <c r="C800" s="5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5">
      <c r="A801" s="3"/>
      <c r="B801" s="4"/>
      <c r="C801" s="5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5">
      <c r="A802" s="3"/>
      <c r="B802" s="4"/>
      <c r="C802" s="5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5">
      <c r="A803" s="3"/>
      <c r="B803" s="4"/>
      <c r="C803" s="5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5">
      <c r="A804" s="3"/>
      <c r="B804" s="4"/>
      <c r="C804" s="5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5">
      <c r="A805" s="3"/>
      <c r="B805" s="4"/>
      <c r="C805" s="5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5">
      <c r="A806" s="3"/>
      <c r="B806" s="4"/>
      <c r="C806" s="5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5">
      <c r="A807" s="3"/>
      <c r="B807" s="4"/>
      <c r="C807" s="5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5">
      <c r="A808" s="3"/>
      <c r="B808" s="4"/>
      <c r="C808" s="5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5">
      <c r="A809" s="3"/>
      <c r="B809" s="4"/>
      <c r="C809" s="5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5">
      <c r="A810" s="3"/>
      <c r="B810" s="4"/>
      <c r="C810" s="5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5">
      <c r="A811" s="3"/>
      <c r="B811" s="4"/>
      <c r="C811" s="5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5">
      <c r="A812" s="3"/>
      <c r="B812" s="4"/>
      <c r="C812" s="5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5">
      <c r="A813" s="3"/>
      <c r="B813" s="4"/>
      <c r="C813" s="5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5">
      <c r="A814" s="3"/>
      <c r="B814" s="4"/>
      <c r="C814" s="5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5">
      <c r="A815" s="3"/>
      <c r="B815" s="4"/>
      <c r="C815" s="5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5">
      <c r="A816" s="3"/>
      <c r="B816" s="4"/>
      <c r="C816" s="5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5">
      <c r="A817" s="3"/>
      <c r="B817" s="4"/>
      <c r="C817" s="5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5">
      <c r="A818" s="3"/>
      <c r="B818" s="4"/>
      <c r="C818" s="5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5">
      <c r="A819" s="3"/>
      <c r="B819" s="4"/>
      <c r="C819" s="5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5">
      <c r="A820" s="3"/>
      <c r="B820" s="4"/>
      <c r="C820" s="5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5">
      <c r="A821" s="3"/>
      <c r="B821" s="4"/>
      <c r="C821" s="5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5">
      <c r="A822" s="3"/>
      <c r="B822" s="4"/>
      <c r="C822" s="5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5">
      <c r="A823" s="3"/>
      <c r="B823" s="4"/>
      <c r="C823" s="5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5">
      <c r="A824" s="3"/>
      <c r="B824" s="4"/>
      <c r="C824" s="5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5">
      <c r="A825" s="3"/>
      <c r="B825" s="4"/>
      <c r="C825" s="5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5">
      <c r="A826" s="3"/>
      <c r="B826" s="4"/>
      <c r="C826" s="5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5">
      <c r="A827" s="3"/>
      <c r="B827" s="4"/>
      <c r="C827" s="5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5">
      <c r="A828" s="3"/>
      <c r="B828" s="4"/>
      <c r="C828" s="5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5">
      <c r="A829" s="3"/>
      <c r="B829" s="4"/>
      <c r="C829" s="5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5">
      <c r="A830" s="3"/>
      <c r="B830" s="4"/>
      <c r="C830" s="5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5">
      <c r="A831" s="3"/>
      <c r="B831" s="4"/>
      <c r="C831" s="5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5">
      <c r="A832" s="3"/>
      <c r="B832" s="4"/>
      <c r="C832" s="5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5">
      <c r="A833" s="3"/>
      <c r="B833" s="4"/>
      <c r="C833" s="5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5">
      <c r="A834" s="3"/>
      <c r="B834" s="4"/>
      <c r="C834" s="5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5">
      <c r="A835" s="3"/>
      <c r="B835" s="4"/>
      <c r="C835" s="5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5">
      <c r="A836" s="3"/>
      <c r="B836" s="4"/>
      <c r="C836" s="5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5">
      <c r="A837" s="3"/>
      <c r="B837" s="4"/>
      <c r="C837" s="5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5">
      <c r="A838" s="3"/>
      <c r="B838" s="4"/>
      <c r="C838" s="5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5">
      <c r="A839" s="3"/>
      <c r="B839" s="4"/>
      <c r="C839" s="5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5">
      <c r="A840" s="3"/>
      <c r="B840" s="4"/>
      <c r="C840" s="5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5">
      <c r="A841" s="3"/>
      <c r="B841" s="4"/>
      <c r="C841" s="5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5">
      <c r="A842" s="3"/>
      <c r="B842" s="4"/>
      <c r="C842" s="5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5">
      <c r="A843" s="3"/>
      <c r="B843" s="4"/>
      <c r="C843" s="5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5">
      <c r="A844" s="3"/>
      <c r="B844" s="4"/>
      <c r="C844" s="5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5">
      <c r="A845" s="3"/>
      <c r="B845" s="4"/>
      <c r="C845" s="5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5">
      <c r="A846" s="3"/>
      <c r="B846" s="4"/>
      <c r="C846" s="5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5">
      <c r="A847" s="3"/>
      <c r="B847" s="4"/>
      <c r="C847" s="5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5">
      <c r="A848" s="3"/>
      <c r="B848" s="4"/>
      <c r="C848" s="5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5">
      <c r="A849" s="3"/>
      <c r="B849" s="4"/>
      <c r="C849" s="5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5">
      <c r="A850" s="3"/>
      <c r="B850" s="4"/>
      <c r="C850" s="5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5">
      <c r="A851" s="3"/>
      <c r="B851" s="4"/>
      <c r="C851" s="5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5">
      <c r="A852" s="3"/>
      <c r="B852" s="4"/>
      <c r="C852" s="5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5">
      <c r="A853" s="3"/>
      <c r="B853" s="4"/>
      <c r="C853" s="5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5">
      <c r="A854" s="3"/>
      <c r="B854" s="4"/>
      <c r="C854" s="5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5">
      <c r="A855" s="3"/>
      <c r="B855" s="4"/>
      <c r="C855" s="5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5">
      <c r="A856" s="3"/>
      <c r="B856" s="4"/>
      <c r="C856" s="5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5">
      <c r="A857" s="3"/>
      <c r="B857" s="4"/>
      <c r="C857" s="5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5">
      <c r="A858" s="3"/>
      <c r="B858" s="4"/>
      <c r="C858" s="5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5">
      <c r="A859" s="3"/>
      <c r="B859" s="4"/>
      <c r="C859" s="5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5">
      <c r="A860" s="3"/>
      <c r="B860" s="4"/>
      <c r="C860" s="5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5">
      <c r="A861" s="3"/>
      <c r="B861" s="4"/>
      <c r="C861" s="5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5">
      <c r="A862" s="3"/>
      <c r="B862" s="4"/>
      <c r="C862" s="5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5">
      <c r="A863" s="3"/>
      <c r="B863" s="4"/>
      <c r="C863" s="5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5">
      <c r="A864" s="3"/>
      <c r="B864" s="4"/>
      <c r="C864" s="5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5">
      <c r="A865" s="3"/>
      <c r="B865" s="4"/>
      <c r="C865" s="5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5">
      <c r="A866" s="3"/>
      <c r="B866" s="4"/>
      <c r="C866" s="5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5">
      <c r="A867" s="3"/>
      <c r="B867" s="4"/>
      <c r="C867" s="5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5">
      <c r="A868" s="3"/>
      <c r="B868" s="4"/>
      <c r="C868" s="5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5">
      <c r="A869" s="3"/>
      <c r="B869" s="4"/>
      <c r="C869" s="5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5">
      <c r="A870" s="3"/>
      <c r="B870" s="4"/>
      <c r="C870" s="5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5">
      <c r="A871" s="3"/>
      <c r="B871" s="4"/>
      <c r="C871" s="5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5">
      <c r="A872" s="3"/>
      <c r="B872" s="4"/>
      <c r="C872" s="5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5">
      <c r="A873" s="3"/>
      <c r="B873" s="4"/>
      <c r="C873" s="5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5">
      <c r="A874" s="3"/>
      <c r="B874" s="4"/>
      <c r="C874" s="5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5">
      <c r="A875" s="3"/>
      <c r="B875" s="4"/>
      <c r="C875" s="5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5">
      <c r="A876" s="3"/>
      <c r="B876" s="4"/>
      <c r="C876" s="5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5">
      <c r="A877" s="3"/>
      <c r="B877" s="4"/>
      <c r="C877" s="5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5">
      <c r="A878" s="3"/>
      <c r="B878" s="4"/>
      <c r="C878" s="5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5">
      <c r="A879" s="3"/>
      <c r="B879" s="4"/>
      <c r="C879" s="5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5">
      <c r="A880" s="3"/>
      <c r="B880" s="4"/>
      <c r="C880" s="5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5">
      <c r="A881" s="3"/>
      <c r="B881" s="4"/>
      <c r="C881" s="5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5">
      <c r="A882" s="3"/>
      <c r="B882" s="4"/>
      <c r="C882" s="5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5">
      <c r="A883" s="3"/>
      <c r="B883" s="4"/>
      <c r="C883" s="5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5">
      <c r="A884" s="3"/>
      <c r="B884" s="4"/>
      <c r="C884" s="5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5">
      <c r="A885" s="3"/>
      <c r="B885" s="4"/>
      <c r="C885" s="5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5">
      <c r="A886" s="3"/>
      <c r="B886" s="4"/>
      <c r="C886" s="5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5">
      <c r="A887" s="3"/>
      <c r="B887" s="4"/>
      <c r="C887" s="5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5">
      <c r="A888" s="3"/>
      <c r="B888" s="4"/>
      <c r="C888" s="5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5">
      <c r="A889" s="3"/>
      <c r="B889" s="4"/>
      <c r="C889" s="5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5">
      <c r="A890" s="3"/>
      <c r="B890" s="4"/>
      <c r="C890" s="5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5">
      <c r="A891" s="3"/>
      <c r="B891" s="4"/>
      <c r="C891" s="5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5">
      <c r="A892" s="3"/>
      <c r="B892" s="4"/>
      <c r="C892" s="5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5">
      <c r="A893" s="3"/>
      <c r="B893" s="4"/>
      <c r="C893" s="5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5">
      <c r="A894" s="3"/>
      <c r="B894" s="4"/>
      <c r="C894" s="5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5">
      <c r="A895" s="3"/>
      <c r="B895" s="4"/>
      <c r="C895" s="5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5">
      <c r="A896" s="3"/>
      <c r="B896" s="4"/>
      <c r="C896" s="5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5">
      <c r="A897" s="3"/>
      <c r="B897" s="4"/>
      <c r="C897" s="5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5">
      <c r="A898" s="3"/>
      <c r="B898" s="4"/>
      <c r="C898" s="5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5">
      <c r="A899" s="3"/>
      <c r="B899" s="4"/>
      <c r="C899" s="5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5">
      <c r="A900" s="3"/>
      <c r="B900" s="4"/>
      <c r="C900" s="5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5">
      <c r="A901" s="3"/>
      <c r="B901" s="4"/>
      <c r="C901" s="5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5">
      <c r="A902" s="3"/>
      <c r="B902" s="4"/>
      <c r="C902" s="5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5">
      <c r="A903" s="3"/>
      <c r="B903" s="4"/>
      <c r="C903" s="5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5">
      <c r="A904" s="3"/>
      <c r="B904" s="4"/>
      <c r="C904" s="5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5">
      <c r="A905" s="3"/>
      <c r="B905" s="4"/>
      <c r="C905" s="5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5">
      <c r="A906" s="3"/>
      <c r="B906" s="4"/>
      <c r="C906" s="5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5">
      <c r="A907" s="3"/>
      <c r="B907" s="4"/>
      <c r="C907" s="5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5">
      <c r="A908" s="3"/>
      <c r="B908" s="4"/>
      <c r="C908" s="5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5">
      <c r="A909" s="3"/>
      <c r="B909" s="4"/>
      <c r="C909" s="5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5">
      <c r="A910" s="3"/>
      <c r="B910" s="4"/>
      <c r="C910" s="5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5">
      <c r="A911" s="3"/>
      <c r="B911" s="4"/>
      <c r="C911" s="5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5">
      <c r="A912" s="3"/>
      <c r="B912" s="4"/>
      <c r="C912" s="5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5">
      <c r="A913" s="3"/>
      <c r="B913" s="4"/>
      <c r="C913" s="5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5">
      <c r="A914" s="3"/>
      <c r="B914" s="4"/>
      <c r="C914" s="5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5">
      <c r="A915" s="3"/>
      <c r="B915" s="4"/>
      <c r="C915" s="5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5">
      <c r="A916" s="3"/>
      <c r="B916" s="4"/>
      <c r="C916" s="5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5">
      <c r="A917" s="3"/>
      <c r="B917" s="4"/>
      <c r="C917" s="5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5">
      <c r="A918" s="3"/>
      <c r="B918" s="4"/>
      <c r="C918" s="5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5">
      <c r="A919" s="3"/>
      <c r="B919" s="4"/>
      <c r="C919" s="5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5">
      <c r="A920" s="3"/>
      <c r="B920" s="4"/>
      <c r="C920" s="5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5">
      <c r="A921" s="3"/>
      <c r="B921" s="4"/>
      <c r="C921" s="5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5">
      <c r="A922" s="3"/>
      <c r="B922" s="4"/>
      <c r="C922" s="5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5">
      <c r="A923" s="3"/>
      <c r="B923" s="4"/>
      <c r="C923" s="5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5">
      <c r="A924" s="3"/>
      <c r="B924" s="4"/>
      <c r="C924" s="5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5">
      <c r="A925" s="3"/>
      <c r="B925" s="4"/>
      <c r="C925" s="5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5">
      <c r="A926" s="3"/>
      <c r="B926" s="4"/>
      <c r="C926" s="5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5">
      <c r="A927" s="3"/>
      <c r="B927" s="4"/>
      <c r="C927" s="5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5">
      <c r="A928" s="3"/>
      <c r="B928" s="4"/>
      <c r="C928" s="5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5">
      <c r="A929" s="3"/>
      <c r="B929" s="4"/>
      <c r="C929" s="5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5">
      <c r="A930" s="3"/>
      <c r="B930" s="4"/>
      <c r="C930" s="5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5">
      <c r="A931" s="3"/>
      <c r="B931" s="4"/>
      <c r="C931" s="5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5">
      <c r="A932" s="3"/>
      <c r="B932" s="4"/>
      <c r="C932" s="5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5">
      <c r="A933" s="3"/>
      <c r="B933" s="4"/>
      <c r="C933" s="5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5">
      <c r="A934" s="3"/>
      <c r="B934" s="4"/>
      <c r="C934" s="5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5">
      <c r="A935" s="3"/>
      <c r="B935" s="4"/>
      <c r="C935" s="5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5">
      <c r="A936" s="3"/>
      <c r="B936" s="4"/>
      <c r="C936" s="5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5">
      <c r="A937" s="3"/>
      <c r="B937" s="4"/>
      <c r="C937" s="5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5">
      <c r="A938" s="3"/>
      <c r="B938" s="4"/>
      <c r="C938" s="5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5">
      <c r="A939" s="3"/>
      <c r="B939" s="4"/>
      <c r="C939" s="5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5">
      <c r="A940" s="3"/>
      <c r="B940" s="4"/>
      <c r="C940" s="5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5">
      <c r="A941" s="3"/>
      <c r="B941" s="4"/>
      <c r="C941" s="5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5">
      <c r="A942" s="3"/>
      <c r="B942" s="4"/>
      <c r="C942" s="5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5">
      <c r="A943" s="3"/>
      <c r="B943" s="4"/>
      <c r="C943" s="5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5">
      <c r="A944" s="3"/>
      <c r="B944" s="4"/>
      <c r="C944" s="5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5">
      <c r="A945" s="3"/>
      <c r="B945" s="4"/>
      <c r="C945" s="5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5">
      <c r="A946" s="3"/>
      <c r="B946" s="4"/>
      <c r="C946" s="5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5">
      <c r="A947" s="3"/>
      <c r="B947" s="4"/>
      <c r="C947" s="5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5">
      <c r="A948" s="3"/>
      <c r="B948" s="4"/>
      <c r="C948" s="5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5">
      <c r="A949" s="3"/>
      <c r="B949" s="4"/>
      <c r="C949" s="5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5">
      <c r="A950" s="3"/>
      <c r="B950" s="4"/>
      <c r="C950" s="5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5">
      <c r="A951" s="3"/>
      <c r="B951" s="4"/>
      <c r="C951" s="5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5">
      <c r="A952" s="3"/>
      <c r="B952" s="4"/>
      <c r="C952" s="5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5">
      <c r="A953" s="3"/>
      <c r="B953" s="4"/>
      <c r="C953" s="5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5">
      <c r="A954" s="3"/>
      <c r="B954" s="4"/>
      <c r="C954" s="5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5">
      <c r="A955" s="3"/>
      <c r="B955" s="4"/>
      <c r="C955" s="5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5">
      <c r="A956" s="3"/>
      <c r="B956" s="4"/>
      <c r="C956" s="5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5">
      <c r="A957" s="3"/>
      <c r="B957" s="4"/>
      <c r="C957" s="5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5">
      <c r="A958" s="3"/>
      <c r="B958" s="4"/>
      <c r="C958" s="5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5">
      <c r="A959" s="3"/>
      <c r="B959" s="4"/>
      <c r="C959" s="5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5">
      <c r="A960" s="3"/>
      <c r="B960" s="4"/>
      <c r="C960" s="5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5">
      <c r="A961" s="3"/>
      <c r="B961" s="4"/>
      <c r="C961" s="5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5">
      <c r="A962" s="3"/>
      <c r="B962" s="4"/>
      <c r="C962" s="5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5">
      <c r="A963" s="3"/>
      <c r="B963" s="4"/>
      <c r="C963" s="5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5">
      <c r="A964" s="3"/>
      <c r="B964" s="4"/>
      <c r="C964" s="5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5">
      <c r="A965" s="3"/>
      <c r="B965" s="4"/>
      <c r="C965" s="5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5">
      <c r="A966" s="3"/>
      <c r="B966" s="4"/>
      <c r="C966" s="5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5">
      <c r="A967" s="3"/>
      <c r="B967" s="4"/>
      <c r="C967" s="5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5">
      <c r="A968" s="3"/>
      <c r="B968" s="4"/>
      <c r="C968" s="5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5">
      <c r="A969" s="3"/>
      <c r="B969" s="4"/>
      <c r="C969" s="5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5">
      <c r="A970" s="3"/>
      <c r="B970" s="4"/>
      <c r="C970" s="5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5">
      <c r="A971" s="3"/>
      <c r="B971" s="4"/>
      <c r="C971" s="5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5">
      <c r="A972" s="3"/>
      <c r="B972" s="4"/>
      <c r="C972" s="5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5">
      <c r="A973" s="3"/>
      <c r="B973" s="4"/>
      <c r="C973" s="5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5">
      <c r="A974" s="3"/>
      <c r="B974" s="4"/>
      <c r="C974" s="5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5">
      <c r="A975" s="3"/>
      <c r="B975" s="4"/>
      <c r="C975" s="5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5">
      <c r="A976" s="3"/>
      <c r="B976" s="4"/>
      <c r="C976" s="5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5">
      <c r="A977" s="3"/>
      <c r="B977" s="4"/>
      <c r="C977" s="5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5">
      <c r="A978" s="3"/>
      <c r="B978" s="4"/>
      <c r="C978" s="5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5">
      <c r="A979" s="3"/>
      <c r="B979" s="4"/>
      <c r="C979" s="5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5">
      <c r="A980" s="3"/>
      <c r="B980" s="4"/>
      <c r="C980" s="5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5">
      <c r="A981" s="3"/>
      <c r="B981" s="4"/>
      <c r="C981" s="5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5">
      <c r="A982" s="3"/>
      <c r="B982" s="4"/>
      <c r="C982" s="5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5">
      <c r="A983" s="3"/>
      <c r="B983" s="4"/>
      <c r="C983" s="5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5">
      <c r="A984" s="3"/>
      <c r="B984" s="4"/>
      <c r="C984" s="5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5">
      <c r="A985" s="3"/>
      <c r="B985" s="4"/>
      <c r="C985" s="5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5">
      <c r="A986" s="3"/>
      <c r="B986" s="4"/>
      <c r="C986" s="5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5">
      <c r="A987" s="3"/>
      <c r="B987" s="4"/>
      <c r="C987" s="5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5">
      <c r="A988" s="3"/>
      <c r="B988" s="4"/>
      <c r="C988" s="5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5">
      <c r="A989" s="3"/>
      <c r="B989" s="4"/>
      <c r="C989" s="5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5">
      <c r="A990" s="3"/>
      <c r="B990" s="4"/>
      <c r="C990" s="5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5">
      <c r="A991" s="3"/>
      <c r="B991" s="4"/>
      <c r="C991" s="5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5">
      <c r="A992" s="3"/>
      <c r="B992" s="4"/>
      <c r="C992" s="5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5">
      <c r="A993" s="3"/>
      <c r="B993" s="4"/>
      <c r="C993" s="5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5">
      <c r="A994" s="3"/>
      <c r="B994" s="4"/>
      <c r="C994" s="5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5">
      <c r="A995" s="3"/>
      <c r="B995" s="4"/>
      <c r="C995" s="5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5">
      <c r="A996" s="3"/>
      <c r="B996" s="4"/>
      <c r="C996" s="5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5">
      <c r="A997" s="3"/>
      <c r="B997" s="4"/>
      <c r="C997" s="5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5">
      <c r="A998" s="3"/>
      <c r="B998" s="4"/>
      <c r="C998" s="5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5">
      <c r="A999" s="3"/>
      <c r="B999" s="4"/>
      <c r="C999" s="5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5">
      <c r="A1000" s="3"/>
      <c r="B1000" s="4"/>
      <c r="C1000" s="5"/>
      <c r="D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customHeight="1" x14ac:dyDescent="0.25">
      <c r="A1001" s="3"/>
      <c r="B1001" s="4"/>
      <c r="C1001" s="5"/>
      <c r="D1001" s="4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customHeight="1" x14ac:dyDescent="0.25">
      <c r="A1002" s="3"/>
      <c r="B1002" s="4"/>
      <c r="C1002" s="5"/>
      <c r="D1002" s="4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2.75" customHeight="1" x14ac:dyDescent="0.25">
      <c r="A1003" s="3"/>
      <c r="B1003" s="4"/>
      <c r="C1003" s="5"/>
      <c r="D1003" s="4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2.75" customHeight="1" x14ac:dyDescent="0.25">
      <c r="A1004" s="3"/>
      <c r="B1004" s="4"/>
      <c r="C1004" s="5"/>
      <c r="D1004" s="4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2.75" customHeight="1" x14ac:dyDescent="0.25">
      <c r="A1005" s="3"/>
      <c r="B1005" s="4"/>
      <c r="C1005" s="5"/>
      <c r="D1005" s="4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" footer="0"/>
  <pageSetup paperSize="9" orientation="landscape"/>
  <headerFooter>
    <oddFooter>&amp;L 02ae-BM/PM/HDCV/FSOFT v2/1&amp;CInternal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/>
  </sheetViews>
  <sheetFormatPr defaultColWidth="12.6328125" defaultRowHeight="15" customHeight="1" x14ac:dyDescent="0.2"/>
  <cols>
    <col min="1" max="1" width="1.36328125" customWidth="1"/>
    <col min="2" max="2" width="11.7265625" customWidth="1"/>
    <col min="3" max="3" width="29.453125" customWidth="1"/>
    <col min="4" max="4" width="17.08984375" customWidth="1"/>
    <col min="5" max="5" width="39.453125" customWidth="1"/>
    <col min="6" max="6" width="24.36328125" customWidth="1"/>
    <col min="7" max="26" width="9" customWidth="1"/>
  </cols>
  <sheetData>
    <row r="1" spans="1:26" ht="12.75" customHeight="1" x14ac:dyDescent="0.25">
      <c r="A1" s="2"/>
      <c r="B1" s="115" t="s">
        <v>1</v>
      </c>
      <c r="C1" s="116"/>
      <c r="D1" s="116"/>
      <c r="E1" s="116"/>
      <c r="F1" s="11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25">
      <c r="A2" s="2"/>
      <c r="B2" s="8"/>
      <c r="C2" s="10"/>
      <c r="D2" s="11"/>
      <c r="E2" s="11"/>
      <c r="F2" s="1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2"/>
      <c r="B3" s="118" t="s">
        <v>6</v>
      </c>
      <c r="C3" s="119"/>
      <c r="D3" s="120" t="str">
        <f>Cover!B4</f>
        <v>Clawbot</v>
      </c>
      <c r="E3" s="112"/>
      <c r="F3" s="11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5">
      <c r="A4" s="2"/>
      <c r="B4" s="118" t="s">
        <v>11</v>
      </c>
      <c r="C4" s="119"/>
      <c r="D4" s="120" t="str">
        <f>Cover!B5</f>
        <v>CLAWBOT</v>
      </c>
      <c r="E4" s="112"/>
      <c r="F4" s="11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3" customHeight="1" x14ac:dyDescent="0.25">
      <c r="A5" s="2"/>
      <c r="B5" s="121" t="s">
        <v>17</v>
      </c>
      <c r="C5" s="113"/>
      <c r="D5" s="122" t="s">
        <v>412</v>
      </c>
      <c r="E5" s="112"/>
      <c r="F5" s="11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2"/>
      <c r="B6" s="3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40"/>
      <c r="B7" s="41"/>
      <c r="C7" s="42"/>
      <c r="D7" s="42"/>
      <c r="E7" s="42"/>
      <c r="F7" s="42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21" customHeight="1" x14ac:dyDescent="0.25">
      <c r="A8" s="45"/>
      <c r="B8" s="46" t="s">
        <v>27</v>
      </c>
      <c r="C8" s="48" t="s">
        <v>28</v>
      </c>
      <c r="D8" s="48" t="s">
        <v>30</v>
      </c>
      <c r="E8" s="52" t="s">
        <v>31</v>
      </c>
      <c r="F8" s="53" t="s">
        <v>34</v>
      </c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2.75" customHeight="1" x14ac:dyDescent="0.25">
      <c r="A9" s="63"/>
      <c r="B9" s="65">
        <v>1</v>
      </c>
      <c r="C9" s="66" t="s">
        <v>3</v>
      </c>
      <c r="D9" s="68" t="s">
        <v>3</v>
      </c>
      <c r="E9" s="70" t="s">
        <v>71</v>
      </c>
      <c r="F9" s="66" t="s">
        <v>413</v>
      </c>
      <c r="G9" s="7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5">
      <c r="A10" s="63"/>
      <c r="B10" s="65">
        <v>2</v>
      </c>
      <c r="C10" s="66" t="s">
        <v>65</v>
      </c>
      <c r="D10" s="68" t="s">
        <v>65</v>
      </c>
      <c r="E10" s="70" t="s">
        <v>124</v>
      </c>
      <c r="F10" s="66" t="s">
        <v>414</v>
      </c>
      <c r="G10" s="7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5">
      <c r="A11" s="63"/>
      <c r="B11" s="65">
        <v>3</v>
      </c>
      <c r="C11" s="66" t="s">
        <v>67</v>
      </c>
      <c r="D11" s="68" t="s">
        <v>67</v>
      </c>
      <c r="E11" s="70" t="s">
        <v>227</v>
      </c>
      <c r="F11" s="66" t="s">
        <v>415</v>
      </c>
      <c r="G11" s="7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5">
      <c r="A12" s="63"/>
      <c r="B12" s="65">
        <v>4</v>
      </c>
      <c r="C12" s="66" t="s">
        <v>270</v>
      </c>
      <c r="D12" s="68" t="s">
        <v>270</v>
      </c>
      <c r="E12" s="70" t="s">
        <v>271</v>
      </c>
      <c r="F12" s="66" t="s">
        <v>416</v>
      </c>
      <c r="G12" s="7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5">
      <c r="A13" s="63"/>
      <c r="B13" s="65">
        <v>5</v>
      </c>
      <c r="C13" s="66" t="s">
        <v>318</v>
      </c>
      <c r="D13" s="68" t="s">
        <v>318</v>
      </c>
      <c r="E13" s="70" t="s">
        <v>319</v>
      </c>
      <c r="F13" s="66" t="s">
        <v>417</v>
      </c>
      <c r="G13" s="7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5">
      <c r="A14" s="63"/>
      <c r="B14" s="65">
        <v>6</v>
      </c>
      <c r="C14" s="66" t="s">
        <v>362</v>
      </c>
      <c r="D14" s="68" t="s">
        <v>362</v>
      </c>
      <c r="E14" s="70" t="s">
        <v>363</v>
      </c>
      <c r="F14" s="66" t="s">
        <v>418</v>
      </c>
      <c r="G14" s="7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2"/>
      <c r="B15" s="109"/>
      <c r="C15" s="110"/>
      <c r="D15" s="110"/>
      <c r="E15" s="110"/>
      <c r="F15" s="11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5">
      <c r="A16" s="2"/>
      <c r="B16" s="8"/>
      <c r="C16" s="10"/>
      <c r="D16" s="10"/>
      <c r="E16" s="10"/>
      <c r="F16" s="10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5">
      <c r="A17" s="2"/>
      <c r="B17" s="8"/>
      <c r="C17" s="10"/>
      <c r="D17" s="10"/>
      <c r="E17" s="10"/>
      <c r="F17" s="10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2"/>
      <c r="B18" s="8"/>
      <c r="C18" s="10"/>
      <c r="D18" s="10"/>
      <c r="E18" s="10"/>
      <c r="F18" s="1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2"/>
      <c r="B19" s="8"/>
      <c r="C19" s="10"/>
      <c r="D19" s="10"/>
      <c r="E19" s="10"/>
      <c r="F19" s="1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2"/>
      <c r="B20" s="8"/>
      <c r="C20" s="10"/>
      <c r="D20" s="10"/>
      <c r="E20" s="10"/>
      <c r="F20" s="1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2"/>
      <c r="B21" s="8"/>
      <c r="C21" s="10"/>
      <c r="D21" s="10"/>
      <c r="E21" s="10"/>
      <c r="F21" s="1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2"/>
      <c r="B22" s="8"/>
      <c r="C22" s="10"/>
      <c r="D22" s="10"/>
      <c r="E22" s="10"/>
      <c r="F22" s="1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2"/>
      <c r="B23" s="8"/>
      <c r="C23" s="10"/>
      <c r="D23" s="10"/>
      <c r="E23" s="10"/>
      <c r="F23" s="1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2"/>
      <c r="B24" s="8"/>
      <c r="C24" s="10"/>
      <c r="D24" s="10"/>
      <c r="E24" s="10"/>
      <c r="F24" s="10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2"/>
      <c r="B25" s="8"/>
      <c r="C25" s="10"/>
      <c r="D25" s="10"/>
      <c r="E25" s="10"/>
      <c r="F25" s="1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2"/>
      <c r="B26" s="8"/>
      <c r="C26" s="10"/>
      <c r="D26" s="10"/>
      <c r="E26" s="10"/>
      <c r="F26" s="1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2"/>
      <c r="B27" s="8"/>
      <c r="C27" s="10"/>
      <c r="D27" s="10"/>
      <c r="E27" s="10"/>
      <c r="F27" s="1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2"/>
      <c r="B28" s="8"/>
      <c r="C28" s="10"/>
      <c r="D28" s="10"/>
      <c r="E28" s="10"/>
      <c r="F28" s="1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2"/>
      <c r="B29" s="8"/>
      <c r="C29" s="10"/>
      <c r="D29" s="10"/>
      <c r="E29" s="10"/>
      <c r="F29" s="1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2"/>
      <c r="B30" s="8"/>
      <c r="C30" s="10"/>
      <c r="D30" s="10"/>
      <c r="E30" s="10"/>
      <c r="F30" s="1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2"/>
      <c r="B31" s="8"/>
      <c r="C31" s="10"/>
      <c r="D31" s="10"/>
      <c r="E31" s="10"/>
      <c r="F31" s="1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2"/>
      <c r="B32" s="8"/>
      <c r="C32" s="10"/>
      <c r="D32" s="10"/>
      <c r="E32" s="10"/>
      <c r="F32" s="1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2"/>
      <c r="B33" s="8"/>
      <c r="C33" s="10"/>
      <c r="D33" s="10"/>
      <c r="E33" s="10"/>
      <c r="F33" s="1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2"/>
      <c r="B34" s="8"/>
      <c r="C34" s="10"/>
      <c r="D34" s="10"/>
      <c r="E34" s="10"/>
      <c r="F34" s="1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2"/>
      <c r="B35" s="8"/>
      <c r="C35" s="10"/>
      <c r="D35" s="10"/>
      <c r="E35" s="10"/>
      <c r="F35" s="1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2"/>
      <c r="B36" s="8"/>
      <c r="C36" s="10"/>
      <c r="D36" s="10"/>
      <c r="E36" s="10"/>
      <c r="F36" s="1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2"/>
      <c r="B37" s="8"/>
      <c r="C37" s="10"/>
      <c r="D37" s="10"/>
      <c r="E37" s="10"/>
      <c r="F37" s="1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2"/>
      <c r="B38" s="8"/>
      <c r="C38" s="10"/>
      <c r="D38" s="10"/>
      <c r="E38" s="10"/>
      <c r="F38" s="1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2"/>
      <c r="B39" s="8"/>
      <c r="C39" s="10"/>
      <c r="D39" s="10"/>
      <c r="E39" s="10"/>
      <c r="F39" s="1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2"/>
      <c r="B40" s="8"/>
      <c r="C40" s="10"/>
      <c r="D40" s="10"/>
      <c r="E40" s="10"/>
      <c r="F40" s="1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2"/>
      <c r="B41" s="8"/>
      <c r="C41" s="10"/>
      <c r="D41" s="10"/>
      <c r="E41" s="10"/>
      <c r="F41" s="1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2"/>
      <c r="B42" s="8"/>
      <c r="C42" s="10"/>
      <c r="D42" s="10"/>
      <c r="E42" s="10"/>
      <c r="F42" s="1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2"/>
      <c r="B43" s="8"/>
      <c r="C43" s="10"/>
      <c r="D43" s="10"/>
      <c r="E43" s="10"/>
      <c r="F43" s="10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2"/>
      <c r="B44" s="8"/>
      <c r="C44" s="10"/>
      <c r="D44" s="10"/>
      <c r="E44" s="10"/>
      <c r="F44" s="10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2"/>
      <c r="B45" s="8"/>
      <c r="C45" s="10"/>
      <c r="D45" s="10"/>
      <c r="E45" s="10"/>
      <c r="F45" s="10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2"/>
      <c r="B46" s="8"/>
      <c r="C46" s="10"/>
      <c r="D46" s="10"/>
      <c r="E46" s="10"/>
      <c r="F46" s="10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2"/>
      <c r="B47" s="8"/>
      <c r="C47" s="10"/>
      <c r="D47" s="10"/>
      <c r="E47" s="10"/>
      <c r="F47" s="10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2"/>
      <c r="B48" s="8"/>
      <c r="C48" s="10"/>
      <c r="D48" s="10"/>
      <c r="E48" s="10"/>
      <c r="F48" s="10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2"/>
      <c r="B49" s="8"/>
      <c r="C49" s="10"/>
      <c r="D49" s="10"/>
      <c r="E49" s="10"/>
      <c r="F49" s="10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2"/>
      <c r="B50" s="8"/>
      <c r="C50" s="10"/>
      <c r="D50" s="10"/>
      <c r="E50" s="10"/>
      <c r="F50" s="10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2"/>
      <c r="B51" s="8"/>
      <c r="C51" s="10"/>
      <c r="D51" s="10"/>
      <c r="E51" s="10"/>
      <c r="F51" s="10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2"/>
      <c r="B52" s="8"/>
      <c r="C52" s="10"/>
      <c r="D52" s="10"/>
      <c r="E52" s="10"/>
      <c r="F52" s="10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2"/>
      <c r="B53" s="8"/>
      <c r="C53" s="10"/>
      <c r="D53" s="10"/>
      <c r="E53" s="10"/>
      <c r="F53" s="10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2"/>
      <c r="B54" s="8"/>
      <c r="C54" s="10"/>
      <c r="D54" s="10"/>
      <c r="E54" s="10"/>
      <c r="F54" s="10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2"/>
      <c r="B55" s="8"/>
      <c r="C55" s="10"/>
      <c r="D55" s="10"/>
      <c r="E55" s="10"/>
      <c r="F55" s="10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2"/>
      <c r="B56" s="8"/>
      <c r="C56" s="10"/>
      <c r="D56" s="10"/>
      <c r="E56" s="10"/>
      <c r="F56" s="10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2"/>
      <c r="B57" s="8"/>
      <c r="C57" s="10"/>
      <c r="D57" s="10"/>
      <c r="E57" s="10"/>
      <c r="F57" s="10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2"/>
      <c r="B58" s="8"/>
      <c r="C58" s="10"/>
      <c r="D58" s="10"/>
      <c r="E58" s="10"/>
      <c r="F58" s="10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2"/>
      <c r="B59" s="8"/>
      <c r="C59" s="10"/>
      <c r="D59" s="10"/>
      <c r="E59" s="10"/>
      <c r="F59" s="10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2"/>
      <c r="B60" s="8"/>
      <c r="C60" s="10"/>
      <c r="D60" s="10"/>
      <c r="E60" s="10"/>
      <c r="F60" s="10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2"/>
      <c r="B61" s="8"/>
      <c r="C61" s="10"/>
      <c r="D61" s="10"/>
      <c r="E61" s="10"/>
      <c r="F61" s="10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2"/>
      <c r="B62" s="8"/>
      <c r="C62" s="10"/>
      <c r="D62" s="10"/>
      <c r="E62" s="10"/>
      <c r="F62" s="10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2"/>
      <c r="B63" s="8"/>
      <c r="C63" s="10"/>
      <c r="D63" s="10"/>
      <c r="E63" s="10"/>
      <c r="F63" s="10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2"/>
      <c r="B64" s="8"/>
      <c r="C64" s="10"/>
      <c r="D64" s="10"/>
      <c r="E64" s="10"/>
      <c r="F64" s="10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2"/>
      <c r="B65" s="8"/>
      <c r="C65" s="10"/>
      <c r="D65" s="10"/>
      <c r="E65" s="10"/>
      <c r="F65" s="10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8"/>
      <c r="C66" s="10"/>
      <c r="D66" s="10"/>
      <c r="E66" s="10"/>
      <c r="F66" s="10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8"/>
      <c r="C67" s="10"/>
      <c r="D67" s="10"/>
      <c r="E67" s="10"/>
      <c r="F67" s="10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2"/>
      <c r="B68" s="8"/>
      <c r="C68" s="10"/>
      <c r="D68" s="10"/>
      <c r="E68" s="10"/>
      <c r="F68" s="10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2"/>
      <c r="B69" s="8"/>
      <c r="C69" s="10"/>
      <c r="D69" s="10"/>
      <c r="E69" s="10"/>
      <c r="F69" s="10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2"/>
      <c r="B70" s="8"/>
      <c r="C70" s="10"/>
      <c r="D70" s="10"/>
      <c r="E70" s="10"/>
      <c r="F70" s="10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2"/>
      <c r="B71" s="8"/>
      <c r="C71" s="10"/>
      <c r="D71" s="10"/>
      <c r="E71" s="10"/>
      <c r="F71" s="10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2"/>
      <c r="B72" s="8"/>
      <c r="C72" s="10"/>
      <c r="D72" s="10"/>
      <c r="E72" s="10"/>
      <c r="F72" s="10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2"/>
      <c r="B73" s="8"/>
      <c r="C73" s="10"/>
      <c r="D73" s="10"/>
      <c r="E73" s="10"/>
      <c r="F73" s="10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2"/>
      <c r="B74" s="8"/>
      <c r="C74" s="10"/>
      <c r="D74" s="10"/>
      <c r="E74" s="10"/>
      <c r="F74" s="10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2"/>
      <c r="B75" s="8"/>
      <c r="C75" s="10"/>
      <c r="D75" s="10"/>
      <c r="E75" s="10"/>
      <c r="F75" s="10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2"/>
      <c r="B76" s="8"/>
      <c r="C76" s="10"/>
      <c r="D76" s="10"/>
      <c r="E76" s="10"/>
      <c r="F76" s="10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2"/>
      <c r="B77" s="8"/>
      <c r="C77" s="10"/>
      <c r="D77" s="10"/>
      <c r="E77" s="10"/>
      <c r="F77" s="10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2"/>
      <c r="B78" s="8"/>
      <c r="C78" s="10"/>
      <c r="D78" s="10"/>
      <c r="E78" s="10"/>
      <c r="F78" s="10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2"/>
      <c r="B79" s="8"/>
      <c r="C79" s="10"/>
      <c r="D79" s="10"/>
      <c r="E79" s="10"/>
      <c r="F79" s="10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2"/>
      <c r="B80" s="8"/>
      <c r="C80" s="10"/>
      <c r="D80" s="10"/>
      <c r="E80" s="10"/>
      <c r="F80" s="10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2"/>
      <c r="B81" s="8"/>
      <c r="C81" s="10"/>
      <c r="D81" s="10"/>
      <c r="E81" s="10"/>
      <c r="F81" s="10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2"/>
      <c r="B82" s="8"/>
      <c r="C82" s="10"/>
      <c r="D82" s="10"/>
      <c r="E82" s="10"/>
      <c r="F82" s="10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2"/>
      <c r="B83" s="8"/>
      <c r="C83" s="10"/>
      <c r="D83" s="10"/>
      <c r="E83" s="10"/>
      <c r="F83" s="10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2"/>
      <c r="B84" s="8"/>
      <c r="C84" s="10"/>
      <c r="D84" s="10"/>
      <c r="E84" s="10"/>
      <c r="F84" s="10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2"/>
      <c r="B85" s="8"/>
      <c r="C85" s="10"/>
      <c r="D85" s="10"/>
      <c r="E85" s="10"/>
      <c r="F85" s="10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2"/>
      <c r="B86" s="8"/>
      <c r="C86" s="10"/>
      <c r="D86" s="10"/>
      <c r="E86" s="10"/>
      <c r="F86" s="10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2"/>
      <c r="B87" s="8"/>
      <c r="C87" s="10"/>
      <c r="D87" s="10"/>
      <c r="E87" s="10"/>
      <c r="F87" s="10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2"/>
      <c r="B88" s="8"/>
      <c r="C88" s="10"/>
      <c r="D88" s="10"/>
      <c r="E88" s="10"/>
      <c r="F88" s="10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2"/>
      <c r="B89" s="8"/>
      <c r="C89" s="10"/>
      <c r="D89" s="10"/>
      <c r="E89" s="10"/>
      <c r="F89" s="10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2"/>
      <c r="B90" s="8"/>
      <c r="C90" s="10"/>
      <c r="D90" s="10"/>
      <c r="E90" s="10"/>
      <c r="F90" s="10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2"/>
      <c r="B91" s="8"/>
      <c r="C91" s="10"/>
      <c r="D91" s="10"/>
      <c r="E91" s="10"/>
      <c r="F91" s="10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2"/>
      <c r="B92" s="8"/>
      <c r="C92" s="10"/>
      <c r="D92" s="10"/>
      <c r="E92" s="10"/>
      <c r="F92" s="10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2"/>
      <c r="B93" s="8"/>
      <c r="C93" s="10"/>
      <c r="D93" s="10"/>
      <c r="E93" s="10"/>
      <c r="F93" s="10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2"/>
      <c r="B94" s="8"/>
      <c r="C94" s="10"/>
      <c r="D94" s="10"/>
      <c r="E94" s="10"/>
      <c r="F94" s="10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2"/>
      <c r="B95" s="8"/>
      <c r="C95" s="10"/>
      <c r="D95" s="10"/>
      <c r="E95" s="10"/>
      <c r="F95" s="10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2"/>
      <c r="B96" s="8"/>
      <c r="C96" s="10"/>
      <c r="D96" s="10"/>
      <c r="E96" s="10"/>
      <c r="F96" s="10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2"/>
      <c r="B97" s="8"/>
      <c r="C97" s="10"/>
      <c r="D97" s="10"/>
      <c r="E97" s="10"/>
      <c r="F97" s="10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2"/>
      <c r="B98" s="8"/>
      <c r="C98" s="10"/>
      <c r="D98" s="10"/>
      <c r="E98" s="10"/>
      <c r="F98" s="10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2"/>
      <c r="B99" s="8"/>
      <c r="C99" s="10"/>
      <c r="D99" s="10"/>
      <c r="E99" s="10"/>
      <c r="F99" s="10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B100" s="8"/>
      <c r="C100" s="10"/>
      <c r="D100" s="10"/>
      <c r="E100" s="10"/>
      <c r="F100" s="10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B101" s="8"/>
      <c r="C101" s="10"/>
      <c r="D101" s="10"/>
      <c r="E101" s="10"/>
      <c r="F101" s="10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B102" s="8"/>
      <c r="C102" s="10"/>
      <c r="D102" s="10"/>
      <c r="E102" s="10"/>
      <c r="F102" s="10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B103" s="8"/>
      <c r="C103" s="10"/>
      <c r="D103" s="10"/>
      <c r="E103" s="10"/>
      <c r="F103" s="10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B104" s="8"/>
      <c r="C104" s="10"/>
      <c r="D104" s="10"/>
      <c r="E104" s="10"/>
      <c r="F104" s="10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B105" s="8"/>
      <c r="C105" s="10"/>
      <c r="D105" s="10"/>
      <c r="E105" s="10"/>
      <c r="F105" s="10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B106" s="8"/>
      <c r="C106" s="10"/>
      <c r="D106" s="10"/>
      <c r="E106" s="10"/>
      <c r="F106" s="10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B107" s="8"/>
      <c r="C107" s="10"/>
      <c r="D107" s="10"/>
      <c r="E107" s="10"/>
      <c r="F107" s="10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B108" s="8"/>
      <c r="C108" s="10"/>
      <c r="D108" s="10"/>
      <c r="E108" s="10"/>
      <c r="F108" s="10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B109" s="8"/>
      <c r="C109" s="10"/>
      <c r="D109" s="10"/>
      <c r="E109" s="10"/>
      <c r="F109" s="10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B110" s="8"/>
      <c r="C110" s="10"/>
      <c r="D110" s="10"/>
      <c r="E110" s="10"/>
      <c r="F110" s="10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B111" s="8"/>
      <c r="C111" s="10"/>
      <c r="D111" s="10"/>
      <c r="E111" s="10"/>
      <c r="F111" s="10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B112" s="8"/>
      <c r="C112" s="10"/>
      <c r="D112" s="10"/>
      <c r="E112" s="10"/>
      <c r="F112" s="10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8"/>
      <c r="C113" s="10"/>
      <c r="D113" s="10"/>
      <c r="E113" s="10"/>
      <c r="F113" s="10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8"/>
      <c r="C114" s="10"/>
      <c r="D114" s="10"/>
      <c r="E114" s="10"/>
      <c r="F114" s="10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B115" s="8"/>
      <c r="C115" s="10"/>
      <c r="D115" s="10"/>
      <c r="E115" s="10"/>
      <c r="F115" s="10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B116" s="8"/>
      <c r="C116" s="10"/>
      <c r="D116" s="10"/>
      <c r="E116" s="10"/>
      <c r="F116" s="10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B117" s="8"/>
      <c r="C117" s="10"/>
      <c r="D117" s="10"/>
      <c r="E117" s="10"/>
      <c r="F117" s="10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B118" s="8"/>
      <c r="C118" s="10"/>
      <c r="D118" s="10"/>
      <c r="E118" s="10"/>
      <c r="F118" s="10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B119" s="8"/>
      <c r="C119" s="10"/>
      <c r="D119" s="10"/>
      <c r="E119" s="10"/>
      <c r="F119" s="10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B120" s="8"/>
      <c r="C120" s="10"/>
      <c r="D120" s="10"/>
      <c r="E120" s="10"/>
      <c r="F120" s="10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8"/>
      <c r="C121" s="10"/>
      <c r="D121" s="10"/>
      <c r="E121" s="10"/>
      <c r="F121" s="10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8"/>
      <c r="C122" s="10"/>
      <c r="D122" s="10"/>
      <c r="E122" s="10"/>
      <c r="F122" s="10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8"/>
      <c r="C123" s="10"/>
      <c r="D123" s="10"/>
      <c r="E123" s="10"/>
      <c r="F123" s="10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8"/>
      <c r="C124" s="10"/>
      <c r="D124" s="10"/>
      <c r="E124" s="10"/>
      <c r="F124" s="10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8"/>
      <c r="C125" s="10"/>
      <c r="D125" s="10"/>
      <c r="E125" s="10"/>
      <c r="F125" s="10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8"/>
      <c r="C126" s="10"/>
      <c r="D126" s="10"/>
      <c r="E126" s="10"/>
      <c r="F126" s="10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8"/>
      <c r="C127" s="10"/>
      <c r="D127" s="10"/>
      <c r="E127" s="10"/>
      <c r="F127" s="10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8"/>
      <c r="C128" s="10"/>
      <c r="D128" s="10"/>
      <c r="E128" s="10"/>
      <c r="F128" s="10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8"/>
      <c r="C129" s="10"/>
      <c r="D129" s="10"/>
      <c r="E129" s="10"/>
      <c r="F129" s="10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8"/>
      <c r="C130" s="10"/>
      <c r="D130" s="10"/>
      <c r="E130" s="10"/>
      <c r="F130" s="10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8"/>
      <c r="C131" s="10"/>
      <c r="D131" s="10"/>
      <c r="E131" s="10"/>
      <c r="F131" s="10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8"/>
      <c r="C132" s="10"/>
      <c r="D132" s="10"/>
      <c r="E132" s="10"/>
      <c r="F132" s="10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8"/>
      <c r="C133" s="10"/>
      <c r="D133" s="10"/>
      <c r="E133" s="10"/>
      <c r="F133" s="10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8"/>
      <c r="C134" s="10"/>
      <c r="D134" s="10"/>
      <c r="E134" s="10"/>
      <c r="F134" s="10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8"/>
      <c r="C135" s="10"/>
      <c r="D135" s="10"/>
      <c r="E135" s="10"/>
      <c r="F135" s="10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8"/>
      <c r="C136" s="10"/>
      <c r="D136" s="10"/>
      <c r="E136" s="10"/>
      <c r="F136" s="10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8"/>
      <c r="C137" s="10"/>
      <c r="D137" s="10"/>
      <c r="E137" s="10"/>
      <c r="F137" s="10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8"/>
      <c r="C138" s="10"/>
      <c r="D138" s="10"/>
      <c r="E138" s="10"/>
      <c r="F138" s="10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8"/>
      <c r="C139" s="10"/>
      <c r="D139" s="10"/>
      <c r="E139" s="10"/>
      <c r="F139" s="10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8"/>
      <c r="C140" s="10"/>
      <c r="D140" s="10"/>
      <c r="E140" s="10"/>
      <c r="F140" s="10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8"/>
      <c r="C141" s="10"/>
      <c r="D141" s="10"/>
      <c r="E141" s="10"/>
      <c r="F141" s="10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8"/>
      <c r="C142" s="10"/>
      <c r="D142" s="10"/>
      <c r="E142" s="10"/>
      <c r="F142" s="10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8"/>
      <c r="C143" s="10"/>
      <c r="D143" s="10"/>
      <c r="E143" s="10"/>
      <c r="F143" s="10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8"/>
      <c r="C144" s="10"/>
      <c r="D144" s="10"/>
      <c r="E144" s="10"/>
      <c r="F144" s="10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8"/>
      <c r="C145" s="10"/>
      <c r="D145" s="10"/>
      <c r="E145" s="10"/>
      <c r="F145" s="10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8"/>
      <c r="C146" s="10"/>
      <c r="D146" s="10"/>
      <c r="E146" s="10"/>
      <c r="F146" s="10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8"/>
      <c r="C147" s="10"/>
      <c r="D147" s="10"/>
      <c r="E147" s="10"/>
      <c r="F147" s="10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8"/>
      <c r="C148" s="10"/>
      <c r="D148" s="10"/>
      <c r="E148" s="10"/>
      <c r="F148" s="10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8"/>
      <c r="C149" s="10"/>
      <c r="D149" s="10"/>
      <c r="E149" s="10"/>
      <c r="F149" s="10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8"/>
      <c r="C150" s="10"/>
      <c r="D150" s="10"/>
      <c r="E150" s="10"/>
      <c r="F150" s="1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8"/>
      <c r="C151" s="10"/>
      <c r="D151" s="10"/>
      <c r="E151" s="10"/>
      <c r="F151" s="1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8"/>
      <c r="C152" s="10"/>
      <c r="D152" s="10"/>
      <c r="E152" s="10"/>
      <c r="F152" s="1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8"/>
      <c r="C153" s="10"/>
      <c r="D153" s="10"/>
      <c r="E153" s="10"/>
      <c r="F153" s="10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8"/>
      <c r="C154" s="10"/>
      <c r="D154" s="10"/>
      <c r="E154" s="10"/>
      <c r="F154" s="1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8"/>
      <c r="C155" s="10"/>
      <c r="D155" s="10"/>
      <c r="E155" s="10"/>
      <c r="F155" s="1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8"/>
      <c r="C156" s="10"/>
      <c r="D156" s="10"/>
      <c r="E156" s="10"/>
      <c r="F156" s="10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8"/>
      <c r="C157" s="10"/>
      <c r="D157" s="10"/>
      <c r="E157" s="10"/>
      <c r="F157" s="10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8"/>
      <c r="C158" s="10"/>
      <c r="D158" s="10"/>
      <c r="E158" s="10"/>
      <c r="F158" s="10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8"/>
      <c r="C159" s="10"/>
      <c r="D159" s="10"/>
      <c r="E159" s="10"/>
      <c r="F159" s="10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8"/>
      <c r="C160" s="10"/>
      <c r="D160" s="10"/>
      <c r="E160" s="10"/>
      <c r="F160" s="10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8"/>
      <c r="C161" s="10"/>
      <c r="D161" s="10"/>
      <c r="E161" s="10"/>
      <c r="F161" s="10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8"/>
      <c r="C162" s="10"/>
      <c r="D162" s="10"/>
      <c r="E162" s="10"/>
      <c r="F162" s="10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8"/>
      <c r="C163" s="10"/>
      <c r="D163" s="10"/>
      <c r="E163" s="10"/>
      <c r="F163" s="10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8"/>
      <c r="C164" s="10"/>
      <c r="D164" s="10"/>
      <c r="E164" s="10"/>
      <c r="F164" s="10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8"/>
      <c r="C165" s="10"/>
      <c r="D165" s="10"/>
      <c r="E165" s="10"/>
      <c r="F165" s="10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8"/>
      <c r="C166" s="10"/>
      <c r="D166" s="10"/>
      <c r="E166" s="10"/>
      <c r="F166" s="10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8"/>
      <c r="C167" s="10"/>
      <c r="D167" s="10"/>
      <c r="E167" s="10"/>
      <c r="F167" s="10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8"/>
      <c r="C168" s="10"/>
      <c r="D168" s="10"/>
      <c r="E168" s="10"/>
      <c r="F168" s="10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8"/>
      <c r="C169" s="10"/>
      <c r="D169" s="10"/>
      <c r="E169" s="10"/>
      <c r="F169" s="10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8"/>
      <c r="C170" s="10"/>
      <c r="D170" s="10"/>
      <c r="E170" s="10"/>
      <c r="F170" s="10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8"/>
      <c r="C171" s="10"/>
      <c r="D171" s="10"/>
      <c r="E171" s="10"/>
      <c r="F171" s="10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8"/>
      <c r="C172" s="10"/>
      <c r="D172" s="10"/>
      <c r="E172" s="10"/>
      <c r="F172" s="10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8"/>
      <c r="C173" s="10"/>
      <c r="D173" s="10"/>
      <c r="E173" s="10"/>
      <c r="F173" s="10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8"/>
      <c r="C174" s="10"/>
      <c r="D174" s="10"/>
      <c r="E174" s="10"/>
      <c r="F174" s="10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8"/>
      <c r="C175" s="10"/>
      <c r="D175" s="10"/>
      <c r="E175" s="10"/>
      <c r="F175" s="10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8"/>
      <c r="C176" s="10"/>
      <c r="D176" s="10"/>
      <c r="E176" s="10"/>
      <c r="F176" s="10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8"/>
      <c r="C177" s="10"/>
      <c r="D177" s="10"/>
      <c r="E177" s="10"/>
      <c r="F177" s="10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8"/>
      <c r="C178" s="10"/>
      <c r="D178" s="10"/>
      <c r="E178" s="10"/>
      <c r="F178" s="10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8"/>
      <c r="C179" s="10"/>
      <c r="D179" s="10"/>
      <c r="E179" s="10"/>
      <c r="F179" s="10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8"/>
      <c r="C180" s="10"/>
      <c r="D180" s="10"/>
      <c r="E180" s="10"/>
      <c r="F180" s="10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8"/>
      <c r="C181" s="10"/>
      <c r="D181" s="10"/>
      <c r="E181" s="10"/>
      <c r="F181" s="10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8"/>
      <c r="C182" s="10"/>
      <c r="D182" s="10"/>
      <c r="E182" s="10"/>
      <c r="F182" s="10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8"/>
      <c r="C183" s="10"/>
      <c r="D183" s="10"/>
      <c r="E183" s="10"/>
      <c r="F183" s="10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8"/>
      <c r="C184" s="10"/>
      <c r="D184" s="10"/>
      <c r="E184" s="10"/>
      <c r="F184" s="10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8"/>
      <c r="C185" s="10"/>
      <c r="D185" s="10"/>
      <c r="E185" s="10"/>
      <c r="F185" s="10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8"/>
      <c r="C186" s="10"/>
      <c r="D186" s="10"/>
      <c r="E186" s="10"/>
      <c r="F186" s="10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8"/>
      <c r="C187" s="10"/>
      <c r="D187" s="10"/>
      <c r="E187" s="10"/>
      <c r="F187" s="10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8"/>
      <c r="C188" s="10"/>
      <c r="D188" s="10"/>
      <c r="E188" s="10"/>
      <c r="F188" s="10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8"/>
      <c r="C189" s="10"/>
      <c r="D189" s="10"/>
      <c r="E189" s="10"/>
      <c r="F189" s="10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8"/>
      <c r="C190" s="10"/>
      <c r="D190" s="10"/>
      <c r="E190" s="10"/>
      <c r="F190" s="10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8"/>
      <c r="C191" s="10"/>
      <c r="D191" s="10"/>
      <c r="E191" s="10"/>
      <c r="F191" s="10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8"/>
      <c r="C192" s="10"/>
      <c r="D192" s="10"/>
      <c r="E192" s="10"/>
      <c r="F192" s="10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8"/>
      <c r="C193" s="10"/>
      <c r="D193" s="10"/>
      <c r="E193" s="10"/>
      <c r="F193" s="10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8"/>
      <c r="C194" s="10"/>
      <c r="D194" s="10"/>
      <c r="E194" s="10"/>
      <c r="F194" s="10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8"/>
      <c r="C195" s="10"/>
      <c r="D195" s="10"/>
      <c r="E195" s="10"/>
      <c r="F195" s="10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8"/>
      <c r="C196" s="10"/>
      <c r="D196" s="10"/>
      <c r="E196" s="10"/>
      <c r="F196" s="10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8"/>
      <c r="C197" s="10"/>
      <c r="D197" s="10"/>
      <c r="E197" s="10"/>
      <c r="F197" s="10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8"/>
      <c r="C198" s="10"/>
      <c r="D198" s="10"/>
      <c r="E198" s="10"/>
      <c r="F198" s="10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8"/>
      <c r="C199" s="10"/>
      <c r="D199" s="10"/>
      <c r="E199" s="10"/>
      <c r="F199" s="10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8"/>
      <c r="C200" s="10"/>
      <c r="D200" s="10"/>
      <c r="E200" s="10"/>
      <c r="F200" s="10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8"/>
      <c r="C201" s="10"/>
      <c r="D201" s="10"/>
      <c r="E201" s="10"/>
      <c r="F201" s="10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8"/>
      <c r="C202" s="10"/>
      <c r="D202" s="10"/>
      <c r="E202" s="10"/>
      <c r="F202" s="10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8"/>
      <c r="C203" s="10"/>
      <c r="D203" s="10"/>
      <c r="E203" s="10"/>
      <c r="F203" s="10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8"/>
      <c r="C204" s="10"/>
      <c r="D204" s="10"/>
      <c r="E204" s="10"/>
      <c r="F204" s="10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8"/>
      <c r="C205" s="10"/>
      <c r="D205" s="10"/>
      <c r="E205" s="10"/>
      <c r="F205" s="10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8"/>
      <c r="C206" s="10"/>
      <c r="D206" s="10"/>
      <c r="E206" s="10"/>
      <c r="F206" s="10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8"/>
      <c r="C207" s="10"/>
      <c r="D207" s="10"/>
      <c r="E207" s="10"/>
      <c r="F207" s="10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8"/>
      <c r="C208" s="10"/>
      <c r="D208" s="10"/>
      <c r="E208" s="10"/>
      <c r="F208" s="10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8"/>
      <c r="C209" s="10"/>
      <c r="D209" s="10"/>
      <c r="E209" s="10"/>
      <c r="F209" s="10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8"/>
      <c r="C210" s="10"/>
      <c r="D210" s="10"/>
      <c r="E210" s="10"/>
      <c r="F210" s="10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8"/>
      <c r="C211" s="10"/>
      <c r="D211" s="10"/>
      <c r="E211" s="10"/>
      <c r="F211" s="10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8"/>
      <c r="C212" s="10"/>
      <c r="D212" s="10"/>
      <c r="E212" s="10"/>
      <c r="F212" s="10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8"/>
      <c r="C213" s="10"/>
      <c r="D213" s="10"/>
      <c r="E213" s="10"/>
      <c r="F213" s="10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8"/>
      <c r="C214" s="10"/>
      <c r="D214" s="10"/>
      <c r="E214" s="10"/>
      <c r="F214" s="10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8"/>
      <c r="C215" s="10"/>
      <c r="D215" s="10"/>
      <c r="E215" s="10"/>
      <c r="F215" s="10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8"/>
      <c r="C216" s="10"/>
      <c r="D216" s="10"/>
      <c r="E216" s="10"/>
      <c r="F216" s="10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8"/>
      <c r="C217" s="10"/>
      <c r="D217" s="10"/>
      <c r="E217" s="10"/>
      <c r="F217" s="10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8"/>
      <c r="C218" s="10"/>
      <c r="D218" s="10"/>
      <c r="E218" s="10"/>
      <c r="F218" s="10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8"/>
      <c r="C219" s="10"/>
      <c r="D219" s="10"/>
      <c r="E219" s="10"/>
      <c r="F219" s="10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8"/>
      <c r="C220" s="10"/>
      <c r="D220" s="10"/>
      <c r="E220" s="10"/>
      <c r="F220" s="10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8"/>
      <c r="C221" s="10"/>
      <c r="D221" s="10"/>
      <c r="E221" s="10"/>
      <c r="F221" s="10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8"/>
      <c r="C222" s="10"/>
      <c r="D222" s="10"/>
      <c r="E222" s="10"/>
      <c r="F222" s="10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8"/>
      <c r="C223" s="10"/>
      <c r="D223" s="10"/>
      <c r="E223" s="10"/>
      <c r="F223" s="10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8"/>
      <c r="C224" s="10"/>
      <c r="D224" s="10"/>
      <c r="E224" s="10"/>
      <c r="F224" s="10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8"/>
      <c r="C225" s="10"/>
      <c r="D225" s="10"/>
      <c r="E225" s="10"/>
      <c r="F225" s="10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8"/>
      <c r="C226" s="10"/>
      <c r="D226" s="10"/>
      <c r="E226" s="10"/>
      <c r="F226" s="10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8"/>
      <c r="C227" s="10"/>
      <c r="D227" s="10"/>
      <c r="E227" s="10"/>
      <c r="F227" s="10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8"/>
      <c r="C228" s="10"/>
      <c r="D228" s="10"/>
      <c r="E228" s="10"/>
      <c r="F228" s="10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8"/>
      <c r="C229" s="10"/>
      <c r="D229" s="10"/>
      <c r="E229" s="10"/>
      <c r="F229" s="10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8"/>
      <c r="C230" s="10"/>
      <c r="D230" s="10"/>
      <c r="E230" s="10"/>
      <c r="F230" s="10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8"/>
      <c r="C231" s="10"/>
      <c r="D231" s="10"/>
      <c r="E231" s="10"/>
      <c r="F231" s="10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2"/>
      <c r="B232" s="8"/>
      <c r="C232" s="10"/>
      <c r="D232" s="10"/>
      <c r="E232" s="10"/>
      <c r="F232" s="10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2"/>
      <c r="B233" s="8"/>
      <c r="C233" s="10"/>
      <c r="D233" s="10"/>
      <c r="E233" s="10"/>
      <c r="F233" s="10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2"/>
      <c r="B234" s="8"/>
      <c r="C234" s="10"/>
      <c r="D234" s="10"/>
      <c r="E234" s="10"/>
      <c r="F234" s="10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2"/>
      <c r="B235" s="8"/>
      <c r="C235" s="10"/>
      <c r="D235" s="10"/>
      <c r="E235" s="10"/>
      <c r="F235" s="10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2"/>
      <c r="B236" s="8"/>
      <c r="C236" s="10"/>
      <c r="D236" s="10"/>
      <c r="E236" s="10"/>
      <c r="F236" s="10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2"/>
      <c r="B237" s="8"/>
      <c r="C237" s="10"/>
      <c r="D237" s="10"/>
      <c r="E237" s="10"/>
      <c r="F237" s="10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2"/>
      <c r="B238" s="8"/>
      <c r="C238" s="10"/>
      <c r="D238" s="10"/>
      <c r="E238" s="10"/>
      <c r="F238" s="10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2"/>
      <c r="B239" s="8"/>
      <c r="C239" s="10"/>
      <c r="D239" s="10"/>
      <c r="E239" s="10"/>
      <c r="F239" s="10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2"/>
      <c r="B240" s="8"/>
      <c r="C240" s="10"/>
      <c r="D240" s="10"/>
      <c r="E240" s="10"/>
      <c r="F240" s="10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2"/>
      <c r="B241" s="8"/>
      <c r="C241" s="10"/>
      <c r="D241" s="10"/>
      <c r="E241" s="10"/>
      <c r="F241" s="10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2"/>
      <c r="B242" s="8"/>
      <c r="C242" s="10"/>
      <c r="D242" s="10"/>
      <c r="E242" s="10"/>
      <c r="F242" s="10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"/>
      <c r="B243" s="8"/>
      <c r="C243" s="10"/>
      <c r="D243" s="10"/>
      <c r="E243" s="10"/>
      <c r="F243" s="10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2"/>
      <c r="B244" s="8"/>
      <c r="C244" s="10"/>
      <c r="D244" s="10"/>
      <c r="E244" s="10"/>
      <c r="F244" s="10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2"/>
      <c r="B245" s="8"/>
      <c r="C245" s="10"/>
      <c r="D245" s="10"/>
      <c r="E245" s="10"/>
      <c r="F245" s="10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2"/>
      <c r="B246" s="8"/>
      <c r="C246" s="10"/>
      <c r="D246" s="10"/>
      <c r="E246" s="10"/>
      <c r="F246" s="10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2"/>
      <c r="B247" s="8"/>
      <c r="C247" s="10"/>
      <c r="D247" s="10"/>
      <c r="E247" s="10"/>
      <c r="F247" s="10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2"/>
      <c r="B248" s="8"/>
      <c r="C248" s="10"/>
      <c r="D248" s="10"/>
      <c r="E248" s="10"/>
      <c r="F248" s="10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2"/>
      <c r="B249" s="8"/>
      <c r="C249" s="10"/>
      <c r="D249" s="10"/>
      <c r="E249" s="10"/>
      <c r="F249" s="10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2"/>
      <c r="B250" s="8"/>
      <c r="C250" s="10"/>
      <c r="D250" s="10"/>
      <c r="E250" s="10"/>
      <c r="F250" s="10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2"/>
      <c r="B251" s="8"/>
      <c r="C251" s="10"/>
      <c r="D251" s="10"/>
      <c r="E251" s="10"/>
      <c r="F251" s="10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2"/>
      <c r="B252" s="8"/>
      <c r="C252" s="10"/>
      <c r="D252" s="10"/>
      <c r="E252" s="10"/>
      <c r="F252" s="10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2"/>
      <c r="B253" s="8"/>
      <c r="C253" s="10"/>
      <c r="D253" s="10"/>
      <c r="E253" s="10"/>
      <c r="F253" s="10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2"/>
      <c r="B254" s="8"/>
      <c r="C254" s="10"/>
      <c r="D254" s="10"/>
      <c r="E254" s="10"/>
      <c r="F254" s="10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2"/>
      <c r="B255" s="8"/>
      <c r="C255" s="10"/>
      <c r="D255" s="10"/>
      <c r="E255" s="10"/>
      <c r="F255" s="10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2"/>
      <c r="B256" s="8"/>
      <c r="C256" s="10"/>
      <c r="D256" s="10"/>
      <c r="E256" s="10"/>
      <c r="F256" s="10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2"/>
      <c r="B257" s="8"/>
      <c r="C257" s="10"/>
      <c r="D257" s="10"/>
      <c r="E257" s="10"/>
      <c r="F257" s="10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2"/>
      <c r="B258" s="8"/>
      <c r="C258" s="10"/>
      <c r="D258" s="10"/>
      <c r="E258" s="10"/>
      <c r="F258" s="10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2"/>
      <c r="B259" s="8"/>
      <c r="C259" s="10"/>
      <c r="D259" s="10"/>
      <c r="E259" s="10"/>
      <c r="F259" s="10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2"/>
      <c r="B260" s="8"/>
      <c r="C260" s="10"/>
      <c r="D260" s="10"/>
      <c r="E260" s="10"/>
      <c r="F260" s="10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2"/>
      <c r="B261" s="8"/>
      <c r="C261" s="10"/>
      <c r="D261" s="10"/>
      <c r="E261" s="10"/>
      <c r="F261" s="10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2"/>
      <c r="B262" s="8"/>
      <c r="C262" s="10"/>
      <c r="D262" s="10"/>
      <c r="E262" s="10"/>
      <c r="F262" s="10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2"/>
      <c r="B263" s="8"/>
      <c r="C263" s="10"/>
      <c r="D263" s="10"/>
      <c r="E263" s="10"/>
      <c r="F263" s="10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2"/>
      <c r="B264" s="8"/>
      <c r="C264" s="10"/>
      <c r="D264" s="10"/>
      <c r="E264" s="10"/>
      <c r="F264" s="10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2"/>
      <c r="B265" s="8"/>
      <c r="C265" s="10"/>
      <c r="D265" s="10"/>
      <c r="E265" s="10"/>
      <c r="F265" s="10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2"/>
      <c r="B266" s="8"/>
      <c r="C266" s="10"/>
      <c r="D266" s="10"/>
      <c r="E266" s="10"/>
      <c r="F266" s="10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2"/>
      <c r="B267" s="8"/>
      <c r="C267" s="10"/>
      <c r="D267" s="10"/>
      <c r="E267" s="10"/>
      <c r="F267" s="10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2"/>
      <c r="B268" s="8"/>
      <c r="C268" s="10"/>
      <c r="D268" s="10"/>
      <c r="E268" s="10"/>
      <c r="F268" s="10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2"/>
      <c r="B269" s="8"/>
      <c r="C269" s="10"/>
      <c r="D269" s="10"/>
      <c r="E269" s="10"/>
      <c r="F269" s="10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2"/>
      <c r="B270" s="8"/>
      <c r="C270" s="10"/>
      <c r="D270" s="10"/>
      <c r="E270" s="10"/>
      <c r="F270" s="10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2"/>
      <c r="B271" s="8"/>
      <c r="C271" s="10"/>
      <c r="D271" s="10"/>
      <c r="E271" s="10"/>
      <c r="F271" s="10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2"/>
      <c r="B272" s="8"/>
      <c r="C272" s="10"/>
      <c r="D272" s="10"/>
      <c r="E272" s="10"/>
      <c r="F272" s="10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2"/>
      <c r="B273" s="8"/>
      <c r="C273" s="10"/>
      <c r="D273" s="10"/>
      <c r="E273" s="10"/>
      <c r="F273" s="10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2"/>
      <c r="B274" s="8"/>
      <c r="C274" s="10"/>
      <c r="D274" s="10"/>
      <c r="E274" s="10"/>
      <c r="F274" s="10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2"/>
      <c r="B275" s="8"/>
      <c r="C275" s="10"/>
      <c r="D275" s="10"/>
      <c r="E275" s="10"/>
      <c r="F275" s="10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2"/>
      <c r="B276" s="8"/>
      <c r="C276" s="10"/>
      <c r="D276" s="10"/>
      <c r="E276" s="10"/>
      <c r="F276" s="10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2"/>
      <c r="B277" s="8"/>
      <c r="C277" s="10"/>
      <c r="D277" s="10"/>
      <c r="E277" s="10"/>
      <c r="F277" s="10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2"/>
      <c r="B278" s="8"/>
      <c r="C278" s="10"/>
      <c r="D278" s="10"/>
      <c r="E278" s="10"/>
      <c r="F278" s="10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2"/>
      <c r="B279" s="8"/>
      <c r="C279" s="10"/>
      <c r="D279" s="10"/>
      <c r="E279" s="10"/>
      <c r="F279" s="10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2"/>
      <c r="B280" s="8"/>
      <c r="C280" s="10"/>
      <c r="D280" s="10"/>
      <c r="E280" s="10"/>
      <c r="F280" s="10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2"/>
      <c r="B281" s="8"/>
      <c r="C281" s="10"/>
      <c r="D281" s="10"/>
      <c r="E281" s="10"/>
      <c r="F281" s="10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2"/>
      <c r="B282" s="8"/>
      <c r="C282" s="10"/>
      <c r="D282" s="10"/>
      <c r="E282" s="10"/>
      <c r="F282" s="10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2"/>
      <c r="B283" s="8"/>
      <c r="C283" s="10"/>
      <c r="D283" s="10"/>
      <c r="E283" s="10"/>
      <c r="F283" s="10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2"/>
      <c r="B284" s="8"/>
      <c r="C284" s="10"/>
      <c r="D284" s="10"/>
      <c r="E284" s="10"/>
      <c r="F284" s="10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2"/>
      <c r="B285" s="8"/>
      <c r="C285" s="10"/>
      <c r="D285" s="10"/>
      <c r="E285" s="10"/>
      <c r="F285" s="10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2"/>
      <c r="B286" s="8"/>
      <c r="C286" s="10"/>
      <c r="D286" s="10"/>
      <c r="E286" s="10"/>
      <c r="F286" s="10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2"/>
      <c r="B287" s="8"/>
      <c r="C287" s="10"/>
      <c r="D287" s="10"/>
      <c r="E287" s="10"/>
      <c r="F287" s="10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2"/>
      <c r="B288" s="8"/>
      <c r="C288" s="10"/>
      <c r="D288" s="10"/>
      <c r="E288" s="10"/>
      <c r="F288" s="10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2"/>
      <c r="B289" s="8"/>
      <c r="C289" s="10"/>
      <c r="D289" s="10"/>
      <c r="E289" s="10"/>
      <c r="F289" s="10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2"/>
      <c r="B290" s="8"/>
      <c r="C290" s="10"/>
      <c r="D290" s="10"/>
      <c r="E290" s="10"/>
      <c r="F290" s="10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2"/>
      <c r="B291" s="8"/>
      <c r="C291" s="10"/>
      <c r="D291" s="10"/>
      <c r="E291" s="10"/>
      <c r="F291" s="10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2"/>
      <c r="B292" s="8"/>
      <c r="C292" s="10"/>
      <c r="D292" s="10"/>
      <c r="E292" s="10"/>
      <c r="F292" s="10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"/>
      <c r="B293" s="8"/>
      <c r="C293" s="10"/>
      <c r="D293" s="10"/>
      <c r="E293" s="10"/>
      <c r="F293" s="10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2"/>
      <c r="B294" s="8"/>
      <c r="C294" s="10"/>
      <c r="D294" s="10"/>
      <c r="E294" s="10"/>
      <c r="F294" s="10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2"/>
      <c r="B295" s="8"/>
      <c r="C295" s="10"/>
      <c r="D295" s="10"/>
      <c r="E295" s="10"/>
      <c r="F295" s="10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"/>
      <c r="B296" s="8"/>
      <c r="C296" s="10"/>
      <c r="D296" s="10"/>
      <c r="E296" s="10"/>
      <c r="F296" s="10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"/>
      <c r="B297" s="8"/>
      <c r="C297" s="10"/>
      <c r="D297" s="10"/>
      <c r="E297" s="10"/>
      <c r="F297" s="10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2"/>
      <c r="B298" s="8"/>
      <c r="C298" s="10"/>
      <c r="D298" s="10"/>
      <c r="E298" s="10"/>
      <c r="F298" s="10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2"/>
      <c r="B299" s="8"/>
      <c r="C299" s="10"/>
      <c r="D299" s="10"/>
      <c r="E299" s="10"/>
      <c r="F299" s="10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2"/>
      <c r="B300" s="8"/>
      <c r="C300" s="10"/>
      <c r="D300" s="10"/>
      <c r="E300" s="10"/>
      <c r="F300" s="10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2"/>
      <c r="B301" s="8"/>
      <c r="C301" s="10"/>
      <c r="D301" s="10"/>
      <c r="E301" s="10"/>
      <c r="F301" s="10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2"/>
      <c r="B302" s="8"/>
      <c r="C302" s="10"/>
      <c r="D302" s="10"/>
      <c r="E302" s="10"/>
      <c r="F302" s="10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2"/>
      <c r="B303" s="8"/>
      <c r="C303" s="10"/>
      <c r="D303" s="10"/>
      <c r="E303" s="10"/>
      <c r="F303" s="10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2"/>
      <c r="B304" s="8"/>
      <c r="C304" s="10"/>
      <c r="D304" s="10"/>
      <c r="E304" s="10"/>
      <c r="F304" s="10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2"/>
      <c r="B305" s="8"/>
      <c r="C305" s="10"/>
      <c r="D305" s="10"/>
      <c r="E305" s="10"/>
      <c r="F305" s="10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2"/>
      <c r="B306" s="8"/>
      <c r="C306" s="10"/>
      <c r="D306" s="10"/>
      <c r="E306" s="10"/>
      <c r="F306" s="10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2"/>
      <c r="B307" s="8"/>
      <c r="C307" s="10"/>
      <c r="D307" s="10"/>
      <c r="E307" s="10"/>
      <c r="F307" s="10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2"/>
      <c r="B308" s="8"/>
      <c r="C308" s="10"/>
      <c r="D308" s="10"/>
      <c r="E308" s="10"/>
      <c r="F308" s="10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2"/>
      <c r="B309" s="8"/>
      <c r="C309" s="10"/>
      <c r="D309" s="10"/>
      <c r="E309" s="10"/>
      <c r="F309" s="10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2"/>
      <c r="B310" s="8"/>
      <c r="C310" s="10"/>
      <c r="D310" s="10"/>
      <c r="E310" s="10"/>
      <c r="F310" s="10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2"/>
      <c r="B311" s="8"/>
      <c r="C311" s="10"/>
      <c r="D311" s="10"/>
      <c r="E311" s="10"/>
      <c r="F311" s="10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2"/>
      <c r="B312" s="8"/>
      <c r="C312" s="10"/>
      <c r="D312" s="10"/>
      <c r="E312" s="10"/>
      <c r="F312" s="10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2"/>
      <c r="B313" s="8"/>
      <c r="C313" s="10"/>
      <c r="D313" s="10"/>
      <c r="E313" s="10"/>
      <c r="F313" s="10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2"/>
      <c r="B314" s="8"/>
      <c r="C314" s="10"/>
      <c r="D314" s="10"/>
      <c r="E314" s="10"/>
      <c r="F314" s="10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2"/>
      <c r="B315" s="8"/>
      <c r="C315" s="10"/>
      <c r="D315" s="10"/>
      <c r="E315" s="10"/>
      <c r="F315" s="10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2"/>
      <c r="B316" s="8"/>
      <c r="C316" s="10"/>
      <c r="D316" s="10"/>
      <c r="E316" s="10"/>
      <c r="F316" s="10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2"/>
      <c r="B317" s="8"/>
      <c r="C317" s="10"/>
      <c r="D317" s="10"/>
      <c r="E317" s="10"/>
      <c r="F317" s="10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2"/>
      <c r="B318" s="8"/>
      <c r="C318" s="10"/>
      <c r="D318" s="10"/>
      <c r="E318" s="10"/>
      <c r="F318" s="10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2"/>
      <c r="B319" s="8"/>
      <c r="C319" s="10"/>
      <c r="D319" s="10"/>
      <c r="E319" s="10"/>
      <c r="F319" s="10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2"/>
      <c r="B320" s="8"/>
      <c r="C320" s="10"/>
      <c r="D320" s="10"/>
      <c r="E320" s="10"/>
      <c r="F320" s="10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"/>
      <c r="B321" s="8"/>
      <c r="C321" s="10"/>
      <c r="D321" s="10"/>
      <c r="E321" s="10"/>
      <c r="F321" s="10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2"/>
      <c r="B322" s="8"/>
      <c r="C322" s="10"/>
      <c r="D322" s="10"/>
      <c r="E322" s="10"/>
      <c r="F322" s="10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2"/>
      <c r="B323" s="8"/>
      <c r="C323" s="10"/>
      <c r="D323" s="10"/>
      <c r="E323" s="10"/>
      <c r="F323" s="10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2"/>
      <c r="B324" s="8"/>
      <c r="C324" s="10"/>
      <c r="D324" s="10"/>
      <c r="E324" s="10"/>
      <c r="F324" s="10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2"/>
      <c r="B325" s="8"/>
      <c r="C325" s="10"/>
      <c r="D325" s="10"/>
      <c r="E325" s="10"/>
      <c r="F325" s="10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2"/>
      <c r="B326" s="8"/>
      <c r="C326" s="10"/>
      <c r="D326" s="10"/>
      <c r="E326" s="10"/>
      <c r="F326" s="10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2"/>
      <c r="B327" s="8"/>
      <c r="C327" s="10"/>
      <c r="D327" s="10"/>
      <c r="E327" s="10"/>
      <c r="F327" s="10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2"/>
      <c r="B328" s="8"/>
      <c r="C328" s="10"/>
      <c r="D328" s="10"/>
      <c r="E328" s="10"/>
      <c r="F328" s="10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2"/>
      <c r="B329" s="8"/>
      <c r="C329" s="10"/>
      <c r="D329" s="10"/>
      <c r="E329" s="10"/>
      <c r="F329" s="10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2"/>
      <c r="B330" s="8"/>
      <c r="C330" s="10"/>
      <c r="D330" s="10"/>
      <c r="E330" s="10"/>
      <c r="F330" s="10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2"/>
      <c r="B331" s="8"/>
      <c r="C331" s="10"/>
      <c r="D331" s="10"/>
      <c r="E331" s="10"/>
      <c r="F331" s="10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2"/>
      <c r="B332" s="8"/>
      <c r="C332" s="10"/>
      <c r="D332" s="10"/>
      <c r="E332" s="10"/>
      <c r="F332" s="10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2"/>
      <c r="B333" s="8"/>
      <c r="C333" s="10"/>
      <c r="D333" s="10"/>
      <c r="E333" s="10"/>
      <c r="F333" s="10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2"/>
      <c r="B334" s="8"/>
      <c r="C334" s="10"/>
      <c r="D334" s="10"/>
      <c r="E334" s="10"/>
      <c r="F334" s="10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2"/>
      <c r="B335" s="8"/>
      <c r="C335" s="10"/>
      <c r="D335" s="10"/>
      <c r="E335" s="10"/>
      <c r="F335" s="10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2"/>
      <c r="B336" s="8"/>
      <c r="C336" s="10"/>
      <c r="D336" s="10"/>
      <c r="E336" s="10"/>
      <c r="F336" s="10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2"/>
      <c r="B337" s="8"/>
      <c r="C337" s="10"/>
      <c r="D337" s="10"/>
      <c r="E337" s="10"/>
      <c r="F337" s="10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2"/>
      <c r="B338" s="8"/>
      <c r="C338" s="10"/>
      <c r="D338" s="10"/>
      <c r="E338" s="10"/>
      <c r="F338" s="10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2"/>
      <c r="B339" s="8"/>
      <c r="C339" s="10"/>
      <c r="D339" s="10"/>
      <c r="E339" s="10"/>
      <c r="F339" s="10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2"/>
      <c r="B340" s="8"/>
      <c r="C340" s="10"/>
      <c r="D340" s="10"/>
      <c r="E340" s="10"/>
      <c r="F340" s="10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2"/>
      <c r="B341" s="8"/>
      <c r="C341" s="10"/>
      <c r="D341" s="10"/>
      <c r="E341" s="10"/>
      <c r="F341" s="10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2"/>
      <c r="B342" s="8"/>
      <c r="C342" s="10"/>
      <c r="D342" s="10"/>
      <c r="E342" s="10"/>
      <c r="F342" s="10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2"/>
      <c r="B343" s="8"/>
      <c r="C343" s="10"/>
      <c r="D343" s="10"/>
      <c r="E343" s="10"/>
      <c r="F343" s="10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2"/>
      <c r="B344" s="8"/>
      <c r="C344" s="10"/>
      <c r="D344" s="10"/>
      <c r="E344" s="10"/>
      <c r="F344" s="10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2"/>
      <c r="B345" s="8"/>
      <c r="C345" s="10"/>
      <c r="D345" s="10"/>
      <c r="E345" s="10"/>
      <c r="F345" s="10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"/>
      <c r="B346" s="8"/>
      <c r="C346" s="10"/>
      <c r="D346" s="10"/>
      <c r="E346" s="10"/>
      <c r="F346" s="10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2"/>
      <c r="B347" s="8"/>
      <c r="C347" s="10"/>
      <c r="D347" s="10"/>
      <c r="E347" s="10"/>
      <c r="F347" s="10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2"/>
      <c r="B348" s="8"/>
      <c r="C348" s="10"/>
      <c r="D348" s="10"/>
      <c r="E348" s="10"/>
      <c r="F348" s="10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2"/>
      <c r="B349" s="8"/>
      <c r="C349" s="10"/>
      <c r="D349" s="10"/>
      <c r="E349" s="10"/>
      <c r="F349" s="10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2"/>
      <c r="B350" s="8"/>
      <c r="C350" s="10"/>
      <c r="D350" s="10"/>
      <c r="E350" s="10"/>
      <c r="F350" s="10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2"/>
      <c r="B351" s="8"/>
      <c r="C351" s="10"/>
      <c r="D351" s="10"/>
      <c r="E351" s="10"/>
      <c r="F351" s="10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"/>
      <c r="B352" s="8"/>
      <c r="C352" s="10"/>
      <c r="D352" s="10"/>
      <c r="E352" s="10"/>
      <c r="F352" s="10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2"/>
      <c r="B353" s="8"/>
      <c r="C353" s="10"/>
      <c r="D353" s="10"/>
      <c r="E353" s="10"/>
      <c r="F353" s="10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2"/>
      <c r="B354" s="8"/>
      <c r="C354" s="10"/>
      <c r="D354" s="10"/>
      <c r="E354" s="10"/>
      <c r="F354" s="10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2"/>
      <c r="B355" s="8"/>
      <c r="C355" s="10"/>
      <c r="D355" s="10"/>
      <c r="E355" s="10"/>
      <c r="F355" s="10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2"/>
      <c r="B356" s="8"/>
      <c r="C356" s="10"/>
      <c r="D356" s="10"/>
      <c r="E356" s="10"/>
      <c r="F356" s="10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2"/>
      <c r="B357" s="8"/>
      <c r="C357" s="10"/>
      <c r="D357" s="10"/>
      <c r="E357" s="10"/>
      <c r="F357" s="10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2"/>
      <c r="B358" s="8"/>
      <c r="C358" s="10"/>
      <c r="D358" s="10"/>
      <c r="E358" s="10"/>
      <c r="F358" s="10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2"/>
      <c r="B359" s="8"/>
      <c r="C359" s="10"/>
      <c r="D359" s="10"/>
      <c r="E359" s="10"/>
      <c r="F359" s="10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2"/>
      <c r="B360" s="8"/>
      <c r="C360" s="10"/>
      <c r="D360" s="10"/>
      <c r="E360" s="10"/>
      <c r="F360" s="10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2"/>
      <c r="B361" s="8"/>
      <c r="C361" s="10"/>
      <c r="D361" s="10"/>
      <c r="E361" s="10"/>
      <c r="F361" s="10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2"/>
      <c r="B362" s="8"/>
      <c r="C362" s="10"/>
      <c r="D362" s="10"/>
      <c r="E362" s="10"/>
      <c r="F362" s="10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2"/>
      <c r="B363" s="8"/>
      <c r="C363" s="10"/>
      <c r="D363" s="10"/>
      <c r="E363" s="10"/>
      <c r="F363" s="10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2"/>
      <c r="B364" s="8"/>
      <c r="C364" s="10"/>
      <c r="D364" s="10"/>
      <c r="E364" s="10"/>
      <c r="F364" s="10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2"/>
      <c r="B365" s="8"/>
      <c r="C365" s="10"/>
      <c r="D365" s="10"/>
      <c r="E365" s="10"/>
      <c r="F365" s="10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2"/>
      <c r="B366" s="8"/>
      <c r="C366" s="10"/>
      <c r="D366" s="10"/>
      <c r="E366" s="10"/>
      <c r="F366" s="10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2"/>
      <c r="B367" s="8"/>
      <c r="C367" s="10"/>
      <c r="D367" s="10"/>
      <c r="E367" s="10"/>
      <c r="F367" s="10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2"/>
      <c r="B368" s="8"/>
      <c r="C368" s="10"/>
      <c r="D368" s="10"/>
      <c r="E368" s="10"/>
      <c r="F368" s="10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2"/>
      <c r="B369" s="8"/>
      <c r="C369" s="10"/>
      <c r="D369" s="10"/>
      <c r="E369" s="10"/>
      <c r="F369" s="10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2"/>
      <c r="B370" s="8"/>
      <c r="C370" s="10"/>
      <c r="D370" s="10"/>
      <c r="E370" s="10"/>
      <c r="F370" s="10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2"/>
      <c r="B371" s="8"/>
      <c r="C371" s="10"/>
      <c r="D371" s="10"/>
      <c r="E371" s="10"/>
      <c r="F371" s="10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2"/>
      <c r="B372" s="8"/>
      <c r="C372" s="10"/>
      <c r="D372" s="10"/>
      <c r="E372" s="10"/>
      <c r="F372" s="10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2"/>
      <c r="B373" s="8"/>
      <c r="C373" s="10"/>
      <c r="D373" s="10"/>
      <c r="E373" s="10"/>
      <c r="F373" s="10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2"/>
      <c r="B374" s="8"/>
      <c r="C374" s="10"/>
      <c r="D374" s="10"/>
      <c r="E374" s="10"/>
      <c r="F374" s="10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2"/>
      <c r="B375" s="8"/>
      <c r="C375" s="10"/>
      <c r="D375" s="10"/>
      <c r="E375" s="10"/>
      <c r="F375" s="10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2"/>
      <c r="B376" s="8"/>
      <c r="C376" s="10"/>
      <c r="D376" s="10"/>
      <c r="E376" s="10"/>
      <c r="F376" s="10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2"/>
      <c r="B377" s="8"/>
      <c r="C377" s="10"/>
      <c r="D377" s="10"/>
      <c r="E377" s="10"/>
      <c r="F377" s="10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2"/>
      <c r="B378" s="8"/>
      <c r="C378" s="10"/>
      <c r="D378" s="10"/>
      <c r="E378" s="10"/>
      <c r="F378" s="10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2"/>
      <c r="B379" s="8"/>
      <c r="C379" s="10"/>
      <c r="D379" s="10"/>
      <c r="E379" s="10"/>
      <c r="F379" s="10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2"/>
      <c r="B380" s="8"/>
      <c r="C380" s="10"/>
      <c r="D380" s="10"/>
      <c r="E380" s="10"/>
      <c r="F380" s="10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2"/>
      <c r="B381" s="8"/>
      <c r="C381" s="10"/>
      <c r="D381" s="10"/>
      <c r="E381" s="10"/>
      <c r="F381" s="10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2"/>
      <c r="B382" s="8"/>
      <c r="C382" s="10"/>
      <c r="D382" s="10"/>
      <c r="E382" s="10"/>
      <c r="F382" s="10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2"/>
      <c r="B383" s="8"/>
      <c r="C383" s="10"/>
      <c r="D383" s="10"/>
      <c r="E383" s="10"/>
      <c r="F383" s="10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"/>
      <c r="B384" s="8"/>
      <c r="C384" s="10"/>
      <c r="D384" s="10"/>
      <c r="E384" s="10"/>
      <c r="F384" s="10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2"/>
      <c r="B385" s="8"/>
      <c r="C385" s="10"/>
      <c r="D385" s="10"/>
      <c r="E385" s="10"/>
      <c r="F385" s="10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2"/>
      <c r="B386" s="8"/>
      <c r="C386" s="10"/>
      <c r="D386" s="10"/>
      <c r="E386" s="10"/>
      <c r="F386" s="10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2"/>
      <c r="B387" s="8"/>
      <c r="C387" s="10"/>
      <c r="D387" s="10"/>
      <c r="E387" s="10"/>
      <c r="F387" s="10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2"/>
      <c r="B388" s="8"/>
      <c r="C388" s="10"/>
      <c r="D388" s="10"/>
      <c r="E388" s="10"/>
      <c r="F388" s="10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2"/>
      <c r="B389" s="8"/>
      <c r="C389" s="10"/>
      <c r="D389" s="10"/>
      <c r="E389" s="10"/>
      <c r="F389" s="10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2"/>
      <c r="B390" s="8"/>
      <c r="C390" s="10"/>
      <c r="D390" s="10"/>
      <c r="E390" s="10"/>
      <c r="F390" s="10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2"/>
      <c r="B391" s="8"/>
      <c r="C391" s="10"/>
      <c r="D391" s="10"/>
      <c r="E391" s="10"/>
      <c r="F391" s="10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2"/>
      <c r="B392" s="8"/>
      <c r="C392" s="10"/>
      <c r="D392" s="10"/>
      <c r="E392" s="10"/>
      <c r="F392" s="10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2"/>
      <c r="B393" s="8"/>
      <c r="C393" s="10"/>
      <c r="D393" s="10"/>
      <c r="E393" s="10"/>
      <c r="F393" s="10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2"/>
      <c r="B394" s="8"/>
      <c r="C394" s="10"/>
      <c r="D394" s="10"/>
      <c r="E394" s="10"/>
      <c r="F394" s="10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2"/>
      <c r="B395" s="8"/>
      <c r="C395" s="10"/>
      <c r="D395" s="10"/>
      <c r="E395" s="10"/>
      <c r="F395" s="10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2"/>
      <c r="B396" s="8"/>
      <c r="C396" s="10"/>
      <c r="D396" s="10"/>
      <c r="E396" s="10"/>
      <c r="F396" s="10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2"/>
      <c r="B397" s="8"/>
      <c r="C397" s="10"/>
      <c r="D397" s="10"/>
      <c r="E397" s="10"/>
      <c r="F397" s="10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2"/>
      <c r="B398" s="8"/>
      <c r="C398" s="10"/>
      <c r="D398" s="10"/>
      <c r="E398" s="10"/>
      <c r="F398" s="10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2"/>
      <c r="B399" s="8"/>
      <c r="C399" s="10"/>
      <c r="D399" s="10"/>
      <c r="E399" s="10"/>
      <c r="F399" s="10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2"/>
      <c r="B400" s="8"/>
      <c r="C400" s="10"/>
      <c r="D400" s="10"/>
      <c r="E400" s="10"/>
      <c r="F400" s="10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2"/>
      <c r="B401" s="8"/>
      <c r="C401" s="10"/>
      <c r="D401" s="10"/>
      <c r="E401" s="10"/>
      <c r="F401" s="10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2"/>
      <c r="B402" s="8"/>
      <c r="C402" s="10"/>
      <c r="D402" s="10"/>
      <c r="E402" s="10"/>
      <c r="F402" s="10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2"/>
      <c r="B403" s="8"/>
      <c r="C403" s="10"/>
      <c r="D403" s="10"/>
      <c r="E403" s="10"/>
      <c r="F403" s="10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2"/>
      <c r="B404" s="8"/>
      <c r="C404" s="10"/>
      <c r="D404" s="10"/>
      <c r="E404" s="10"/>
      <c r="F404" s="10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2"/>
      <c r="B405" s="8"/>
      <c r="C405" s="10"/>
      <c r="D405" s="10"/>
      <c r="E405" s="10"/>
      <c r="F405" s="10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2"/>
      <c r="B406" s="8"/>
      <c r="C406" s="10"/>
      <c r="D406" s="10"/>
      <c r="E406" s="10"/>
      <c r="F406" s="10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2"/>
      <c r="B407" s="8"/>
      <c r="C407" s="10"/>
      <c r="D407" s="10"/>
      <c r="E407" s="10"/>
      <c r="F407" s="10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2"/>
      <c r="B408" s="8"/>
      <c r="C408" s="10"/>
      <c r="D408" s="10"/>
      <c r="E408" s="10"/>
      <c r="F408" s="10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2"/>
      <c r="B409" s="8"/>
      <c r="C409" s="10"/>
      <c r="D409" s="10"/>
      <c r="E409" s="10"/>
      <c r="F409" s="10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2"/>
      <c r="B410" s="8"/>
      <c r="C410" s="10"/>
      <c r="D410" s="10"/>
      <c r="E410" s="10"/>
      <c r="F410" s="10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2"/>
      <c r="B411" s="8"/>
      <c r="C411" s="10"/>
      <c r="D411" s="10"/>
      <c r="E411" s="10"/>
      <c r="F411" s="10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2"/>
      <c r="B412" s="8"/>
      <c r="C412" s="10"/>
      <c r="D412" s="10"/>
      <c r="E412" s="10"/>
      <c r="F412" s="10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2"/>
      <c r="B413" s="8"/>
      <c r="C413" s="10"/>
      <c r="D413" s="10"/>
      <c r="E413" s="10"/>
      <c r="F413" s="10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2"/>
      <c r="B414" s="8"/>
      <c r="C414" s="10"/>
      <c r="D414" s="10"/>
      <c r="E414" s="10"/>
      <c r="F414" s="10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2"/>
      <c r="B415" s="8"/>
      <c r="C415" s="10"/>
      <c r="D415" s="10"/>
      <c r="E415" s="10"/>
      <c r="F415" s="10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2"/>
      <c r="B416" s="8"/>
      <c r="C416" s="10"/>
      <c r="D416" s="10"/>
      <c r="E416" s="10"/>
      <c r="F416" s="10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2"/>
      <c r="B417" s="8"/>
      <c r="C417" s="10"/>
      <c r="D417" s="10"/>
      <c r="E417" s="10"/>
      <c r="F417" s="10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2"/>
      <c r="B418" s="8"/>
      <c r="C418" s="10"/>
      <c r="D418" s="10"/>
      <c r="E418" s="10"/>
      <c r="F418" s="10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2"/>
      <c r="B419" s="8"/>
      <c r="C419" s="10"/>
      <c r="D419" s="10"/>
      <c r="E419" s="10"/>
      <c r="F419" s="10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2"/>
      <c r="B420" s="8"/>
      <c r="C420" s="10"/>
      <c r="D420" s="10"/>
      <c r="E420" s="10"/>
      <c r="F420" s="10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2"/>
      <c r="B421" s="8"/>
      <c r="C421" s="10"/>
      <c r="D421" s="10"/>
      <c r="E421" s="10"/>
      <c r="F421" s="10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2"/>
      <c r="B422" s="8"/>
      <c r="C422" s="10"/>
      <c r="D422" s="10"/>
      <c r="E422" s="10"/>
      <c r="F422" s="10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2"/>
      <c r="B423" s="8"/>
      <c r="C423" s="10"/>
      <c r="D423" s="10"/>
      <c r="E423" s="10"/>
      <c r="F423" s="10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2"/>
      <c r="B424" s="8"/>
      <c r="C424" s="10"/>
      <c r="D424" s="10"/>
      <c r="E424" s="10"/>
      <c r="F424" s="10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2"/>
      <c r="B425" s="8"/>
      <c r="C425" s="10"/>
      <c r="D425" s="10"/>
      <c r="E425" s="10"/>
      <c r="F425" s="10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2"/>
      <c r="B426" s="8"/>
      <c r="C426" s="10"/>
      <c r="D426" s="10"/>
      <c r="E426" s="10"/>
      <c r="F426" s="10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2"/>
      <c r="B427" s="8"/>
      <c r="C427" s="10"/>
      <c r="D427" s="10"/>
      <c r="E427" s="10"/>
      <c r="F427" s="10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2"/>
      <c r="B428" s="8"/>
      <c r="C428" s="10"/>
      <c r="D428" s="10"/>
      <c r="E428" s="10"/>
      <c r="F428" s="10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2"/>
      <c r="B429" s="8"/>
      <c r="C429" s="10"/>
      <c r="D429" s="10"/>
      <c r="E429" s="10"/>
      <c r="F429" s="10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2"/>
      <c r="B430" s="8"/>
      <c r="C430" s="10"/>
      <c r="D430" s="10"/>
      <c r="E430" s="10"/>
      <c r="F430" s="10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2"/>
      <c r="B431" s="8"/>
      <c r="C431" s="10"/>
      <c r="D431" s="10"/>
      <c r="E431" s="10"/>
      <c r="F431" s="10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2"/>
      <c r="B432" s="8"/>
      <c r="C432" s="10"/>
      <c r="D432" s="10"/>
      <c r="E432" s="10"/>
      <c r="F432" s="10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2"/>
      <c r="B433" s="8"/>
      <c r="C433" s="10"/>
      <c r="D433" s="10"/>
      <c r="E433" s="10"/>
      <c r="F433" s="10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2"/>
      <c r="B434" s="8"/>
      <c r="C434" s="10"/>
      <c r="D434" s="10"/>
      <c r="E434" s="10"/>
      <c r="F434" s="10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2"/>
      <c r="B435" s="8"/>
      <c r="C435" s="10"/>
      <c r="D435" s="10"/>
      <c r="E435" s="10"/>
      <c r="F435" s="10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2"/>
      <c r="B436" s="8"/>
      <c r="C436" s="10"/>
      <c r="D436" s="10"/>
      <c r="E436" s="10"/>
      <c r="F436" s="10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2"/>
      <c r="B437" s="8"/>
      <c r="C437" s="10"/>
      <c r="D437" s="10"/>
      <c r="E437" s="10"/>
      <c r="F437" s="10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2"/>
      <c r="B438" s="8"/>
      <c r="C438" s="10"/>
      <c r="D438" s="10"/>
      <c r="E438" s="10"/>
      <c r="F438" s="10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2"/>
      <c r="B439" s="8"/>
      <c r="C439" s="10"/>
      <c r="D439" s="10"/>
      <c r="E439" s="10"/>
      <c r="F439" s="10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2"/>
      <c r="B440" s="8"/>
      <c r="C440" s="10"/>
      <c r="D440" s="10"/>
      <c r="E440" s="10"/>
      <c r="F440" s="10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2"/>
      <c r="B441" s="8"/>
      <c r="C441" s="10"/>
      <c r="D441" s="10"/>
      <c r="E441" s="10"/>
      <c r="F441" s="10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2"/>
      <c r="B442" s="8"/>
      <c r="C442" s="10"/>
      <c r="D442" s="10"/>
      <c r="E442" s="10"/>
      <c r="F442" s="10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2"/>
      <c r="B443" s="8"/>
      <c r="C443" s="10"/>
      <c r="D443" s="10"/>
      <c r="E443" s="10"/>
      <c r="F443" s="10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2"/>
      <c r="B444" s="8"/>
      <c r="C444" s="10"/>
      <c r="D444" s="10"/>
      <c r="E444" s="10"/>
      <c r="F444" s="10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2"/>
      <c r="B445" s="8"/>
      <c r="C445" s="10"/>
      <c r="D445" s="10"/>
      <c r="E445" s="10"/>
      <c r="F445" s="10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2"/>
      <c r="B446" s="8"/>
      <c r="C446" s="10"/>
      <c r="D446" s="10"/>
      <c r="E446" s="10"/>
      <c r="F446" s="10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2"/>
      <c r="B447" s="8"/>
      <c r="C447" s="10"/>
      <c r="D447" s="10"/>
      <c r="E447" s="10"/>
      <c r="F447" s="10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2"/>
      <c r="B448" s="8"/>
      <c r="C448" s="10"/>
      <c r="D448" s="10"/>
      <c r="E448" s="10"/>
      <c r="F448" s="10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2"/>
      <c r="B449" s="8"/>
      <c r="C449" s="10"/>
      <c r="D449" s="10"/>
      <c r="E449" s="10"/>
      <c r="F449" s="10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2"/>
      <c r="B450" s="8"/>
      <c r="C450" s="10"/>
      <c r="D450" s="10"/>
      <c r="E450" s="10"/>
      <c r="F450" s="10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2"/>
      <c r="B451" s="8"/>
      <c r="C451" s="10"/>
      <c r="D451" s="10"/>
      <c r="E451" s="10"/>
      <c r="F451" s="10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2"/>
      <c r="B452" s="8"/>
      <c r="C452" s="10"/>
      <c r="D452" s="10"/>
      <c r="E452" s="10"/>
      <c r="F452" s="10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2"/>
      <c r="B453" s="8"/>
      <c r="C453" s="10"/>
      <c r="D453" s="10"/>
      <c r="E453" s="10"/>
      <c r="F453" s="10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2"/>
      <c r="B454" s="8"/>
      <c r="C454" s="10"/>
      <c r="D454" s="10"/>
      <c r="E454" s="10"/>
      <c r="F454" s="10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2"/>
      <c r="B455" s="8"/>
      <c r="C455" s="10"/>
      <c r="D455" s="10"/>
      <c r="E455" s="10"/>
      <c r="F455" s="10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2"/>
      <c r="B456" s="8"/>
      <c r="C456" s="10"/>
      <c r="D456" s="10"/>
      <c r="E456" s="10"/>
      <c r="F456" s="10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2"/>
      <c r="B457" s="8"/>
      <c r="C457" s="10"/>
      <c r="D457" s="10"/>
      <c r="E457" s="10"/>
      <c r="F457" s="10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2"/>
      <c r="B458" s="8"/>
      <c r="C458" s="10"/>
      <c r="D458" s="10"/>
      <c r="E458" s="10"/>
      <c r="F458" s="10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2"/>
      <c r="B459" s="8"/>
      <c r="C459" s="10"/>
      <c r="D459" s="10"/>
      <c r="E459" s="10"/>
      <c r="F459" s="10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2"/>
      <c r="B460" s="8"/>
      <c r="C460" s="10"/>
      <c r="D460" s="10"/>
      <c r="E460" s="10"/>
      <c r="F460" s="10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2"/>
      <c r="B461" s="8"/>
      <c r="C461" s="10"/>
      <c r="D461" s="10"/>
      <c r="E461" s="10"/>
      <c r="F461" s="10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2"/>
      <c r="B462" s="8"/>
      <c r="C462" s="10"/>
      <c r="D462" s="10"/>
      <c r="E462" s="10"/>
      <c r="F462" s="10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2"/>
      <c r="B463" s="8"/>
      <c r="C463" s="10"/>
      <c r="D463" s="10"/>
      <c r="E463" s="10"/>
      <c r="F463" s="10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2"/>
      <c r="B464" s="8"/>
      <c r="C464" s="10"/>
      <c r="D464" s="10"/>
      <c r="E464" s="10"/>
      <c r="F464" s="10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2"/>
      <c r="B465" s="8"/>
      <c r="C465" s="10"/>
      <c r="D465" s="10"/>
      <c r="E465" s="10"/>
      <c r="F465" s="10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2"/>
      <c r="B466" s="8"/>
      <c r="C466" s="10"/>
      <c r="D466" s="10"/>
      <c r="E466" s="10"/>
      <c r="F466" s="10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8"/>
      <c r="C467" s="10"/>
      <c r="D467" s="10"/>
      <c r="E467" s="10"/>
      <c r="F467" s="10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8"/>
      <c r="C468" s="10"/>
      <c r="D468" s="10"/>
      <c r="E468" s="10"/>
      <c r="F468" s="10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8"/>
      <c r="C469" s="10"/>
      <c r="D469" s="10"/>
      <c r="E469" s="10"/>
      <c r="F469" s="10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8"/>
      <c r="C470" s="10"/>
      <c r="D470" s="10"/>
      <c r="E470" s="10"/>
      <c r="F470" s="10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8"/>
      <c r="C471" s="10"/>
      <c r="D471" s="10"/>
      <c r="E471" s="10"/>
      <c r="F471" s="10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8"/>
      <c r="C472" s="10"/>
      <c r="D472" s="10"/>
      <c r="E472" s="10"/>
      <c r="F472" s="10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8"/>
      <c r="C473" s="10"/>
      <c r="D473" s="10"/>
      <c r="E473" s="10"/>
      <c r="F473" s="10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8"/>
      <c r="C474" s="10"/>
      <c r="D474" s="10"/>
      <c r="E474" s="10"/>
      <c r="F474" s="10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8"/>
      <c r="C475" s="10"/>
      <c r="D475" s="10"/>
      <c r="E475" s="10"/>
      <c r="F475" s="10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8"/>
      <c r="C476" s="10"/>
      <c r="D476" s="10"/>
      <c r="E476" s="10"/>
      <c r="F476" s="10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8"/>
      <c r="C477" s="10"/>
      <c r="D477" s="10"/>
      <c r="E477" s="10"/>
      <c r="F477" s="10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8"/>
      <c r="C478" s="10"/>
      <c r="D478" s="10"/>
      <c r="E478" s="10"/>
      <c r="F478" s="10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8"/>
      <c r="C479" s="10"/>
      <c r="D479" s="10"/>
      <c r="E479" s="10"/>
      <c r="F479" s="10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8"/>
      <c r="C480" s="10"/>
      <c r="D480" s="10"/>
      <c r="E480" s="10"/>
      <c r="F480" s="10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8"/>
      <c r="C481" s="10"/>
      <c r="D481" s="10"/>
      <c r="E481" s="10"/>
      <c r="F481" s="10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8"/>
      <c r="C482" s="10"/>
      <c r="D482" s="10"/>
      <c r="E482" s="10"/>
      <c r="F482" s="10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8"/>
      <c r="C483" s="10"/>
      <c r="D483" s="10"/>
      <c r="E483" s="10"/>
      <c r="F483" s="10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8"/>
      <c r="C484" s="10"/>
      <c r="D484" s="10"/>
      <c r="E484" s="10"/>
      <c r="F484" s="10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8"/>
      <c r="C485" s="10"/>
      <c r="D485" s="10"/>
      <c r="E485" s="10"/>
      <c r="F485" s="10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8"/>
      <c r="C486" s="10"/>
      <c r="D486" s="10"/>
      <c r="E486" s="10"/>
      <c r="F486" s="10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8"/>
      <c r="C487" s="10"/>
      <c r="D487" s="10"/>
      <c r="E487" s="10"/>
      <c r="F487" s="10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8"/>
      <c r="C488" s="10"/>
      <c r="D488" s="10"/>
      <c r="E488" s="10"/>
      <c r="F488" s="10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8"/>
      <c r="C489" s="10"/>
      <c r="D489" s="10"/>
      <c r="E489" s="10"/>
      <c r="F489" s="10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8"/>
      <c r="C490" s="10"/>
      <c r="D490" s="10"/>
      <c r="E490" s="10"/>
      <c r="F490" s="10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8"/>
      <c r="C491" s="10"/>
      <c r="D491" s="10"/>
      <c r="E491" s="10"/>
      <c r="F491" s="10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8"/>
      <c r="C492" s="10"/>
      <c r="D492" s="10"/>
      <c r="E492" s="10"/>
      <c r="F492" s="10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8"/>
      <c r="C493" s="10"/>
      <c r="D493" s="10"/>
      <c r="E493" s="10"/>
      <c r="F493" s="10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8"/>
      <c r="C494" s="10"/>
      <c r="D494" s="10"/>
      <c r="E494" s="10"/>
      <c r="F494" s="10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8"/>
      <c r="C495" s="10"/>
      <c r="D495" s="10"/>
      <c r="E495" s="10"/>
      <c r="F495" s="10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8"/>
      <c r="C496" s="10"/>
      <c r="D496" s="10"/>
      <c r="E496" s="10"/>
      <c r="F496" s="10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8"/>
      <c r="C497" s="10"/>
      <c r="D497" s="10"/>
      <c r="E497" s="10"/>
      <c r="F497" s="10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8"/>
      <c r="C498" s="10"/>
      <c r="D498" s="10"/>
      <c r="E498" s="10"/>
      <c r="F498" s="10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8"/>
      <c r="C499" s="10"/>
      <c r="D499" s="10"/>
      <c r="E499" s="10"/>
      <c r="F499" s="10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8"/>
      <c r="C500" s="10"/>
      <c r="D500" s="10"/>
      <c r="E500" s="10"/>
      <c r="F500" s="10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8"/>
      <c r="C501" s="10"/>
      <c r="D501" s="10"/>
      <c r="E501" s="10"/>
      <c r="F501" s="10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8"/>
      <c r="C502" s="10"/>
      <c r="D502" s="10"/>
      <c r="E502" s="10"/>
      <c r="F502" s="10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8"/>
      <c r="C503" s="10"/>
      <c r="D503" s="10"/>
      <c r="E503" s="10"/>
      <c r="F503" s="10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8"/>
      <c r="C504" s="10"/>
      <c r="D504" s="10"/>
      <c r="E504" s="10"/>
      <c r="F504" s="10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8"/>
      <c r="C505" s="10"/>
      <c r="D505" s="10"/>
      <c r="E505" s="10"/>
      <c r="F505" s="10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8"/>
      <c r="C506" s="10"/>
      <c r="D506" s="10"/>
      <c r="E506" s="10"/>
      <c r="F506" s="10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8"/>
      <c r="C507" s="10"/>
      <c r="D507" s="10"/>
      <c r="E507" s="10"/>
      <c r="F507" s="10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8"/>
      <c r="C508" s="10"/>
      <c r="D508" s="10"/>
      <c r="E508" s="10"/>
      <c r="F508" s="10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8"/>
      <c r="C509" s="10"/>
      <c r="D509" s="10"/>
      <c r="E509" s="10"/>
      <c r="F509" s="10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8"/>
      <c r="C510" s="10"/>
      <c r="D510" s="10"/>
      <c r="E510" s="10"/>
      <c r="F510" s="10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8"/>
      <c r="C511" s="10"/>
      <c r="D511" s="10"/>
      <c r="E511" s="10"/>
      <c r="F511" s="10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8"/>
      <c r="C512" s="10"/>
      <c r="D512" s="10"/>
      <c r="E512" s="10"/>
      <c r="F512" s="10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8"/>
      <c r="C513" s="10"/>
      <c r="D513" s="10"/>
      <c r="E513" s="10"/>
      <c r="F513" s="10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8"/>
      <c r="C514" s="10"/>
      <c r="D514" s="10"/>
      <c r="E514" s="10"/>
      <c r="F514" s="10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8"/>
      <c r="C515" s="10"/>
      <c r="D515" s="10"/>
      <c r="E515" s="10"/>
      <c r="F515" s="10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8"/>
      <c r="C516" s="10"/>
      <c r="D516" s="10"/>
      <c r="E516" s="10"/>
      <c r="F516" s="10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8"/>
      <c r="C517" s="10"/>
      <c r="D517" s="10"/>
      <c r="E517" s="10"/>
      <c r="F517" s="10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8"/>
      <c r="C518" s="10"/>
      <c r="D518" s="10"/>
      <c r="E518" s="10"/>
      <c r="F518" s="10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8"/>
      <c r="C519" s="10"/>
      <c r="D519" s="10"/>
      <c r="E519" s="10"/>
      <c r="F519" s="10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8"/>
      <c r="C520" s="10"/>
      <c r="D520" s="10"/>
      <c r="E520" s="10"/>
      <c r="F520" s="10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8"/>
      <c r="C521" s="10"/>
      <c r="D521" s="10"/>
      <c r="E521" s="10"/>
      <c r="F521" s="10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8"/>
      <c r="C522" s="10"/>
      <c r="D522" s="10"/>
      <c r="E522" s="10"/>
      <c r="F522" s="10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8"/>
      <c r="C523" s="10"/>
      <c r="D523" s="10"/>
      <c r="E523" s="10"/>
      <c r="F523" s="10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8"/>
      <c r="C524" s="10"/>
      <c r="D524" s="10"/>
      <c r="E524" s="10"/>
      <c r="F524" s="10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8"/>
      <c r="C525" s="10"/>
      <c r="D525" s="10"/>
      <c r="E525" s="10"/>
      <c r="F525" s="10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8"/>
      <c r="C526" s="10"/>
      <c r="D526" s="10"/>
      <c r="E526" s="10"/>
      <c r="F526" s="10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8"/>
      <c r="C527" s="10"/>
      <c r="D527" s="10"/>
      <c r="E527" s="10"/>
      <c r="F527" s="10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8"/>
      <c r="C528" s="10"/>
      <c r="D528" s="10"/>
      <c r="E528" s="10"/>
      <c r="F528" s="10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8"/>
      <c r="C529" s="10"/>
      <c r="D529" s="10"/>
      <c r="E529" s="10"/>
      <c r="F529" s="10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8"/>
      <c r="C530" s="10"/>
      <c r="D530" s="10"/>
      <c r="E530" s="10"/>
      <c r="F530" s="10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8"/>
      <c r="C531" s="10"/>
      <c r="D531" s="10"/>
      <c r="E531" s="10"/>
      <c r="F531" s="10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8"/>
      <c r="C532" s="10"/>
      <c r="D532" s="10"/>
      <c r="E532" s="10"/>
      <c r="F532" s="10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8"/>
      <c r="C533" s="10"/>
      <c r="D533" s="10"/>
      <c r="E533" s="10"/>
      <c r="F533" s="10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8"/>
      <c r="C534" s="10"/>
      <c r="D534" s="10"/>
      <c r="E534" s="10"/>
      <c r="F534" s="10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8"/>
      <c r="C535" s="10"/>
      <c r="D535" s="10"/>
      <c r="E535" s="10"/>
      <c r="F535" s="10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8"/>
      <c r="C536" s="10"/>
      <c r="D536" s="10"/>
      <c r="E536" s="10"/>
      <c r="F536" s="10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8"/>
      <c r="C537" s="10"/>
      <c r="D537" s="10"/>
      <c r="E537" s="10"/>
      <c r="F537" s="10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8"/>
      <c r="C538" s="10"/>
      <c r="D538" s="10"/>
      <c r="E538" s="10"/>
      <c r="F538" s="10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8"/>
      <c r="C539" s="10"/>
      <c r="D539" s="10"/>
      <c r="E539" s="10"/>
      <c r="F539" s="10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8"/>
      <c r="C540" s="10"/>
      <c r="D540" s="10"/>
      <c r="E540" s="10"/>
      <c r="F540" s="10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8"/>
      <c r="C541" s="10"/>
      <c r="D541" s="10"/>
      <c r="E541" s="10"/>
      <c r="F541" s="10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8"/>
      <c r="C542" s="10"/>
      <c r="D542" s="10"/>
      <c r="E542" s="10"/>
      <c r="F542" s="10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8"/>
      <c r="C543" s="10"/>
      <c r="D543" s="10"/>
      <c r="E543" s="10"/>
      <c r="F543" s="10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8"/>
      <c r="C544" s="10"/>
      <c r="D544" s="10"/>
      <c r="E544" s="10"/>
      <c r="F544" s="10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8"/>
      <c r="C545" s="10"/>
      <c r="D545" s="10"/>
      <c r="E545" s="10"/>
      <c r="F545" s="10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8"/>
      <c r="C546" s="10"/>
      <c r="D546" s="10"/>
      <c r="E546" s="10"/>
      <c r="F546" s="10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8"/>
      <c r="C547" s="10"/>
      <c r="D547" s="10"/>
      <c r="E547" s="10"/>
      <c r="F547" s="10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8"/>
      <c r="C548" s="10"/>
      <c r="D548" s="10"/>
      <c r="E548" s="10"/>
      <c r="F548" s="10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8"/>
      <c r="C549" s="10"/>
      <c r="D549" s="10"/>
      <c r="E549" s="10"/>
      <c r="F549" s="10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8"/>
      <c r="C550" s="10"/>
      <c r="D550" s="10"/>
      <c r="E550" s="10"/>
      <c r="F550" s="10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8"/>
      <c r="C551" s="10"/>
      <c r="D551" s="10"/>
      <c r="E551" s="10"/>
      <c r="F551" s="10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8"/>
      <c r="C552" s="10"/>
      <c r="D552" s="10"/>
      <c r="E552" s="10"/>
      <c r="F552" s="10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8"/>
      <c r="C553" s="10"/>
      <c r="D553" s="10"/>
      <c r="E553" s="10"/>
      <c r="F553" s="10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8"/>
      <c r="C554" s="10"/>
      <c r="D554" s="10"/>
      <c r="E554" s="10"/>
      <c r="F554" s="10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8"/>
      <c r="C555" s="10"/>
      <c r="D555" s="10"/>
      <c r="E555" s="10"/>
      <c r="F555" s="10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8"/>
      <c r="C556" s="10"/>
      <c r="D556" s="10"/>
      <c r="E556" s="10"/>
      <c r="F556" s="10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8"/>
      <c r="C557" s="10"/>
      <c r="D557" s="10"/>
      <c r="E557" s="10"/>
      <c r="F557" s="10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8"/>
      <c r="C558" s="10"/>
      <c r="D558" s="10"/>
      <c r="E558" s="10"/>
      <c r="F558" s="10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8"/>
      <c r="C559" s="10"/>
      <c r="D559" s="10"/>
      <c r="E559" s="10"/>
      <c r="F559" s="10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8"/>
      <c r="C560" s="10"/>
      <c r="D560" s="10"/>
      <c r="E560" s="10"/>
      <c r="F560" s="10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8"/>
      <c r="C561" s="10"/>
      <c r="D561" s="10"/>
      <c r="E561" s="10"/>
      <c r="F561" s="10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8"/>
      <c r="C562" s="10"/>
      <c r="D562" s="10"/>
      <c r="E562" s="10"/>
      <c r="F562" s="10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8"/>
      <c r="C563" s="10"/>
      <c r="D563" s="10"/>
      <c r="E563" s="10"/>
      <c r="F563" s="10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8"/>
      <c r="C564" s="10"/>
      <c r="D564" s="10"/>
      <c r="E564" s="10"/>
      <c r="F564" s="10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8"/>
      <c r="C565" s="10"/>
      <c r="D565" s="10"/>
      <c r="E565" s="10"/>
      <c r="F565" s="10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8"/>
      <c r="C566" s="10"/>
      <c r="D566" s="10"/>
      <c r="E566" s="10"/>
      <c r="F566" s="10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8"/>
      <c r="C567" s="10"/>
      <c r="D567" s="10"/>
      <c r="E567" s="10"/>
      <c r="F567" s="10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8"/>
      <c r="C568" s="10"/>
      <c r="D568" s="10"/>
      <c r="E568" s="10"/>
      <c r="F568" s="10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8"/>
      <c r="C569" s="10"/>
      <c r="D569" s="10"/>
      <c r="E569" s="10"/>
      <c r="F569" s="10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8"/>
      <c r="C570" s="10"/>
      <c r="D570" s="10"/>
      <c r="E570" s="10"/>
      <c r="F570" s="10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8"/>
      <c r="C571" s="10"/>
      <c r="D571" s="10"/>
      <c r="E571" s="10"/>
      <c r="F571" s="10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8"/>
      <c r="C572" s="10"/>
      <c r="D572" s="10"/>
      <c r="E572" s="10"/>
      <c r="F572" s="10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8"/>
      <c r="C573" s="10"/>
      <c r="D573" s="10"/>
      <c r="E573" s="10"/>
      <c r="F573" s="10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8"/>
      <c r="C574" s="10"/>
      <c r="D574" s="10"/>
      <c r="E574" s="10"/>
      <c r="F574" s="10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8"/>
      <c r="C575" s="10"/>
      <c r="D575" s="10"/>
      <c r="E575" s="10"/>
      <c r="F575" s="10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8"/>
      <c r="C576" s="10"/>
      <c r="D576" s="10"/>
      <c r="E576" s="10"/>
      <c r="F576" s="10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8"/>
      <c r="C577" s="10"/>
      <c r="D577" s="10"/>
      <c r="E577" s="10"/>
      <c r="F577" s="10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8"/>
      <c r="C578" s="10"/>
      <c r="D578" s="10"/>
      <c r="E578" s="10"/>
      <c r="F578" s="10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8"/>
      <c r="C579" s="10"/>
      <c r="D579" s="10"/>
      <c r="E579" s="10"/>
      <c r="F579" s="10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8"/>
      <c r="C580" s="10"/>
      <c r="D580" s="10"/>
      <c r="E580" s="10"/>
      <c r="F580" s="10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8"/>
      <c r="C581" s="10"/>
      <c r="D581" s="10"/>
      <c r="E581" s="10"/>
      <c r="F581" s="10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8"/>
      <c r="C582" s="10"/>
      <c r="D582" s="10"/>
      <c r="E582" s="10"/>
      <c r="F582" s="10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8"/>
      <c r="C583" s="10"/>
      <c r="D583" s="10"/>
      <c r="E583" s="10"/>
      <c r="F583" s="10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8"/>
      <c r="C584" s="10"/>
      <c r="D584" s="10"/>
      <c r="E584" s="10"/>
      <c r="F584" s="10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8"/>
      <c r="C585" s="10"/>
      <c r="D585" s="10"/>
      <c r="E585" s="10"/>
      <c r="F585" s="10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8"/>
      <c r="C586" s="10"/>
      <c r="D586" s="10"/>
      <c r="E586" s="10"/>
      <c r="F586" s="10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8"/>
      <c r="C587" s="10"/>
      <c r="D587" s="10"/>
      <c r="E587" s="10"/>
      <c r="F587" s="10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8"/>
      <c r="C588" s="10"/>
      <c r="D588" s="10"/>
      <c r="E588" s="10"/>
      <c r="F588" s="10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8"/>
      <c r="C589" s="10"/>
      <c r="D589" s="10"/>
      <c r="E589" s="10"/>
      <c r="F589" s="10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8"/>
      <c r="C590" s="10"/>
      <c r="D590" s="10"/>
      <c r="E590" s="10"/>
      <c r="F590" s="10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8"/>
      <c r="C591" s="10"/>
      <c r="D591" s="10"/>
      <c r="E591" s="10"/>
      <c r="F591" s="10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8"/>
      <c r="C592" s="10"/>
      <c r="D592" s="10"/>
      <c r="E592" s="10"/>
      <c r="F592" s="10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8"/>
      <c r="C593" s="10"/>
      <c r="D593" s="10"/>
      <c r="E593" s="10"/>
      <c r="F593" s="10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8"/>
      <c r="C594" s="10"/>
      <c r="D594" s="10"/>
      <c r="E594" s="10"/>
      <c r="F594" s="10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8"/>
      <c r="C595" s="10"/>
      <c r="D595" s="10"/>
      <c r="E595" s="10"/>
      <c r="F595" s="10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8"/>
      <c r="C596" s="10"/>
      <c r="D596" s="10"/>
      <c r="E596" s="10"/>
      <c r="F596" s="10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8"/>
      <c r="C597" s="10"/>
      <c r="D597" s="10"/>
      <c r="E597" s="10"/>
      <c r="F597" s="10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8"/>
      <c r="C598" s="10"/>
      <c r="D598" s="10"/>
      <c r="E598" s="10"/>
      <c r="F598" s="10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8"/>
      <c r="C599" s="10"/>
      <c r="D599" s="10"/>
      <c r="E599" s="10"/>
      <c r="F599" s="10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8"/>
      <c r="C600" s="10"/>
      <c r="D600" s="10"/>
      <c r="E600" s="10"/>
      <c r="F600" s="10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8"/>
      <c r="C601" s="10"/>
      <c r="D601" s="10"/>
      <c r="E601" s="10"/>
      <c r="F601" s="10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8"/>
      <c r="C602" s="10"/>
      <c r="D602" s="10"/>
      <c r="E602" s="10"/>
      <c r="F602" s="10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8"/>
      <c r="C603" s="10"/>
      <c r="D603" s="10"/>
      <c r="E603" s="10"/>
      <c r="F603" s="10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8"/>
      <c r="C604" s="10"/>
      <c r="D604" s="10"/>
      <c r="E604" s="10"/>
      <c r="F604" s="10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8"/>
      <c r="C605" s="10"/>
      <c r="D605" s="10"/>
      <c r="E605" s="10"/>
      <c r="F605" s="10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8"/>
      <c r="C606" s="10"/>
      <c r="D606" s="10"/>
      <c r="E606" s="10"/>
      <c r="F606" s="10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8"/>
      <c r="C607" s="10"/>
      <c r="D607" s="10"/>
      <c r="E607" s="10"/>
      <c r="F607" s="10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8"/>
      <c r="C608" s="10"/>
      <c r="D608" s="10"/>
      <c r="E608" s="10"/>
      <c r="F608" s="10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8"/>
      <c r="C609" s="10"/>
      <c r="D609" s="10"/>
      <c r="E609" s="10"/>
      <c r="F609" s="10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8"/>
      <c r="C610" s="10"/>
      <c r="D610" s="10"/>
      <c r="E610" s="10"/>
      <c r="F610" s="10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8"/>
      <c r="C611" s="10"/>
      <c r="D611" s="10"/>
      <c r="E611" s="10"/>
      <c r="F611" s="10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8"/>
      <c r="C612" s="10"/>
      <c r="D612" s="10"/>
      <c r="E612" s="10"/>
      <c r="F612" s="10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8"/>
      <c r="C613" s="10"/>
      <c r="D613" s="10"/>
      <c r="E613" s="10"/>
      <c r="F613" s="10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8"/>
      <c r="C614" s="10"/>
      <c r="D614" s="10"/>
      <c r="E614" s="10"/>
      <c r="F614" s="10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8"/>
      <c r="C615" s="10"/>
      <c r="D615" s="10"/>
      <c r="E615" s="10"/>
      <c r="F615" s="10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8"/>
      <c r="C616" s="10"/>
      <c r="D616" s="10"/>
      <c r="E616" s="10"/>
      <c r="F616" s="10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8"/>
      <c r="C617" s="10"/>
      <c r="D617" s="10"/>
      <c r="E617" s="10"/>
      <c r="F617" s="10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8"/>
      <c r="C618" s="10"/>
      <c r="D618" s="10"/>
      <c r="E618" s="10"/>
      <c r="F618" s="10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8"/>
      <c r="C619" s="10"/>
      <c r="D619" s="10"/>
      <c r="E619" s="10"/>
      <c r="F619" s="10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8"/>
      <c r="C620" s="10"/>
      <c r="D620" s="10"/>
      <c r="E620" s="10"/>
      <c r="F620" s="10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8"/>
      <c r="C621" s="10"/>
      <c r="D621" s="10"/>
      <c r="E621" s="10"/>
      <c r="F621" s="10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8"/>
      <c r="C622" s="10"/>
      <c r="D622" s="10"/>
      <c r="E622" s="10"/>
      <c r="F622" s="10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8"/>
      <c r="C623" s="10"/>
      <c r="D623" s="10"/>
      <c r="E623" s="10"/>
      <c r="F623" s="10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8"/>
      <c r="C624" s="10"/>
      <c r="D624" s="10"/>
      <c r="E624" s="10"/>
      <c r="F624" s="10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8"/>
      <c r="C625" s="10"/>
      <c r="D625" s="10"/>
      <c r="E625" s="10"/>
      <c r="F625" s="10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8"/>
      <c r="C626" s="10"/>
      <c r="D626" s="10"/>
      <c r="E626" s="10"/>
      <c r="F626" s="10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8"/>
      <c r="C627" s="10"/>
      <c r="D627" s="10"/>
      <c r="E627" s="10"/>
      <c r="F627" s="10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8"/>
      <c r="C628" s="10"/>
      <c r="D628" s="10"/>
      <c r="E628" s="10"/>
      <c r="F628" s="10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8"/>
      <c r="C629" s="10"/>
      <c r="D629" s="10"/>
      <c r="E629" s="10"/>
      <c r="F629" s="10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8"/>
      <c r="C630" s="10"/>
      <c r="D630" s="10"/>
      <c r="E630" s="10"/>
      <c r="F630" s="10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8"/>
      <c r="C631" s="10"/>
      <c r="D631" s="10"/>
      <c r="E631" s="10"/>
      <c r="F631" s="10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8"/>
      <c r="C632" s="10"/>
      <c r="D632" s="10"/>
      <c r="E632" s="10"/>
      <c r="F632" s="10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8"/>
      <c r="C633" s="10"/>
      <c r="D633" s="10"/>
      <c r="E633" s="10"/>
      <c r="F633" s="10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8"/>
      <c r="C634" s="10"/>
      <c r="D634" s="10"/>
      <c r="E634" s="10"/>
      <c r="F634" s="10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8"/>
      <c r="C635" s="10"/>
      <c r="D635" s="10"/>
      <c r="E635" s="10"/>
      <c r="F635" s="10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8"/>
      <c r="C636" s="10"/>
      <c r="D636" s="10"/>
      <c r="E636" s="10"/>
      <c r="F636" s="10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8"/>
      <c r="C637" s="10"/>
      <c r="D637" s="10"/>
      <c r="E637" s="10"/>
      <c r="F637" s="10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8"/>
      <c r="C638" s="10"/>
      <c r="D638" s="10"/>
      <c r="E638" s="10"/>
      <c r="F638" s="10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8"/>
      <c r="C639" s="10"/>
      <c r="D639" s="10"/>
      <c r="E639" s="10"/>
      <c r="F639" s="10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8"/>
      <c r="C640" s="10"/>
      <c r="D640" s="10"/>
      <c r="E640" s="10"/>
      <c r="F640" s="10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8"/>
      <c r="C641" s="10"/>
      <c r="D641" s="10"/>
      <c r="E641" s="10"/>
      <c r="F641" s="10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8"/>
      <c r="C642" s="10"/>
      <c r="D642" s="10"/>
      <c r="E642" s="10"/>
      <c r="F642" s="10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8"/>
      <c r="C643" s="10"/>
      <c r="D643" s="10"/>
      <c r="E643" s="10"/>
      <c r="F643" s="10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8"/>
      <c r="C644" s="10"/>
      <c r="D644" s="10"/>
      <c r="E644" s="10"/>
      <c r="F644" s="10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8"/>
      <c r="C645" s="10"/>
      <c r="D645" s="10"/>
      <c r="E645" s="10"/>
      <c r="F645" s="10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8"/>
      <c r="C646" s="10"/>
      <c r="D646" s="10"/>
      <c r="E646" s="10"/>
      <c r="F646" s="10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8"/>
      <c r="C647" s="10"/>
      <c r="D647" s="10"/>
      <c r="E647" s="10"/>
      <c r="F647" s="10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8"/>
      <c r="C648" s="10"/>
      <c r="D648" s="10"/>
      <c r="E648" s="10"/>
      <c r="F648" s="10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8"/>
      <c r="C649" s="10"/>
      <c r="D649" s="10"/>
      <c r="E649" s="10"/>
      <c r="F649" s="10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8"/>
      <c r="C650" s="10"/>
      <c r="D650" s="10"/>
      <c r="E650" s="10"/>
      <c r="F650" s="10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8"/>
      <c r="C651" s="10"/>
      <c r="D651" s="10"/>
      <c r="E651" s="10"/>
      <c r="F651" s="10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8"/>
      <c r="C652" s="10"/>
      <c r="D652" s="10"/>
      <c r="E652" s="10"/>
      <c r="F652" s="10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8"/>
      <c r="C653" s="10"/>
      <c r="D653" s="10"/>
      <c r="E653" s="10"/>
      <c r="F653" s="10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8"/>
      <c r="C654" s="10"/>
      <c r="D654" s="10"/>
      <c r="E654" s="10"/>
      <c r="F654" s="10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8"/>
      <c r="C655" s="10"/>
      <c r="D655" s="10"/>
      <c r="E655" s="10"/>
      <c r="F655" s="10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8"/>
      <c r="C656" s="10"/>
      <c r="D656" s="10"/>
      <c r="E656" s="10"/>
      <c r="F656" s="10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8"/>
      <c r="C657" s="10"/>
      <c r="D657" s="10"/>
      <c r="E657" s="10"/>
      <c r="F657" s="10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8"/>
      <c r="C658" s="10"/>
      <c r="D658" s="10"/>
      <c r="E658" s="10"/>
      <c r="F658" s="10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8"/>
      <c r="C659" s="10"/>
      <c r="D659" s="10"/>
      <c r="E659" s="10"/>
      <c r="F659" s="10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8"/>
      <c r="C660" s="10"/>
      <c r="D660" s="10"/>
      <c r="E660" s="10"/>
      <c r="F660" s="10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8"/>
      <c r="C661" s="10"/>
      <c r="D661" s="10"/>
      <c r="E661" s="10"/>
      <c r="F661" s="10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8"/>
      <c r="C662" s="10"/>
      <c r="D662" s="10"/>
      <c r="E662" s="10"/>
      <c r="F662" s="10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8"/>
      <c r="C663" s="10"/>
      <c r="D663" s="10"/>
      <c r="E663" s="10"/>
      <c r="F663" s="10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8"/>
      <c r="C664" s="10"/>
      <c r="D664" s="10"/>
      <c r="E664" s="10"/>
      <c r="F664" s="10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8"/>
      <c r="C665" s="10"/>
      <c r="D665" s="10"/>
      <c r="E665" s="10"/>
      <c r="F665" s="10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8"/>
      <c r="C666" s="10"/>
      <c r="D666" s="10"/>
      <c r="E666" s="10"/>
      <c r="F666" s="10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8"/>
      <c r="C667" s="10"/>
      <c r="D667" s="10"/>
      <c r="E667" s="10"/>
      <c r="F667" s="10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8"/>
      <c r="C668" s="10"/>
      <c r="D668" s="10"/>
      <c r="E668" s="10"/>
      <c r="F668" s="10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8"/>
      <c r="C669" s="10"/>
      <c r="D669" s="10"/>
      <c r="E669" s="10"/>
      <c r="F669" s="10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8"/>
      <c r="C670" s="10"/>
      <c r="D670" s="10"/>
      <c r="E670" s="10"/>
      <c r="F670" s="10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8"/>
      <c r="C671" s="10"/>
      <c r="D671" s="10"/>
      <c r="E671" s="10"/>
      <c r="F671" s="10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8"/>
      <c r="C672" s="10"/>
      <c r="D672" s="10"/>
      <c r="E672" s="10"/>
      <c r="F672" s="10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8"/>
      <c r="C673" s="10"/>
      <c r="D673" s="10"/>
      <c r="E673" s="10"/>
      <c r="F673" s="10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8"/>
      <c r="C674" s="10"/>
      <c r="D674" s="10"/>
      <c r="E674" s="10"/>
      <c r="F674" s="10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8"/>
      <c r="C675" s="10"/>
      <c r="D675" s="10"/>
      <c r="E675" s="10"/>
      <c r="F675" s="10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8"/>
      <c r="C676" s="10"/>
      <c r="D676" s="10"/>
      <c r="E676" s="10"/>
      <c r="F676" s="10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8"/>
      <c r="C677" s="10"/>
      <c r="D677" s="10"/>
      <c r="E677" s="10"/>
      <c r="F677" s="10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8"/>
      <c r="C678" s="10"/>
      <c r="D678" s="10"/>
      <c r="E678" s="10"/>
      <c r="F678" s="10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8"/>
      <c r="C679" s="10"/>
      <c r="D679" s="10"/>
      <c r="E679" s="10"/>
      <c r="F679" s="10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8"/>
      <c r="C680" s="10"/>
      <c r="D680" s="10"/>
      <c r="E680" s="10"/>
      <c r="F680" s="10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8"/>
      <c r="C681" s="10"/>
      <c r="D681" s="10"/>
      <c r="E681" s="10"/>
      <c r="F681" s="10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8"/>
      <c r="C682" s="10"/>
      <c r="D682" s="10"/>
      <c r="E682" s="10"/>
      <c r="F682" s="10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8"/>
      <c r="C683" s="10"/>
      <c r="D683" s="10"/>
      <c r="E683" s="10"/>
      <c r="F683" s="10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8"/>
      <c r="C684" s="10"/>
      <c r="D684" s="10"/>
      <c r="E684" s="10"/>
      <c r="F684" s="10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8"/>
      <c r="C685" s="10"/>
      <c r="D685" s="10"/>
      <c r="E685" s="10"/>
      <c r="F685" s="10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8"/>
      <c r="C686" s="10"/>
      <c r="D686" s="10"/>
      <c r="E686" s="10"/>
      <c r="F686" s="10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8"/>
      <c r="C687" s="10"/>
      <c r="D687" s="10"/>
      <c r="E687" s="10"/>
      <c r="F687" s="10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8"/>
      <c r="C688" s="10"/>
      <c r="D688" s="10"/>
      <c r="E688" s="10"/>
      <c r="F688" s="10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8"/>
      <c r="C689" s="10"/>
      <c r="D689" s="10"/>
      <c r="E689" s="10"/>
      <c r="F689" s="10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8"/>
      <c r="C690" s="10"/>
      <c r="D690" s="10"/>
      <c r="E690" s="10"/>
      <c r="F690" s="10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8"/>
      <c r="C691" s="10"/>
      <c r="D691" s="10"/>
      <c r="E691" s="10"/>
      <c r="F691" s="10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8"/>
      <c r="C692" s="10"/>
      <c r="D692" s="10"/>
      <c r="E692" s="10"/>
      <c r="F692" s="10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8"/>
      <c r="C693" s="10"/>
      <c r="D693" s="10"/>
      <c r="E693" s="10"/>
      <c r="F693" s="10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8"/>
      <c r="C694" s="10"/>
      <c r="D694" s="10"/>
      <c r="E694" s="10"/>
      <c r="F694" s="10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8"/>
      <c r="C695" s="10"/>
      <c r="D695" s="10"/>
      <c r="E695" s="10"/>
      <c r="F695" s="10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8"/>
      <c r="C696" s="10"/>
      <c r="D696" s="10"/>
      <c r="E696" s="10"/>
      <c r="F696" s="10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8"/>
      <c r="C697" s="10"/>
      <c r="D697" s="10"/>
      <c r="E697" s="10"/>
      <c r="F697" s="10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8"/>
      <c r="C698" s="10"/>
      <c r="D698" s="10"/>
      <c r="E698" s="10"/>
      <c r="F698" s="10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8"/>
      <c r="C699" s="10"/>
      <c r="D699" s="10"/>
      <c r="E699" s="10"/>
      <c r="F699" s="10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8"/>
      <c r="C700" s="10"/>
      <c r="D700" s="10"/>
      <c r="E700" s="10"/>
      <c r="F700" s="10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8"/>
      <c r="C701" s="10"/>
      <c r="D701" s="10"/>
      <c r="E701" s="10"/>
      <c r="F701" s="10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8"/>
      <c r="C702" s="10"/>
      <c r="D702" s="10"/>
      <c r="E702" s="10"/>
      <c r="F702" s="10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8"/>
      <c r="C703" s="10"/>
      <c r="D703" s="10"/>
      <c r="E703" s="10"/>
      <c r="F703" s="10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8"/>
      <c r="C704" s="10"/>
      <c r="D704" s="10"/>
      <c r="E704" s="10"/>
      <c r="F704" s="10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8"/>
      <c r="C705" s="10"/>
      <c r="D705" s="10"/>
      <c r="E705" s="10"/>
      <c r="F705" s="10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8"/>
      <c r="C706" s="10"/>
      <c r="D706" s="10"/>
      <c r="E706" s="10"/>
      <c r="F706" s="10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8"/>
      <c r="C707" s="10"/>
      <c r="D707" s="10"/>
      <c r="E707" s="10"/>
      <c r="F707" s="10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8"/>
      <c r="C708" s="10"/>
      <c r="D708" s="10"/>
      <c r="E708" s="10"/>
      <c r="F708" s="10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8"/>
      <c r="C709" s="10"/>
      <c r="D709" s="10"/>
      <c r="E709" s="10"/>
      <c r="F709" s="10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8"/>
      <c r="C710" s="10"/>
      <c r="D710" s="10"/>
      <c r="E710" s="10"/>
      <c r="F710" s="10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8"/>
      <c r="C711" s="10"/>
      <c r="D711" s="10"/>
      <c r="E711" s="10"/>
      <c r="F711" s="10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8"/>
      <c r="C712" s="10"/>
      <c r="D712" s="10"/>
      <c r="E712" s="10"/>
      <c r="F712" s="10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8"/>
      <c r="C713" s="10"/>
      <c r="D713" s="10"/>
      <c r="E713" s="10"/>
      <c r="F713" s="10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8"/>
      <c r="C714" s="10"/>
      <c r="D714" s="10"/>
      <c r="E714" s="10"/>
      <c r="F714" s="10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8"/>
      <c r="C715" s="10"/>
      <c r="D715" s="10"/>
      <c r="E715" s="10"/>
      <c r="F715" s="10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8"/>
      <c r="C716" s="10"/>
      <c r="D716" s="10"/>
      <c r="E716" s="10"/>
      <c r="F716" s="10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8"/>
      <c r="C717" s="10"/>
      <c r="D717" s="10"/>
      <c r="E717" s="10"/>
      <c r="F717" s="10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8"/>
      <c r="C718" s="10"/>
      <c r="D718" s="10"/>
      <c r="E718" s="10"/>
      <c r="F718" s="10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8"/>
      <c r="C719" s="10"/>
      <c r="D719" s="10"/>
      <c r="E719" s="10"/>
      <c r="F719" s="10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8"/>
      <c r="C720" s="10"/>
      <c r="D720" s="10"/>
      <c r="E720" s="10"/>
      <c r="F720" s="10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8"/>
      <c r="C721" s="10"/>
      <c r="D721" s="10"/>
      <c r="E721" s="10"/>
      <c r="F721" s="10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8"/>
      <c r="C722" s="10"/>
      <c r="D722" s="10"/>
      <c r="E722" s="10"/>
      <c r="F722" s="10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8"/>
      <c r="C723" s="10"/>
      <c r="D723" s="10"/>
      <c r="E723" s="10"/>
      <c r="F723" s="10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8"/>
      <c r="C724" s="10"/>
      <c r="D724" s="10"/>
      <c r="E724" s="10"/>
      <c r="F724" s="10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8"/>
      <c r="C725" s="10"/>
      <c r="D725" s="10"/>
      <c r="E725" s="10"/>
      <c r="F725" s="10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8"/>
      <c r="C726" s="10"/>
      <c r="D726" s="10"/>
      <c r="E726" s="10"/>
      <c r="F726" s="10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8"/>
      <c r="C727" s="10"/>
      <c r="D727" s="10"/>
      <c r="E727" s="10"/>
      <c r="F727" s="10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8"/>
      <c r="C728" s="10"/>
      <c r="D728" s="10"/>
      <c r="E728" s="10"/>
      <c r="F728" s="10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8"/>
      <c r="C729" s="10"/>
      <c r="D729" s="10"/>
      <c r="E729" s="10"/>
      <c r="F729" s="10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8"/>
      <c r="C730" s="10"/>
      <c r="D730" s="10"/>
      <c r="E730" s="10"/>
      <c r="F730" s="10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8"/>
      <c r="C731" s="10"/>
      <c r="D731" s="10"/>
      <c r="E731" s="10"/>
      <c r="F731" s="10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8"/>
      <c r="C732" s="10"/>
      <c r="D732" s="10"/>
      <c r="E732" s="10"/>
      <c r="F732" s="10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8"/>
      <c r="C733" s="10"/>
      <c r="D733" s="10"/>
      <c r="E733" s="10"/>
      <c r="F733" s="10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8"/>
      <c r="C734" s="10"/>
      <c r="D734" s="10"/>
      <c r="E734" s="10"/>
      <c r="F734" s="10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8"/>
      <c r="C735" s="10"/>
      <c r="D735" s="10"/>
      <c r="E735" s="10"/>
      <c r="F735" s="10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8"/>
      <c r="C736" s="10"/>
      <c r="D736" s="10"/>
      <c r="E736" s="10"/>
      <c r="F736" s="10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8"/>
      <c r="C737" s="10"/>
      <c r="D737" s="10"/>
      <c r="E737" s="10"/>
      <c r="F737" s="10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8"/>
      <c r="C738" s="10"/>
      <c r="D738" s="10"/>
      <c r="E738" s="10"/>
      <c r="F738" s="10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8"/>
      <c r="C739" s="10"/>
      <c r="D739" s="10"/>
      <c r="E739" s="10"/>
      <c r="F739" s="10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8"/>
      <c r="C740" s="10"/>
      <c r="D740" s="10"/>
      <c r="E740" s="10"/>
      <c r="F740" s="10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8"/>
      <c r="C741" s="10"/>
      <c r="D741" s="10"/>
      <c r="E741" s="10"/>
      <c r="F741" s="10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8"/>
      <c r="C742" s="10"/>
      <c r="D742" s="10"/>
      <c r="E742" s="10"/>
      <c r="F742" s="10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8"/>
      <c r="C743" s="10"/>
      <c r="D743" s="10"/>
      <c r="E743" s="10"/>
      <c r="F743" s="10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8"/>
      <c r="C744" s="10"/>
      <c r="D744" s="10"/>
      <c r="E744" s="10"/>
      <c r="F744" s="10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8"/>
      <c r="C745" s="10"/>
      <c r="D745" s="10"/>
      <c r="E745" s="10"/>
      <c r="F745" s="10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8"/>
      <c r="C746" s="10"/>
      <c r="D746" s="10"/>
      <c r="E746" s="10"/>
      <c r="F746" s="10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8"/>
      <c r="C747" s="10"/>
      <c r="D747" s="10"/>
      <c r="E747" s="10"/>
      <c r="F747" s="10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8"/>
      <c r="C748" s="10"/>
      <c r="D748" s="10"/>
      <c r="E748" s="10"/>
      <c r="F748" s="10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8"/>
      <c r="C749" s="10"/>
      <c r="D749" s="10"/>
      <c r="E749" s="10"/>
      <c r="F749" s="10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8"/>
      <c r="C750" s="10"/>
      <c r="D750" s="10"/>
      <c r="E750" s="10"/>
      <c r="F750" s="10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8"/>
      <c r="C751" s="10"/>
      <c r="D751" s="10"/>
      <c r="E751" s="10"/>
      <c r="F751" s="10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8"/>
      <c r="C752" s="10"/>
      <c r="D752" s="10"/>
      <c r="E752" s="10"/>
      <c r="F752" s="10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8"/>
      <c r="C753" s="10"/>
      <c r="D753" s="10"/>
      <c r="E753" s="10"/>
      <c r="F753" s="10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8"/>
      <c r="C754" s="10"/>
      <c r="D754" s="10"/>
      <c r="E754" s="10"/>
      <c r="F754" s="10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8"/>
      <c r="C755" s="10"/>
      <c r="D755" s="10"/>
      <c r="E755" s="10"/>
      <c r="F755" s="10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8"/>
      <c r="C756" s="10"/>
      <c r="D756" s="10"/>
      <c r="E756" s="10"/>
      <c r="F756" s="10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8"/>
      <c r="C757" s="10"/>
      <c r="D757" s="10"/>
      <c r="E757" s="10"/>
      <c r="F757" s="10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8"/>
      <c r="C758" s="10"/>
      <c r="D758" s="10"/>
      <c r="E758" s="10"/>
      <c r="F758" s="10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8"/>
      <c r="C759" s="10"/>
      <c r="D759" s="10"/>
      <c r="E759" s="10"/>
      <c r="F759" s="10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8"/>
      <c r="C760" s="10"/>
      <c r="D760" s="10"/>
      <c r="E760" s="10"/>
      <c r="F760" s="10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8"/>
      <c r="C761" s="10"/>
      <c r="D761" s="10"/>
      <c r="E761" s="10"/>
      <c r="F761" s="10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8"/>
      <c r="C762" s="10"/>
      <c r="D762" s="10"/>
      <c r="E762" s="10"/>
      <c r="F762" s="10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8"/>
      <c r="C763" s="10"/>
      <c r="D763" s="10"/>
      <c r="E763" s="10"/>
      <c r="F763" s="10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8"/>
      <c r="C764" s="10"/>
      <c r="D764" s="10"/>
      <c r="E764" s="10"/>
      <c r="F764" s="10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8"/>
      <c r="C765" s="10"/>
      <c r="D765" s="10"/>
      <c r="E765" s="10"/>
      <c r="F765" s="10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8"/>
      <c r="C766" s="10"/>
      <c r="D766" s="10"/>
      <c r="E766" s="10"/>
      <c r="F766" s="10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8"/>
      <c r="C767" s="10"/>
      <c r="D767" s="10"/>
      <c r="E767" s="10"/>
      <c r="F767" s="10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8"/>
      <c r="C768" s="10"/>
      <c r="D768" s="10"/>
      <c r="E768" s="10"/>
      <c r="F768" s="10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8"/>
      <c r="C769" s="10"/>
      <c r="D769" s="10"/>
      <c r="E769" s="10"/>
      <c r="F769" s="10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8"/>
      <c r="C770" s="10"/>
      <c r="D770" s="10"/>
      <c r="E770" s="10"/>
      <c r="F770" s="10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8"/>
      <c r="C771" s="10"/>
      <c r="D771" s="10"/>
      <c r="E771" s="10"/>
      <c r="F771" s="10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8"/>
      <c r="C772" s="10"/>
      <c r="D772" s="10"/>
      <c r="E772" s="10"/>
      <c r="F772" s="10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8"/>
      <c r="C773" s="10"/>
      <c r="D773" s="10"/>
      <c r="E773" s="10"/>
      <c r="F773" s="10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8"/>
      <c r="C774" s="10"/>
      <c r="D774" s="10"/>
      <c r="E774" s="10"/>
      <c r="F774" s="10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8"/>
      <c r="C775" s="10"/>
      <c r="D775" s="10"/>
      <c r="E775" s="10"/>
      <c r="F775" s="10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8"/>
      <c r="C776" s="10"/>
      <c r="D776" s="10"/>
      <c r="E776" s="10"/>
      <c r="F776" s="10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8"/>
      <c r="C777" s="10"/>
      <c r="D777" s="10"/>
      <c r="E777" s="10"/>
      <c r="F777" s="10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8"/>
      <c r="C778" s="10"/>
      <c r="D778" s="10"/>
      <c r="E778" s="10"/>
      <c r="F778" s="10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8"/>
      <c r="C779" s="10"/>
      <c r="D779" s="10"/>
      <c r="E779" s="10"/>
      <c r="F779" s="10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8"/>
      <c r="C780" s="10"/>
      <c r="D780" s="10"/>
      <c r="E780" s="10"/>
      <c r="F780" s="10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8"/>
      <c r="C781" s="10"/>
      <c r="D781" s="10"/>
      <c r="E781" s="10"/>
      <c r="F781" s="10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8"/>
      <c r="C782" s="10"/>
      <c r="D782" s="10"/>
      <c r="E782" s="10"/>
      <c r="F782" s="10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8"/>
      <c r="C783" s="10"/>
      <c r="D783" s="10"/>
      <c r="E783" s="10"/>
      <c r="F783" s="10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8"/>
      <c r="C784" s="10"/>
      <c r="D784" s="10"/>
      <c r="E784" s="10"/>
      <c r="F784" s="10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8"/>
      <c r="C785" s="10"/>
      <c r="D785" s="10"/>
      <c r="E785" s="10"/>
      <c r="F785" s="10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8"/>
      <c r="C786" s="10"/>
      <c r="D786" s="10"/>
      <c r="E786" s="10"/>
      <c r="F786" s="10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8"/>
      <c r="C787" s="10"/>
      <c r="D787" s="10"/>
      <c r="E787" s="10"/>
      <c r="F787" s="10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8"/>
      <c r="C788" s="10"/>
      <c r="D788" s="10"/>
      <c r="E788" s="10"/>
      <c r="F788" s="10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8"/>
      <c r="C789" s="10"/>
      <c r="D789" s="10"/>
      <c r="E789" s="10"/>
      <c r="F789" s="10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8"/>
      <c r="C790" s="10"/>
      <c r="D790" s="10"/>
      <c r="E790" s="10"/>
      <c r="F790" s="10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8"/>
      <c r="C791" s="10"/>
      <c r="D791" s="10"/>
      <c r="E791" s="10"/>
      <c r="F791" s="10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8"/>
      <c r="C792" s="10"/>
      <c r="D792" s="10"/>
      <c r="E792" s="10"/>
      <c r="F792" s="10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8"/>
      <c r="C793" s="10"/>
      <c r="D793" s="10"/>
      <c r="E793" s="10"/>
      <c r="F793" s="10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8"/>
      <c r="C794" s="10"/>
      <c r="D794" s="10"/>
      <c r="E794" s="10"/>
      <c r="F794" s="10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8"/>
      <c r="C795" s="10"/>
      <c r="D795" s="10"/>
      <c r="E795" s="10"/>
      <c r="F795" s="10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8"/>
      <c r="C796" s="10"/>
      <c r="D796" s="10"/>
      <c r="E796" s="10"/>
      <c r="F796" s="10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8"/>
      <c r="C797" s="10"/>
      <c r="D797" s="10"/>
      <c r="E797" s="10"/>
      <c r="F797" s="10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8"/>
      <c r="C798" s="10"/>
      <c r="D798" s="10"/>
      <c r="E798" s="10"/>
      <c r="F798" s="10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8"/>
      <c r="C799" s="10"/>
      <c r="D799" s="10"/>
      <c r="E799" s="10"/>
      <c r="F799" s="10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8"/>
      <c r="C800" s="10"/>
      <c r="D800" s="10"/>
      <c r="E800" s="10"/>
      <c r="F800" s="10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8"/>
      <c r="C801" s="10"/>
      <c r="D801" s="10"/>
      <c r="E801" s="10"/>
      <c r="F801" s="10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8"/>
      <c r="C802" s="10"/>
      <c r="D802" s="10"/>
      <c r="E802" s="10"/>
      <c r="F802" s="10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8"/>
      <c r="C803" s="10"/>
      <c r="D803" s="10"/>
      <c r="E803" s="10"/>
      <c r="F803" s="10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8"/>
      <c r="C804" s="10"/>
      <c r="D804" s="10"/>
      <c r="E804" s="10"/>
      <c r="F804" s="10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8"/>
      <c r="C805" s="10"/>
      <c r="D805" s="10"/>
      <c r="E805" s="10"/>
      <c r="F805" s="10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8"/>
      <c r="C806" s="10"/>
      <c r="D806" s="10"/>
      <c r="E806" s="10"/>
      <c r="F806" s="10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8"/>
      <c r="C807" s="10"/>
      <c r="D807" s="10"/>
      <c r="E807" s="10"/>
      <c r="F807" s="10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8"/>
      <c r="C808" s="10"/>
      <c r="D808" s="10"/>
      <c r="E808" s="10"/>
      <c r="F808" s="10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8"/>
      <c r="C809" s="10"/>
      <c r="D809" s="10"/>
      <c r="E809" s="10"/>
      <c r="F809" s="10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8"/>
      <c r="C810" s="10"/>
      <c r="D810" s="10"/>
      <c r="E810" s="10"/>
      <c r="F810" s="10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8"/>
      <c r="C811" s="10"/>
      <c r="D811" s="10"/>
      <c r="E811" s="10"/>
      <c r="F811" s="10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8"/>
      <c r="C812" s="10"/>
      <c r="D812" s="10"/>
      <c r="E812" s="10"/>
      <c r="F812" s="10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8"/>
      <c r="C813" s="10"/>
      <c r="D813" s="10"/>
      <c r="E813" s="10"/>
      <c r="F813" s="10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8"/>
      <c r="C814" s="10"/>
      <c r="D814" s="10"/>
      <c r="E814" s="10"/>
      <c r="F814" s="10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8"/>
      <c r="C815" s="10"/>
      <c r="D815" s="10"/>
      <c r="E815" s="10"/>
      <c r="F815" s="10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8"/>
      <c r="C816" s="10"/>
      <c r="D816" s="10"/>
      <c r="E816" s="10"/>
      <c r="F816" s="10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8"/>
      <c r="C817" s="10"/>
      <c r="D817" s="10"/>
      <c r="E817" s="10"/>
      <c r="F817" s="10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8"/>
      <c r="C818" s="10"/>
      <c r="D818" s="10"/>
      <c r="E818" s="10"/>
      <c r="F818" s="10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8"/>
      <c r="C819" s="10"/>
      <c r="D819" s="10"/>
      <c r="E819" s="10"/>
      <c r="F819" s="10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8"/>
      <c r="C820" s="10"/>
      <c r="D820" s="10"/>
      <c r="E820" s="10"/>
      <c r="F820" s="10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8"/>
      <c r="C821" s="10"/>
      <c r="D821" s="10"/>
      <c r="E821" s="10"/>
      <c r="F821" s="10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8"/>
      <c r="C822" s="10"/>
      <c r="D822" s="10"/>
      <c r="E822" s="10"/>
      <c r="F822" s="10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8"/>
      <c r="C823" s="10"/>
      <c r="D823" s="10"/>
      <c r="E823" s="10"/>
      <c r="F823" s="10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8"/>
      <c r="C824" s="10"/>
      <c r="D824" s="10"/>
      <c r="E824" s="10"/>
      <c r="F824" s="10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8"/>
      <c r="C825" s="10"/>
      <c r="D825" s="10"/>
      <c r="E825" s="10"/>
      <c r="F825" s="10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8"/>
      <c r="C826" s="10"/>
      <c r="D826" s="10"/>
      <c r="E826" s="10"/>
      <c r="F826" s="10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8"/>
      <c r="C827" s="10"/>
      <c r="D827" s="10"/>
      <c r="E827" s="10"/>
      <c r="F827" s="10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8"/>
      <c r="C828" s="10"/>
      <c r="D828" s="10"/>
      <c r="E828" s="10"/>
      <c r="F828" s="10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8"/>
      <c r="C829" s="10"/>
      <c r="D829" s="10"/>
      <c r="E829" s="10"/>
      <c r="F829" s="10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8"/>
      <c r="C830" s="10"/>
      <c r="D830" s="10"/>
      <c r="E830" s="10"/>
      <c r="F830" s="10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8"/>
      <c r="C831" s="10"/>
      <c r="D831" s="10"/>
      <c r="E831" s="10"/>
      <c r="F831" s="10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8"/>
      <c r="C832" s="10"/>
      <c r="D832" s="10"/>
      <c r="E832" s="10"/>
      <c r="F832" s="10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8"/>
      <c r="C833" s="10"/>
      <c r="D833" s="10"/>
      <c r="E833" s="10"/>
      <c r="F833" s="10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8"/>
      <c r="C834" s="10"/>
      <c r="D834" s="10"/>
      <c r="E834" s="10"/>
      <c r="F834" s="10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8"/>
      <c r="C835" s="10"/>
      <c r="D835" s="10"/>
      <c r="E835" s="10"/>
      <c r="F835" s="10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8"/>
      <c r="C836" s="10"/>
      <c r="D836" s="10"/>
      <c r="E836" s="10"/>
      <c r="F836" s="10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8"/>
      <c r="C837" s="10"/>
      <c r="D837" s="10"/>
      <c r="E837" s="10"/>
      <c r="F837" s="10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8"/>
      <c r="C838" s="10"/>
      <c r="D838" s="10"/>
      <c r="E838" s="10"/>
      <c r="F838" s="10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8"/>
      <c r="C839" s="10"/>
      <c r="D839" s="10"/>
      <c r="E839" s="10"/>
      <c r="F839" s="10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8"/>
      <c r="C840" s="10"/>
      <c r="D840" s="10"/>
      <c r="E840" s="10"/>
      <c r="F840" s="10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8"/>
      <c r="C841" s="10"/>
      <c r="D841" s="10"/>
      <c r="E841" s="10"/>
      <c r="F841" s="10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8"/>
      <c r="C842" s="10"/>
      <c r="D842" s="10"/>
      <c r="E842" s="10"/>
      <c r="F842" s="10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8"/>
      <c r="C843" s="10"/>
      <c r="D843" s="10"/>
      <c r="E843" s="10"/>
      <c r="F843" s="10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8"/>
      <c r="C844" s="10"/>
      <c r="D844" s="10"/>
      <c r="E844" s="10"/>
      <c r="F844" s="10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8"/>
      <c r="C845" s="10"/>
      <c r="D845" s="10"/>
      <c r="E845" s="10"/>
      <c r="F845" s="10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8"/>
      <c r="C846" s="10"/>
      <c r="D846" s="10"/>
      <c r="E846" s="10"/>
      <c r="F846" s="10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8"/>
      <c r="C847" s="10"/>
      <c r="D847" s="10"/>
      <c r="E847" s="10"/>
      <c r="F847" s="10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8"/>
      <c r="C848" s="10"/>
      <c r="D848" s="10"/>
      <c r="E848" s="10"/>
      <c r="F848" s="10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8"/>
      <c r="C849" s="10"/>
      <c r="D849" s="10"/>
      <c r="E849" s="10"/>
      <c r="F849" s="10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8"/>
      <c r="C850" s="10"/>
      <c r="D850" s="10"/>
      <c r="E850" s="10"/>
      <c r="F850" s="10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8"/>
      <c r="C851" s="10"/>
      <c r="D851" s="10"/>
      <c r="E851" s="10"/>
      <c r="F851" s="10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8"/>
      <c r="C852" s="10"/>
      <c r="D852" s="10"/>
      <c r="E852" s="10"/>
      <c r="F852" s="10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8"/>
      <c r="C853" s="10"/>
      <c r="D853" s="10"/>
      <c r="E853" s="10"/>
      <c r="F853" s="10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8"/>
      <c r="C854" s="10"/>
      <c r="D854" s="10"/>
      <c r="E854" s="10"/>
      <c r="F854" s="10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8"/>
      <c r="C855" s="10"/>
      <c r="D855" s="10"/>
      <c r="E855" s="10"/>
      <c r="F855" s="10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8"/>
      <c r="C856" s="10"/>
      <c r="D856" s="10"/>
      <c r="E856" s="10"/>
      <c r="F856" s="10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8"/>
      <c r="C857" s="10"/>
      <c r="D857" s="10"/>
      <c r="E857" s="10"/>
      <c r="F857" s="10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8"/>
      <c r="C858" s="10"/>
      <c r="D858" s="10"/>
      <c r="E858" s="10"/>
      <c r="F858" s="10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8"/>
      <c r="C859" s="10"/>
      <c r="D859" s="10"/>
      <c r="E859" s="10"/>
      <c r="F859" s="10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8"/>
      <c r="C860" s="10"/>
      <c r="D860" s="10"/>
      <c r="E860" s="10"/>
      <c r="F860" s="10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8"/>
      <c r="C861" s="10"/>
      <c r="D861" s="10"/>
      <c r="E861" s="10"/>
      <c r="F861" s="10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8"/>
      <c r="C862" s="10"/>
      <c r="D862" s="10"/>
      <c r="E862" s="10"/>
      <c r="F862" s="10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8"/>
      <c r="C863" s="10"/>
      <c r="D863" s="10"/>
      <c r="E863" s="10"/>
      <c r="F863" s="10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8"/>
      <c r="C864" s="10"/>
      <c r="D864" s="10"/>
      <c r="E864" s="10"/>
      <c r="F864" s="10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8"/>
      <c r="C865" s="10"/>
      <c r="D865" s="10"/>
      <c r="E865" s="10"/>
      <c r="F865" s="10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8"/>
      <c r="C866" s="10"/>
      <c r="D866" s="10"/>
      <c r="E866" s="10"/>
      <c r="F866" s="10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8"/>
      <c r="C867" s="10"/>
      <c r="D867" s="10"/>
      <c r="E867" s="10"/>
      <c r="F867" s="10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8"/>
      <c r="C868" s="10"/>
      <c r="D868" s="10"/>
      <c r="E868" s="10"/>
      <c r="F868" s="10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8"/>
      <c r="C869" s="10"/>
      <c r="D869" s="10"/>
      <c r="E869" s="10"/>
      <c r="F869" s="10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8"/>
      <c r="C870" s="10"/>
      <c r="D870" s="10"/>
      <c r="E870" s="10"/>
      <c r="F870" s="10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8"/>
      <c r="C871" s="10"/>
      <c r="D871" s="10"/>
      <c r="E871" s="10"/>
      <c r="F871" s="10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8"/>
      <c r="C872" s="10"/>
      <c r="D872" s="10"/>
      <c r="E872" s="10"/>
      <c r="F872" s="10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8"/>
      <c r="C873" s="10"/>
      <c r="D873" s="10"/>
      <c r="E873" s="10"/>
      <c r="F873" s="10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8"/>
      <c r="C874" s="10"/>
      <c r="D874" s="10"/>
      <c r="E874" s="10"/>
      <c r="F874" s="10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8"/>
      <c r="C875" s="10"/>
      <c r="D875" s="10"/>
      <c r="E875" s="10"/>
      <c r="F875" s="10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8"/>
      <c r="C876" s="10"/>
      <c r="D876" s="10"/>
      <c r="E876" s="10"/>
      <c r="F876" s="10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8"/>
      <c r="C877" s="10"/>
      <c r="D877" s="10"/>
      <c r="E877" s="10"/>
      <c r="F877" s="10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8"/>
      <c r="C878" s="10"/>
      <c r="D878" s="10"/>
      <c r="E878" s="10"/>
      <c r="F878" s="10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8"/>
      <c r="C879" s="10"/>
      <c r="D879" s="10"/>
      <c r="E879" s="10"/>
      <c r="F879" s="10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8"/>
      <c r="C880" s="10"/>
      <c r="D880" s="10"/>
      <c r="E880" s="10"/>
      <c r="F880" s="10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8"/>
      <c r="C881" s="10"/>
      <c r="D881" s="10"/>
      <c r="E881" s="10"/>
      <c r="F881" s="10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8"/>
      <c r="C882" s="10"/>
      <c r="D882" s="10"/>
      <c r="E882" s="10"/>
      <c r="F882" s="10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8"/>
      <c r="C883" s="10"/>
      <c r="D883" s="10"/>
      <c r="E883" s="10"/>
      <c r="F883" s="10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8"/>
      <c r="C884" s="10"/>
      <c r="D884" s="10"/>
      <c r="E884" s="10"/>
      <c r="F884" s="10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8"/>
      <c r="C885" s="10"/>
      <c r="D885" s="10"/>
      <c r="E885" s="10"/>
      <c r="F885" s="10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8"/>
      <c r="C886" s="10"/>
      <c r="D886" s="10"/>
      <c r="E886" s="10"/>
      <c r="F886" s="10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8"/>
      <c r="C887" s="10"/>
      <c r="D887" s="10"/>
      <c r="E887" s="10"/>
      <c r="F887" s="10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8"/>
      <c r="C888" s="10"/>
      <c r="D888" s="10"/>
      <c r="E888" s="10"/>
      <c r="F888" s="10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8"/>
      <c r="C889" s="10"/>
      <c r="D889" s="10"/>
      <c r="E889" s="10"/>
      <c r="F889" s="10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8"/>
      <c r="C890" s="10"/>
      <c r="D890" s="10"/>
      <c r="E890" s="10"/>
      <c r="F890" s="10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8"/>
      <c r="C891" s="10"/>
      <c r="D891" s="10"/>
      <c r="E891" s="10"/>
      <c r="F891" s="10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8"/>
      <c r="C892" s="10"/>
      <c r="D892" s="10"/>
      <c r="E892" s="10"/>
      <c r="F892" s="10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8"/>
      <c r="C893" s="10"/>
      <c r="D893" s="10"/>
      <c r="E893" s="10"/>
      <c r="F893" s="10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8"/>
      <c r="C894" s="10"/>
      <c r="D894" s="10"/>
      <c r="E894" s="10"/>
      <c r="F894" s="10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8"/>
      <c r="C895" s="10"/>
      <c r="D895" s="10"/>
      <c r="E895" s="10"/>
      <c r="F895" s="10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8"/>
      <c r="C896" s="10"/>
      <c r="D896" s="10"/>
      <c r="E896" s="10"/>
      <c r="F896" s="10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8"/>
      <c r="C897" s="10"/>
      <c r="D897" s="10"/>
      <c r="E897" s="10"/>
      <c r="F897" s="10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8"/>
      <c r="C898" s="10"/>
      <c r="D898" s="10"/>
      <c r="E898" s="10"/>
      <c r="F898" s="10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8"/>
      <c r="C899" s="10"/>
      <c r="D899" s="10"/>
      <c r="E899" s="10"/>
      <c r="F899" s="10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8"/>
      <c r="C900" s="10"/>
      <c r="D900" s="10"/>
      <c r="E900" s="10"/>
      <c r="F900" s="10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8"/>
      <c r="C901" s="10"/>
      <c r="D901" s="10"/>
      <c r="E901" s="10"/>
      <c r="F901" s="10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8"/>
      <c r="C902" s="10"/>
      <c r="D902" s="10"/>
      <c r="E902" s="10"/>
      <c r="F902" s="10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8"/>
      <c r="C903" s="10"/>
      <c r="D903" s="10"/>
      <c r="E903" s="10"/>
      <c r="F903" s="10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8"/>
      <c r="C904" s="10"/>
      <c r="D904" s="10"/>
      <c r="E904" s="10"/>
      <c r="F904" s="10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8"/>
      <c r="C905" s="10"/>
      <c r="D905" s="10"/>
      <c r="E905" s="10"/>
      <c r="F905" s="10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8"/>
      <c r="C906" s="10"/>
      <c r="D906" s="10"/>
      <c r="E906" s="10"/>
      <c r="F906" s="10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8"/>
      <c r="C907" s="10"/>
      <c r="D907" s="10"/>
      <c r="E907" s="10"/>
      <c r="F907" s="10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8"/>
      <c r="C908" s="10"/>
      <c r="D908" s="10"/>
      <c r="E908" s="10"/>
      <c r="F908" s="10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8"/>
      <c r="C909" s="10"/>
      <c r="D909" s="10"/>
      <c r="E909" s="10"/>
      <c r="F909" s="10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8"/>
      <c r="C910" s="10"/>
      <c r="D910" s="10"/>
      <c r="E910" s="10"/>
      <c r="F910" s="10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8"/>
      <c r="C911" s="10"/>
      <c r="D911" s="10"/>
      <c r="E911" s="10"/>
      <c r="F911" s="10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8"/>
      <c r="C912" s="10"/>
      <c r="D912" s="10"/>
      <c r="E912" s="10"/>
      <c r="F912" s="10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8"/>
      <c r="C913" s="10"/>
      <c r="D913" s="10"/>
      <c r="E913" s="10"/>
      <c r="F913" s="10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8"/>
      <c r="C914" s="10"/>
      <c r="D914" s="10"/>
      <c r="E914" s="10"/>
      <c r="F914" s="10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8"/>
      <c r="C915" s="10"/>
      <c r="D915" s="10"/>
      <c r="E915" s="10"/>
      <c r="F915" s="10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8"/>
      <c r="C916" s="10"/>
      <c r="D916" s="10"/>
      <c r="E916" s="10"/>
      <c r="F916" s="10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8"/>
      <c r="C917" s="10"/>
      <c r="D917" s="10"/>
      <c r="E917" s="10"/>
      <c r="F917" s="10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8"/>
      <c r="C918" s="10"/>
      <c r="D918" s="10"/>
      <c r="E918" s="10"/>
      <c r="F918" s="10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8"/>
      <c r="C919" s="10"/>
      <c r="D919" s="10"/>
      <c r="E919" s="10"/>
      <c r="F919" s="10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8"/>
      <c r="C920" s="10"/>
      <c r="D920" s="10"/>
      <c r="E920" s="10"/>
      <c r="F920" s="10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8"/>
      <c r="C921" s="10"/>
      <c r="D921" s="10"/>
      <c r="E921" s="10"/>
      <c r="F921" s="10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8"/>
      <c r="C922" s="10"/>
      <c r="D922" s="10"/>
      <c r="E922" s="10"/>
      <c r="F922" s="10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8"/>
      <c r="C923" s="10"/>
      <c r="D923" s="10"/>
      <c r="E923" s="10"/>
      <c r="F923" s="10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8"/>
      <c r="C924" s="10"/>
      <c r="D924" s="10"/>
      <c r="E924" s="10"/>
      <c r="F924" s="10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8"/>
      <c r="C925" s="10"/>
      <c r="D925" s="10"/>
      <c r="E925" s="10"/>
      <c r="F925" s="10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8"/>
      <c r="C926" s="10"/>
      <c r="D926" s="10"/>
      <c r="E926" s="10"/>
      <c r="F926" s="10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8"/>
      <c r="C927" s="10"/>
      <c r="D927" s="10"/>
      <c r="E927" s="10"/>
      <c r="F927" s="10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8"/>
      <c r="C928" s="10"/>
      <c r="D928" s="10"/>
      <c r="E928" s="10"/>
      <c r="F928" s="10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8"/>
      <c r="C929" s="10"/>
      <c r="D929" s="10"/>
      <c r="E929" s="10"/>
      <c r="F929" s="10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8"/>
      <c r="C930" s="10"/>
      <c r="D930" s="10"/>
      <c r="E930" s="10"/>
      <c r="F930" s="10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8"/>
      <c r="C931" s="10"/>
      <c r="D931" s="10"/>
      <c r="E931" s="10"/>
      <c r="F931" s="10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8"/>
      <c r="C932" s="10"/>
      <c r="D932" s="10"/>
      <c r="E932" s="10"/>
      <c r="F932" s="10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8"/>
      <c r="C933" s="10"/>
      <c r="D933" s="10"/>
      <c r="E933" s="10"/>
      <c r="F933" s="10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8"/>
      <c r="C934" s="10"/>
      <c r="D934" s="10"/>
      <c r="E934" s="10"/>
      <c r="F934" s="10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8"/>
      <c r="C935" s="10"/>
      <c r="D935" s="10"/>
      <c r="E935" s="10"/>
      <c r="F935" s="10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8"/>
      <c r="C936" s="10"/>
      <c r="D936" s="10"/>
      <c r="E936" s="10"/>
      <c r="F936" s="10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8"/>
      <c r="C937" s="10"/>
      <c r="D937" s="10"/>
      <c r="E937" s="10"/>
      <c r="F937" s="10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8"/>
      <c r="C938" s="10"/>
      <c r="D938" s="10"/>
      <c r="E938" s="10"/>
      <c r="F938" s="10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8"/>
      <c r="C939" s="10"/>
      <c r="D939" s="10"/>
      <c r="E939" s="10"/>
      <c r="F939" s="10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8"/>
      <c r="C940" s="10"/>
      <c r="D940" s="10"/>
      <c r="E940" s="10"/>
      <c r="F940" s="10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8"/>
      <c r="C941" s="10"/>
      <c r="D941" s="10"/>
      <c r="E941" s="10"/>
      <c r="F941" s="10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8"/>
      <c r="C942" s="10"/>
      <c r="D942" s="10"/>
      <c r="E942" s="10"/>
      <c r="F942" s="10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8"/>
      <c r="C943" s="10"/>
      <c r="D943" s="10"/>
      <c r="E943" s="10"/>
      <c r="F943" s="10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8"/>
      <c r="C944" s="10"/>
      <c r="D944" s="10"/>
      <c r="E944" s="10"/>
      <c r="F944" s="10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8"/>
      <c r="C945" s="10"/>
      <c r="D945" s="10"/>
      <c r="E945" s="10"/>
      <c r="F945" s="10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8"/>
      <c r="C946" s="10"/>
      <c r="D946" s="10"/>
      <c r="E946" s="10"/>
      <c r="F946" s="10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8"/>
      <c r="C947" s="10"/>
      <c r="D947" s="10"/>
      <c r="E947" s="10"/>
      <c r="F947" s="10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8"/>
      <c r="C948" s="10"/>
      <c r="D948" s="10"/>
      <c r="E948" s="10"/>
      <c r="F948" s="10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2"/>
      <c r="B949" s="8"/>
      <c r="C949" s="10"/>
      <c r="D949" s="10"/>
      <c r="E949" s="10"/>
      <c r="F949" s="10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2"/>
      <c r="B950" s="8"/>
      <c r="C950" s="10"/>
      <c r="D950" s="10"/>
      <c r="E950" s="10"/>
      <c r="F950" s="10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2"/>
      <c r="B951" s="8"/>
      <c r="C951" s="10"/>
      <c r="D951" s="10"/>
      <c r="E951" s="10"/>
      <c r="F951" s="10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2"/>
      <c r="B952" s="8"/>
      <c r="C952" s="10"/>
      <c r="D952" s="10"/>
      <c r="E952" s="10"/>
      <c r="F952" s="10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2"/>
      <c r="B953" s="8"/>
      <c r="C953" s="10"/>
      <c r="D953" s="10"/>
      <c r="E953" s="10"/>
      <c r="F953" s="10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2"/>
      <c r="B954" s="8"/>
      <c r="C954" s="10"/>
      <c r="D954" s="10"/>
      <c r="E954" s="10"/>
      <c r="F954" s="10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2"/>
      <c r="B955" s="8"/>
      <c r="C955" s="10"/>
      <c r="D955" s="10"/>
      <c r="E955" s="10"/>
      <c r="F955" s="10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2"/>
      <c r="B956" s="8"/>
      <c r="C956" s="10"/>
      <c r="D956" s="10"/>
      <c r="E956" s="10"/>
      <c r="F956" s="10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2"/>
      <c r="B957" s="8"/>
      <c r="C957" s="10"/>
      <c r="D957" s="10"/>
      <c r="E957" s="10"/>
      <c r="F957" s="10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2"/>
      <c r="B958" s="8"/>
      <c r="C958" s="10"/>
      <c r="D958" s="10"/>
      <c r="E958" s="10"/>
      <c r="F958" s="10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2"/>
      <c r="B959" s="8"/>
      <c r="C959" s="10"/>
      <c r="D959" s="10"/>
      <c r="E959" s="10"/>
      <c r="F959" s="10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2"/>
      <c r="B960" s="8"/>
      <c r="C960" s="10"/>
      <c r="D960" s="10"/>
      <c r="E960" s="10"/>
      <c r="F960" s="10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2"/>
      <c r="B961" s="8"/>
      <c r="C961" s="10"/>
      <c r="D961" s="10"/>
      <c r="E961" s="10"/>
      <c r="F961" s="10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2"/>
      <c r="B962" s="8"/>
      <c r="C962" s="10"/>
      <c r="D962" s="10"/>
      <c r="E962" s="10"/>
      <c r="F962" s="10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2"/>
      <c r="B963" s="8"/>
      <c r="C963" s="10"/>
      <c r="D963" s="10"/>
      <c r="E963" s="10"/>
      <c r="F963" s="10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2"/>
      <c r="B964" s="8"/>
      <c r="C964" s="10"/>
      <c r="D964" s="10"/>
      <c r="E964" s="10"/>
      <c r="F964" s="10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2"/>
      <c r="B965" s="8"/>
      <c r="C965" s="10"/>
      <c r="D965" s="10"/>
      <c r="E965" s="10"/>
      <c r="F965" s="10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2"/>
      <c r="B966" s="8"/>
      <c r="C966" s="10"/>
      <c r="D966" s="10"/>
      <c r="E966" s="10"/>
      <c r="F966" s="10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2"/>
      <c r="B967" s="8"/>
      <c r="C967" s="10"/>
      <c r="D967" s="10"/>
      <c r="E967" s="10"/>
      <c r="F967" s="10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2"/>
      <c r="B968" s="8"/>
      <c r="C968" s="10"/>
      <c r="D968" s="10"/>
      <c r="E968" s="10"/>
      <c r="F968" s="10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2"/>
      <c r="B969" s="8"/>
      <c r="C969" s="10"/>
      <c r="D969" s="10"/>
      <c r="E969" s="10"/>
      <c r="F969" s="10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2"/>
      <c r="B970" s="8"/>
      <c r="C970" s="10"/>
      <c r="D970" s="10"/>
      <c r="E970" s="10"/>
      <c r="F970" s="10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2"/>
      <c r="B971" s="8"/>
      <c r="C971" s="10"/>
      <c r="D971" s="10"/>
      <c r="E971" s="10"/>
      <c r="F971" s="10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2"/>
      <c r="B972" s="8"/>
      <c r="C972" s="10"/>
      <c r="D972" s="10"/>
      <c r="E972" s="10"/>
      <c r="F972" s="10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2"/>
      <c r="B973" s="8"/>
      <c r="C973" s="10"/>
      <c r="D973" s="10"/>
      <c r="E973" s="10"/>
      <c r="F973" s="10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2"/>
      <c r="B974" s="8"/>
      <c r="C974" s="10"/>
      <c r="D974" s="10"/>
      <c r="E974" s="10"/>
      <c r="F974" s="10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2"/>
      <c r="B975" s="8"/>
      <c r="C975" s="10"/>
      <c r="D975" s="10"/>
      <c r="E975" s="10"/>
      <c r="F975" s="10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2"/>
      <c r="B976" s="8"/>
      <c r="C976" s="10"/>
      <c r="D976" s="10"/>
      <c r="E976" s="10"/>
      <c r="F976" s="10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2"/>
      <c r="B977" s="8"/>
      <c r="C977" s="10"/>
      <c r="D977" s="10"/>
      <c r="E977" s="10"/>
      <c r="F977" s="10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2"/>
      <c r="B978" s="8"/>
      <c r="C978" s="10"/>
      <c r="D978" s="10"/>
      <c r="E978" s="10"/>
      <c r="F978" s="10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2"/>
      <c r="B979" s="8"/>
      <c r="C979" s="10"/>
      <c r="D979" s="10"/>
      <c r="E979" s="10"/>
      <c r="F979" s="10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2"/>
      <c r="B980" s="8"/>
      <c r="C980" s="10"/>
      <c r="D980" s="10"/>
      <c r="E980" s="10"/>
      <c r="F980" s="10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2"/>
      <c r="B981" s="8"/>
      <c r="C981" s="10"/>
      <c r="D981" s="10"/>
      <c r="E981" s="10"/>
      <c r="F981" s="10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2"/>
      <c r="B982" s="8"/>
      <c r="C982" s="10"/>
      <c r="D982" s="10"/>
      <c r="E982" s="10"/>
      <c r="F982" s="10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2"/>
      <c r="B983" s="8"/>
      <c r="C983" s="10"/>
      <c r="D983" s="10"/>
      <c r="E983" s="10"/>
      <c r="F983" s="10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2"/>
      <c r="B984" s="8"/>
      <c r="C984" s="10"/>
      <c r="D984" s="10"/>
      <c r="E984" s="10"/>
      <c r="F984" s="10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2"/>
      <c r="B985" s="8"/>
      <c r="C985" s="10"/>
      <c r="D985" s="10"/>
      <c r="E985" s="10"/>
      <c r="F985" s="10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2"/>
      <c r="B986" s="8"/>
      <c r="C986" s="10"/>
      <c r="D986" s="10"/>
      <c r="E986" s="10"/>
      <c r="F986" s="10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2"/>
      <c r="B987" s="8"/>
      <c r="C987" s="10"/>
      <c r="D987" s="10"/>
      <c r="E987" s="10"/>
      <c r="F987" s="10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2"/>
      <c r="B988" s="8"/>
      <c r="C988" s="10"/>
      <c r="D988" s="10"/>
      <c r="E988" s="10"/>
      <c r="F988" s="10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2"/>
      <c r="B989" s="8"/>
      <c r="C989" s="10"/>
      <c r="D989" s="10"/>
      <c r="E989" s="10"/>
      <c r="F989" s="10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2"/>
      <c r="B990" s="8"/>
      <c r="C990" s="10"/>
      <c r="D990" s="10"/>
      <c r="E990" s="10"/>
      <c r="F990" s="10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2"/>
      <c r="B991" s="8"/>
      <c r="C991" s="10"/>
      <c r="D991" s="10"/>
      <c r="E991" s="10"/>
      <c r="F991" s="10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2"/>
      <c r="B992" s="8"/>
      <c r="C992" s="10"/>
      <c r="D992" s="10"/>
      <c r="E992" s="10"/>
      <c r="F992" s="10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2"/>
      <c r="B993" s="8"/>
      <c r="C993" s="10"/>
      <c r="D993" s="10"/>
      <c r="E993" s="10"/>
      <c r="F993" s="10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7">
    <mergeCell ref="B5:C5"/>
    <mergeCell ref="D5:F5"/>
    <mergeCell ref="B1:F1"/>
    <mergeCell ref="B3:C3"/>
    <mergeCell ref="D3:F3"/>
    <mergeCell ref="B4:C4"/>
    <mergeCell ref="D4:F4"/>
  </mergeCells>
  <pageMargins left="0.74791666666666667" right="0.74791666666666667" top="0.98402777777777783" bottom="1.1506944444444445" header="0" footer="0"/>
  <pageSetup paperSize="9"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3"/>
  <sheetViews>
    <sheetView workbookViewId="0"/>
  </sheetViews>
  <sheetFormatPr defaultColWidth="12.6328125" defaultRowHeight="15" customHeight="1" x14ac:dyDescent="0.2"/>
  <cols>
    <col min="1" max="1" width="4.453125" customWidth="1"/>
    <col min="2" max="2" width="16.6328125" customWidth="1"/>
    <col min="3" max="3" width="19.36328125" customWidth="1"/>
    <col min="4" max="4" width="12.7265625" customWidth="1"/>
    <col min="5" max="6" width="11.6328125" customWidth="1"/>
    <col min="7" max="7" width="9" customWidth="1"/>
    <col min="8" max="8" width="35.453125" customWidth="1"/>
    <col min="9" max="26" width="9" customWidth="1"/>
  </cols>
  <sheetData>
    <row r="1" spans="1:26" ht="25.5" customHeight="1" x14ac:dyDescent="0.45">
      <c r="A1" s="1"/>
      <c r="B1" s="127" t="s">
        <v>0</v>
      </c>
      <c r="C1" s="116"/>
      <c r="D1" s="116"/>
      <c r="E1" s="116"/>
      <c r="F1" s="116"/>
      <c r="G1" s="116"/>
      <c r="H1" s="11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9"/>
      <c r="B2" s="9"/>
      <c r="C2" s="1"/>
      <c r="D2" s="1"/>
      <c r="E2" s="1"/>
      <c r="F2" s="1"/>
      <c r="G2" s="1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" customHeight="1" x14ac:dyDescent="0.25">
      <c r="A3" s="1"/>
      <c r="B3" s="18" t="s">
        <v>6</v>
      </c>
      <c r="C3" s="128" t="s">
        <v>14</v>
      </c>
      <c r="D3" s="113"/>
      <c r="E3" s="124" t="s">
        <v>10</v>
      </c>
      <c r="F3" s="113"/>
      <c r="G3" s="129" t="s">
        <v>407</v>
      </c>
      <c r="H3" s="1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25">
      <c r="A4" s="1"/>
      <c r="B4" s="18" t="s">
        <v>11</v>
      </c>
      <c r="C4" s="123" t="s">
        <v>408</v>
      </c>
      <c r="D4" s="113"/>
      <c r="E4" s="124" t="s">
        <v>18</v>
      </c>
      <c r="F4" s="113"/>
      <c r="G4" s="129"/>
      <c r="H4" s="1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25">
      <c r="A5" s="1"/>
      <c r="B5" s="36" t="s">
        <v>19</v>
      </c>
      <c r="C5" s="123" t="str">
        <f>C4&amp;"_"&amp;"Test Report"&amp;"_"&amp;"vx.x"</f>
        <v>CLAWBOT_Test Report_vx.x</v>
      </c>
      <c r="D5" s="113"/>
      <c r="E5" s="124" t="s">
        <v>15</v>
      </c>
      <c r="F5" s="113"/>
      <c r="G5" s="125">
        <v>46244.708333333336</v>
      </c>
      <c r="H5" s="1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0.25" customHeight="1" x14ac:dyDescent="0.25">
      <c r="A6" s="9"/>
      <c r="B6" s="36" t="s">
        <v>26</v>
      </c>
      <c r="C6" s="126" t="s">
        <v>419</v>
      </c>
      <c r="D6" s="112"/>
      <c r="E6" s="112"/>
      <c r="F6" s="112"/>
      <c r="G6" s="112"/>
      <c r="H6" s="1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9"/>
      <c r="B7" s="56"/>
      <c r="C7" s="57"/>
      <c r="D7" s="1"/>
      <c r="E7" s="1"/>
      <c r="F7" s="1"/>
      <c r="G7" s="1"/>
      <c r="H7" s="1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56"/>
      <c r="C8" s="57"/>
      <c r="D8" s="1"/>
      <c r="E8" s="1"/>
      <c r="F8" s="1"/>
      <c r="G8" s="1"/>
      <c r="H8" s="1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72"/>
      <c r="B10" s="73" t="s">
        <v>27</v>
      </c>
      <c r="C10" s="74" t="s">
        <v>45</v>
      </c>
      <c r="D10" s="75" t="s">
        <v>5</v>
      </c>
      <c r="E10" s="74" t="s">
        <v>8</v>
      </c>
      <c r="F10" s="74" t="s">
        <v>12</v>
      </c>
      <c r="G10" s="76" t="s">
        <v>16</v>
      </c>
      <c r="H10" s="77" t="s">
        <v>47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72"/>
      <c r="B11" s="79">
        <v>1</v>
      </c>
      <c r="C11" s="80" t="str">
        <f>'Login &amp; Authentication'!B2</f>
        <v>Login &amp; Authentication</v>
      </c>
      <c r="D11" s="82">
        <f>'Login &amp; Authentication'!B8</f>
        <v>0</v>
      </c>
      <c r="E11" s="82">
        <f>'Login &amp; Authentication'!C8</f>
        <v>0</v>
      </c>
      <c r="F11" s="82">
        <f>'Login &amp; Authentication'!D8</f>
        <v>12</v>
      </c>
      <c r="G11" s="82">
        <f>'Login &amp; Authentication'!E8</f>
        <v>0</v>
      </c>
      <c r="H11" s="85">
        <f>'Login &amp; Authentication'!B4</f>
        <v>12</v>
      </c>
      <c r="I11" s="8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72"/>
      <c r="B12" s="79">
        <v>2</v>
      </c>
      <c r="C12" s="80" t="str">
        <f>'Omnichannel Inbox'!B2</f>
        <v>Omnichannel Inbox</v>
      </c>
      <c r="D12" s="82">
        <f>'Omnichannel Inbox'!B8</f>
        <v>0</v>
      </c>
      <c r="E12" s="82">
        <f>'Omnichannel Inbox'!C8</f>
        <v>0</v>
      </c>
      <c r="F12" s="82">
        <f>'Omnichannel Inbox'!D8</f>
        <v>20</v>
      </c>
      <c r="G12" s="82">
        <f>'Omnichannel Inbox'!E8</f>
        <v>0</v>
      </c>
      <c r="H12" s="85">
        <f>'Omnichannel Inbox'!B4</f>
        <v>20</v>
      </c>
      <c r="I12" s="8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72"/>
      <c r="B13" s="79">
        <v>3</v>
      </c>
      <c r="C13" s="80" t="str">
        <f>'Knowledge Base'!B2</f>
        <v>Knowledge Base</v>
      </c>
      <c r="D13" s="82">
        <f>'Knowledge Base'!B8</f>
        <v>0</v>
      </c>
      <c r="E13" s="82">
        <f>'Knowledge Base'!C8</f>
        <v>0</v>
      </c>
      <c r="F13" s="82">
        <f>'Knowledge Base'!D8</f>
        <v>8</v>
      </c>
      <c r="G13" s="82">
        <f>'Knowledge Base'!E8</f>
        <v>0</v>
      </c>
      <c r="H13" s="85">
        <f>'Knowledge Base'!B4</f>
        <v>8</v>
      </c>
      <c r="I13" s="8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72"/>
      <c r="B14" s="79">
        <v>4</v>
      </c>
      <c r="C14" s="80" t="str">
        <f>'Lead Management'!B2</f>
        <v>Lead Management</v>
      </c>
      <c r="D14" s="82">
        <f>'Lead Management'!B8</f>
        <v>0</v>
      </c>
      <c r="E14" s="82">
        <f>'Lead Management'!C8</f>
        <v>0</v>
      </c>
      <c r="F14" s="82">
        <f>'Lead Management'!D8</f>
        <v>9</v>
      </c>
      <c r="G14" s="82">
        <f>'Lead Management'!E8</f>
        <v>0</v>
      </c>
      <c r="H14" s="85">
        <f>'Lead Management'!B4</f>
        <v>9</v>
      </c>
      <c r="I14" s="8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72"/>
      <c r="B15" s="79">
        <v>5</v>
      </c>
      <c r="C15" s="80" t="str">
        <f>'Content Pipeline'!B2</f>
        <v>Content Pipeline</v>
      </c>
      <c r="D15" s="82">
        <f>'Content Pipeline'!B8</f>
        <v>0</v>
      </c>
      <c r="E15" s="82">
        <f>'Content Pipeline'!C8</f>
        <v>0</v>
      </c>
      <c r="F15" s="82">
        <f>'Content Pipeline'!D8</f>
        <v>8</v>
      </c>
      <c r="G15" s="82">
        <f>'Content Pipeline'!E8</f>
        <v>0</v>
      </c>
      <c r="H15" s="85">
        <f>'Content Pipeline'!B4</f>
        <v>8</v>
      </c>
      <c r="I15" s="8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72"/>
      <c r="B16" s="79">
        <v>6</v>
      </c>
      <c r="C16" s="80" t="str">
        <f>'Agent Orchestration'!B2</f>
        <v>Agent Orchestration</v>
      </c>
      <c r="D16" s="82">
        <f>'Agent Orchestration'!B8</f>
        <v>0</v>
      </c>
      <c r="E16" s="82">
        <f>'Agent Orchestration'!C8</f>
        <v>0</v>
      </c>
      <c r="F16" s="82">
        <f>'Agent Orchestration'!D8</f>
        <v>8</v>
      </c>
      <c r="G16" s="82">
        <f>'Agent Orchestration'!E8</f>
        <v>0</v>
      </c>
      <c r="H16" s="85">
        <f>'Agent Orchestration'!B4</f>
        <v>8</v>
      </c>
      <c r="I16" s="8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72"/>
      <c r="B17" s="98"/>
      <c r="C17" s="99" t="s">
        <v>58</v>
      </c>
      <c r="D17" s="100">
        <f>SUM(D11:D16)</f>
        <v>0</v>
      </c>
      <c r="E17" s="100">
        <f>SUM(E11:E16)</f>
        <v>0</v>
      </c>
      <c r="F17" s="100">
        <f>SUM(F11:F16)</f>
        <v>65</v>
      </c>
      <c r="G17" s="100">
        <f>SUM(G11:G16)</f>
        <v>0</v>
      </c>
      <c r="H17" s="101">
        <f>SUM(H11:H16)</f>
        <v>65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02"/>
      <c r="C18" s="1"/>
      <c r="D18" s="103"/>
      <c r="E18" s="104"/>
      <c r="F18" s="104"/>
      <c r="G18" s="104"/>
      <c r="H18" s="10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"/>
      <c r="C19" s="105" t="s">
        <v>61</v>
      </c>
      <c r="D19" s="1"/>
      <c r="E19" s="106">
        <f>(D17+E17)*100/(H17-G17)</f>
        <v>0</v>
      </c>
      <c r="F19" s="1" t="s">
        <v>62</v>
      </c>
      <c r="G19" s="1"/>
      <c r="H19" s="10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1"/>
      <c r="C20" s="105" t="s">
        <v>64</v>
      </c>
      <c r="D20" s="1"/>
      <c r="E20" s="106">
        <f>D17*100/(H17-G17)</f>
        <v>0</v>
      </c>
      <c r="F20" s="1" t="s">
        <v>62</v>
      </c>
      <c r="G20" s="1"/>
      <c r="H20" s="10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1">
    <mergeCell ref="C5:D5"/>
    <mergeCell ref="E5:F5"/>
    <mergeCell ref="G5:H5"/>
    <mergeCell ref="C6:H6"/>
    <mergeCell ref="B1:H1"/>
    <mergeCell ref="C3:D3"/>
    <mergeCell ref="E3:F3"/>
    <mergeCell ref="G3:H3"/>
    <mergeCell ref="C4:D4"/>
    <mergeCell ref="E4:F4"/>
    <mergeCell ref="G4:H4"/>
  </mergeCells>
  <pageMargins left="0.74791666666666667" right="0.74791666666666667" top="0.98402777777777783" bottom="0.98402777777777772" header="0" footer="0"/>
  <pageSetup orientation="landscape"/>
  <headerFooter>
    <oddFooter>&amp;L 02ae-BM/PM/HDCV/FSOFT v2/0&amp;CInternal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0F6B-D93C-4FF0-AB06-A4A4E55C09E3}">
  <sheetPr>
    <outlinePr summaryBelow="0" summaryRight="0"/>
  </sheetPr>
  <dimension ref="A1:Z989"/>
  <sheetViews>
    <sheetView workbookViewId="0">
      <pane ySplit="10" topLeftCell="A11" activePane="bottomLeft" state="frozen"/>
      <selection pane="bottomLeft" activeCell="A26" sqref="A26:XFD26"/>
    </sheetView>
  </sheetViews>
  <sheetFormatPr defaultColWidth="12.6328125" defaultRowHeight="15" customHeight="1" outlineLevelRow="1" outlineLevelCol="1" x14ac:dyDescent="0.2"/>
  <cols>
    <col min="1" max="1" width="17" customWidth="1"/>
    <col min="2" max="2" width="34.453125" customWidth="1"/>
    <col min="3" max="3" width="34.08984375" customWidth="1"/>
    <col min="4" max="4" width="34.6328125" customWidth="1"/>
    <col min="5" max="5" width="28.36328125" customWidth="1"/>
    <col min="6" max="6" width="9.36328125" customWidth="1"/>
    <col min="7" max="7" width="10.6328125" customWidth="1" outlineLevel="1"/>
    <col min="8" max="8" width="7" customWidth="1" outlineLevel="1"/>
    <col min="9" max="9" width="9.36328125" customWidth="1"/>
    <col min="10" max="10" width="10.6328125" customWidth="1" outlineLevel="1"/>
    <col min="11" max="11" width="7" customWidth="1" outlineLevel="1"/>
    <col min="12" max="12" width="9.36328125" customWidth="1"/>
    <col min="13" max="13" width="10.6328125" customWidth="1" outlineLevel="1"/>
    <col min="14" max="14" width="7" customWidth="1" outlineLevel="1"/>
    <col min="15" max="15" width="28.6328125" customWidth="1"/>
    <col min="16" max="16" width="10.08984375" customWidth="1"/>
    <col min="17" max="17" width="8.08984375" customWidth="1"/>
    <col min="18" max="18" width="7.6328125" hidden="1" customWidth="1"/>
    <col min="19" max="26" width="9" customWidth="1"/>
  </cols>
  <sheetData>
    <row r="1" spans="1:26" ht="12.75" customHeight="1" thickBot="1" x14ac:dyDescent="0.3">
      <c r="A1" s="1"/>
      <c r="B1" s="1"/>
      <c r="C1" s="1"/>
      <c r="D1" s="1"/>
      <c r="E1" s="1"/>
      <c r="F1" s="6"/>
      <c r="G1" s="6"/>
      <c r="H1" s="6"/>
      <c r="I1" s="6"/>
      <c r="J1" s="6"/>
      <c r="K1" s="6"/>
      <c r="L1" s="6"/>
      <c r="M1" s="6"/>
      <c r="N1" s="6"/>
      <c r="O1" s="6"/>
      <c r="P1" s="1"/>
      <c r="Q1" s="7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2" t="s">
        <v>2</v>
      </c>
      <c r="B2" s="130" t="s">
        <v>3</v>
      </c>
      <c r="C2" s="131"/>
      <c r="D2" s="131"/>
      <c r="E2" s="132"/>
      <c r="F2" s="133"/>
      <c r="G2" s="134"/>
      <c r="H2" s="134"/>
      <c r="I2" s="134"/>
      <c r="J2" s="134"/>
      <c r="K2" s="134"/>
      <c r="L2" s="134"/>
      <c r="M2" s="134"/>
      <c r="N2" s="134"/>
      <c r="O2" s="135"/>
      <c r="P2" s="2"/>
      <c r="Q2" s="16"/>
      <c r="R2" s="17" t="s">
        <v>5</v>
      </c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5">
      <c r="A3" s="19" t="s">
        <v>7</v>
      </c>
      <c r="B3" s="142" t="s">
        <v>71</v>
      </c>
      <c r="C3" s="112"/>
      <c r="D3" s="112"/>
      <c r="E3" s="143"/>
      <c r="F3" s="136"/>
      <c r="G3" s="137"/>
      <c r="H3" s="137"/>
      <c r="I3" s="137"/>
      <c r="J3" s="137"/>
      <c r="K3" s="137"/>
      <c r="L3" s="137"/>
      <c r="M3" s="137"/>
      <c r="N3" s="137"/>
      <c r="O3" s="138"/>
      <c r="P3" s="2"/>
      <c r="Q3" s="16"/>
      <c r="R3" s="17" t="s">
        <v>8</v>
      </c>
      <c r="S3" s="17"/>
      <c r="T3" s="17"/>
      <c r="U3" s="17"/>
      <c r="V3" s="17"/>
      <c r="W3" s="17"/>
      <c r="X3" s="17"/>
      <c r="Y3" s="17"/>
      <c r="Z3" s="17"/>
    </row>
    <row r="4" spans="1:26" ht="18" customHeight="1" x14ac:dyDescent="0.25">
      <c r="A4" s="19" t="s">
        <v>9</v>
      </c>
      <c r="B4" s="142">
        <f>COUNTIF($A$12:$A$1000,"TC-*")</f>
        <v>12</v>
      </c>
      <c r="C4" s="112"/>
      <c r="D4" s="112"/>
      <c r="E4" s="143"/>
      <c r="F4" s="136"/>
      <c r="G4" s="137"/>
      <c r="H4" s="137"/>
      <c r="I4" s="137"/>
      <c r="J4" s="137"/>
      <c r="K4" s="137"/>
      <c r="L4" s="137"/>
      <c r="M4" s="137"/>
      <c r="N4" s="137"/>
      <c r="O4" s="138"/>
      <c r="P4" s="2"/>
      <c r="Q4" s="16"/>
      <c r="R4" s="17" t="s">
        <v>12</v>
      </c>
      <c r="S4" s="17"/>
      <c r="T4" s="17"/>
      <c r="U4" s="17"/>
      <c r="V4" s="17"/>
      <c r="W4" s="17"/>
      <c r="X4" s="17"/>
      <c r="Y4" s="17"/>
      <c r="Z4" s="17"/>
    </row>
    <row r="5" spans="1:26" ht="19.5" customHeight="1" x14ac:dyDescent="0.25">
      <c r="A5" s="25" t="s">
        <v>13</v>
      </c>
      <c r="B5" s="26" t="s">
        <v>5</v>
      </c>
      <c r="C5" s="26" t="s">
        <v>8</v>
      </c>
      <c r="D5" s="26" t="s">
        <v>12</v>
      </c>
      <c r="E5" s="28" t="s">
        <v>16</v>
      </c>
      <c r="F5" s="136"/>
      <c r="G5" s="137"/>
      <c r="H5" s="137"/>
      <c r="I5" s="137"/>
      <c r="J5" s="137"/>
      <c r="K5" s="137"/>
      <c r="L5" s="137"/>
      <c r="M5" s="137"/>
      <c r="N5" s="137"/>
      <c r="O5" s="138"/>
      <c r="P5" s="29"/>
      <c r="Q5" s="30"/>
      <c r="R5" s="17" t="s">
        <v>16</v>
      </c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25">
      <c r="A6" s="25" t="s">
        <v>20</v>
      </c>
      <c r="B6" s="32">
        <f>COUNTIF($F10:$F987,B5)</f>
        <v>12</v>
      </c>
      <c r="C6" s="32">
        <f>COUNTIF($F10:$F987,C5)</f>
        <v>0</v>
      </c>
      <c r="D6" s="32">
        <f>COUNTIF($F10:$F987,D5)</f>
        <v>0</v>
      </c>
      <c r="E6" s="35">
        <f>COUNTIF($F10:$F987,E5)</f>
        <v>0</v>
      </c>
      <c r="F6" s="136"/>
      <c r="G6" s="137"/>
      <c r="H6" s="137"/>
      <c r="I6" s="137"/>
      <c r="J6" s="137"/>
      <c r="K6" s="137"/>
      <c r="L6" s="137"/>
      <c r="M6" s="137"/>
      <c r="N6" s="137"/>
      <c r="O6" s="138"/>
      <c r="P6" s="29"/>
      <c r="Q6" s="30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25">
      <c r="A7" s="25" t="s">
        <v>23</v>
      </c>
      <c r="B7" s="32">
        <f>COUNTIF($I10:$I998,B5)</f>
        <v>11</v>
      </c>
      <c r="C7" s="32">
        <f>COUNTIF($I10:$I998,C5)</f>
        <v>1</v>
      </c>
      <c r="D7" s="32">
        <f>COUNTIF($I10:$I998,D5)</f>
        <v>0</v>
      </c>
      <c r="E7" s="35">
        <f>COUNTIF($I10:$I998,E5)</f>
        <v>0</v>
      </c>
      <c r="F7" s="136"/>
      <c r="G7" s="137"/>
      <c r="H7" s="137"/>
      <c r="I7" s="137"/>
      <c r="J7" s="137"/>
      <c r="K7" s="137"/>
      <c r="L7" s="137"/>
      <c r="M7" s="137"/>
      <c r="N7" s="137"/>
      <c r="O7" s="138"/>
      <c r="P7" s="29"/>
      <c r="Q7" s="30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thickBot="1" x14ac:dyDescent="0.3">
      <c r="A8" s="44" t="s">
        <v>25</v>
      </c>
      <c r="B8" s="47">
        <f>COUNTIF($L10:$L998,B5)</f>
        <v>0</v>
      </c>
      <c r="C8" s="47">
        <f>COUNTIF($L10:$L998,C5)</f>
        <v>0</v>
      </c>
      <c r="D8" s="47">
        <f>COUNTIF($L10:$L998,D5)</f>
        <v>12</v>
      </c>
      <c r="E8" s="50">
        <f>COUNTIF($L10:$L998,E5)</f>
        <v>0</v>
      </c>
      <c r="F8" s="136"/>
      <c r="G8" s="137"/>
      <c r="H8" s="137"/>
      <c r="I8" s="137"/>
      <c r="J8" s="137"/>
      <c r="K8" s="137"/>
      <c r="L8" s="137"/>
      <c r="M8" s="137"/>
      <c r="N8" s="137"/>
      <c r="O8" s="138"/>
      <c r="P8" s="29"/>
      <c r="Q8" s="30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25">
      <c r="A9" s="29"/>
      <c r="B9" s="29"/>
      <c r="C9" s="29"/>
      <c r="D9" s="29"/>
      <c r="E9" s="29"/>
      <c r="F9" s="139"/>
      <c r="G9" s="140"/>
      <c r="H9" s="140"/>
      <c r="I9" s="140"/>
      <c r="J9" s="140"/>
      <c r="K9" s="140"/>
      <c r="L9" s="140"/>
      <c r="M9" s="140"/>
      <c r="N9" s="140"/>
      <c r="O9" s="141"/>
      <c r="P9" s="29"/>
      <c r="Q9" s="30"/>
      <c r="R9" s="17"/>
      <c r="S9" s="17"/>
      <c r="T9" s="17"/>
      <c r="U9" s="17"/>
      <c r="V9" s="17"/>
      <c r="W9" s="17"/>
      <c r="X9" s="17"/>
      <c r="Y9" s="17"/>
      <c r="Z9" s="17"/>
    </row>
    <row r="10" spans="1:26" ht="25.5" customHeight="1" x14ac:dyDescent="0.25">
      <c r="A10" s="69" t="s">
        <v>38</v>
      </c>
      <c r="B10" s="69" t="s">
        <v>39</v>
      </c>
      <c r="C10" s="69" t="s">
        <v>40</v>
      </c>
      <c r="D10" s="69" t="s">
        <v>41</v>
      </c>
      <c r="E10" s="69" t="s">
        <v>42</v>
      </c>
      <c r="F10" s="69" t="s">
        <v>20</v>
      </c>
      <c r="G10" s="69" t="s">
        <v>43</v>
      </c>
      <c r="H10" s="69" t="s">
        <v>44</v>
      </c>
      <c r="I10" s="69" t="s">
        <v>23</v>
      </c>
      <c r="J10" s="69" t="s">
        <v>43</v>
      </c>
      <c r="K10" s="69" t="s">
        <v>44</v>
      </c>
      <c r="L10" s="69" t="s">
        <v>25</v>
      </c>
      <c r="M10" s="69" t="s">
        <v>43</v>
      </c>
      <c r="N10" s="69" t="s">
        <v>44</v>
      </c>
      <c r="O10" s="69" t="s">
        <v>46</v>
      </c>
      <c r="P10" s="17"/>
      <c r="Q10" s="78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5">
      <c r="A11" s="144" t="s">
        <v>48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3"/>
      <c r="P11" s="81"/>
      <c r="Q11" s="83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83.25" customHeight="1" outlineLevel="1" x14ac:dyDescent="0.2">
      <c r="A12" s="66" t="s">
        <v>49</v>
      </c>
      <c r="B12" s="66" t="s">
        <v>72</v>
      </c>
      <c r="C12" s="66" t="s">
        <v>73</v>
      </c>
      <c r="D12" s="66" t="s">
        <v>74</v>
      </c>
      <c r="E12" s="66" t="s">
        <v>75</v>
      </c>
      <c r="F12" s="87" t="s">
        <v>5</v>
      </c>
      <c r="G12" s="88">
        <v>46244.708333333336</v>
      </c>
      <c r="H12" s="87" t="s">
        <v>76</v>
      </c>
      <c r="I12" s="87" t="s">
        <v>5</v>
      </c>
      <c r="J12" s="88">
        <v>46244.708333333336</v>
      </c>
      <c r="K12" s="87" t="s">
        <v>76</v>
      </c>
      <c r="L12" s="87" t="s">
        <v>12</v>
      </c>
      <c r="M12" s="88"/>
      <c r="N12" s="87"/>
      <c r="O12" s="87"/>
      <c r="P12" s="89"/>
      <c r="Q12" s="90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12.75" customHeight="1" outlineLevel="1" x14ac:dyDescent="0.25">
      <c r="A13" s="66" t="s">
        <v>50</v>
      </c>
      <c r="B13" s="66" t="s">
        <v>77</v>
      </c>
      <c r="C13" s="66" t="s">
        <v>78</v>
      </c>
      <c r="D13" s="66" t="s">
        <v>79</v>
      </c>
      <c r="E13" s="66" t="s">
        <v>80</v>
      </c>
      <c r="F13" s="87" t="s">
        <v>5</v>
      </c>
      <c r="G13" s="88">
        <v>46244.708333333336</v>
      </c>
      <c r="H13" s="87" t="s">
        <v>76</v>
      </c>
      <c r="I13" s="87" t="s">
        <v>5</v>
      </c>
      <c r="J13" s="88">
        <v>46244.708333333336</v>
      </c>
      <c r="K13" s="87" t="s">
        <v>76</v>
      </c>
      <c r="L13" s="87" t="s">
        <v>12</v>
      </c>
      <c r="M13" s="88"/>
      <c r="N13" s="87"/>
      <c r="O13" s="87"/>
      <c r="P13" s="86"/>
      <c r="Q13" s="90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outlineLevel="1" x14ac:dyDescent="0.25">
      <c r="A14" s="66" t="s">
        <v>51</v>
      </c>
      <c r="B14" s="66" t="s">
        <v>81</v>
      </c>
      <c r="C14" s="66" t="s">
        <v>82</v>
      </c>
      <c r="D14" s="66" t="s">
        <v>83</v>
      </c>
      <c r="E14" s="66" t="s">
        <v>84</v>
      </c>
      <c r="F14" s="87" t="s">
        <v>5</v>
      </c>
      <c r="G14" s="88">
        <v>46244.708333333336</v>
      </c>
      <c r="H14" s="87" t="s">
        <v>76</v>
      </c>
      <c r="I14" s="87" t="s">
        <v>8</v>
      </c>
      <c r="J14" s="88">
        <v>46244.708333333336</v>
      </c>
      <c r="K14" s="87" t="s">
        <v>76</v>
      </c>
      <c r="L14" s="87" t="s">
        <v>12</v>
      </c>
      <c r="M14" s="88"/>
      <c r="N14" s="87"/>
      <c r="O14" s="87" t="s">
        <v>85</v>
      </c>
      <c r="P14" s="86"/>
      <c r="Q14" s="90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44" t="s">
        <v>86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6"/>
      <c r="P15" s="86"/>
      <c r="Q15" s="7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outlineLevel="1" x14ac:dyDescent="0.25">
      <c r="A16" s="66" t="s">
        <v>52</v>
      </c>
      <c r="B16" s="66" t="s">
        <v>87</v>
      </c>
      <c r="C16" s="66" t="s">
        <v>88</v>
      </c>
      <c r="D16" s="66" t="s">
        <v>89</v>
      </c>
      <c r="E16" s="66" t="s">
        <v>90</v>
      </c>
      <c r="F16" s="87" t="s">
        <v>5</v>
      </c>
      <c r="G16" s="88">
        <v>46244.708333333336</v>
      </c>
      <c r="H16" s="87" t="s">
        <v>91</v>
      </c>
      <c r="I16" s="87" t="s">
        <v>5</v>
      </c>
      <c r="J16" s="88">
        <v>46244.708333333336</v>
      </c>
      <c r="K16" s="87" t="s">
        <v>91</v>
      </c>
      <c r="L16" s="87" t="s">
        <v>12</v>
      </c>
      <c r="M16" s="88"/>
      <c r="N16" s="87"/>
      <c r="O16" s="87"/>
      <c r="P16" s="86"/>
      <c r="Q16" s="90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outlineLevel="1" x14ac:dyDescent="0.25">
      <c r="A17" s="66" t="s">
        <v>53</v>
      </c>
      <c r="B17" s="66" t="s">
        <v>92</v>
      </c>
      <c r="C17" s="66" t="s">
        <v>93</v>
      </c>
      <c r="D17" s="66" t="s">
        <v>94</v>
      </c>
      <c r="E17" s="66" t="s">
        <v>95</v>
      </c>
      <c r="F17" s="87" t="s">
        <v>5</v>
      </c>
      <c r="G17" s="88">
        <v>46244.708333333336</v>
      </c>
      <c r="H17" s="87" t="s">
        <v>91</v>
      </c>
      <c r="I17" s="87" t="s">
        <v>5</v>
      </c>
      <c r="J17" s="88">
        <v>46244.708333333336</v>
      </c>
      <c r="K17" s="87" t="s">
        <v>91</v>
      </c>
      <c r="L17" s="87" t="s">
        <v>12</v>
      </c>
      <c r="M17" s="88"/>
      <c r="N17" s="87"/>
      <c r="O17" s="87"/>
      <c r="P17" s="86"/>
      <c r="Q17" s="7"/>
      <c r="R17" s="1"/>
      <c r="S17" s="1"/>
      <c r="T17" s="1"/>
      <c r="U17" s="1"/>
      <c r="V17" s="1"/>
      <c r="W17" s="1"/>
      <c r="X17" s="1"/>
      <c r="Y17" s="1"/>
      <c r="Z17" s="1"/>
    </row>
    <row r="18" spans="1:26" ht="51" customHeight="1" outlineLevel="1" x14ac:dyDescent="0.25">
      <c r="A18" s="66" t="s">
        <v>54</v>
      </c>
      <c r="B18" s="66" t="s">
        <v>96</v>
      </c>
      <c r="C18" s="66" t="s">
        <v>97</v>
      </c>
      <c r="D18" s="66" t="s">
        <v>98</v>
      </c>
      <c r="E18" s="66" t="s">
        <v>99</v>
      </c>
      <c r="F18" s="87" t="s">
        <v>5</v>
      </c>
      <c r="G18" s="88">
        <v>46244.708333333336</v>
      </c>
      <c r="H18" s="87" t="s">
        <v>91</v>
      </c>
      <c r="I18" s="87" t="s">
        <v>5</v>
      </c>
      <c r="J18" s="88">
        <v>46244.708333333336</v>
      </c>
      <c r="K18" s="87" t="s">
        <v>91</v>
      </c>
      <c r="L18" s="87" t="s">
        <v>12</v>
      </c>
      <c r="M18" s="88"/>
      <c r="N18" s="87"/>
      <c r="O18" s="97"/>
      <c r="P18" s="81"/>
      <c r="Q18" s="83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 x14ac:dyDescent="0.25">
      <c r="A19" s="144" t="s">
        <v>100</v>
      </c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6"/>
      <c r="P19" s="86"/>
      <c r="Q19" s="7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outlineLevel="1" x14ac:dyDescent="0.25">
      <c r="A20" s="66" t="s">
        <v>55</v>
      </c>
      <c r="B20" s="66" t="s">
        <v>101</v>
      </c>
      <c r="C20" s="66" t="s">
        <v>102</v>
      </c>
      <c r="D20" s="66" t="s">
        <v>103</v>
      </c>
      <c r="E20" s="66" t="s">
        <v>104</v>
      </c>
      <c r="F20" s="87" t="s">
        <v>5</v>
      </c>
      <c r="G20" s="88">
        <v>46244.708333333336</v>
      </c>
      <c r="H20" s="87" t="s">
        <v>76</v>
      </c>
      <c r="I20" s="87" t="s">
        <v>5</v>
      </c>
      <c r="J20" s="88">
        <v>46244.708333333336</v>
      </c>
      <c r="K20" s="87" t="s">
        <v>76</v>
      </c>
      <c r="L20" s="87" t="s">
        <v>12</v>
      </c>
      <c r="M20" s="88"/>
      <c r="N20" s="87"/>
      <c r="O20" s="87"/>
      <c r="P20" s="86"/>
      <c r="Q20" s="7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outlineLevel="1" x14ac:dyDescent="0.25">
      <c r="A21" s="66" t="s">
        <v>56</v>
      </c>
      <c r="B21" s="66" t="s">
        <v>105</v>
      </c>
      <c r="C21" s="66" t="s">
        <v>106</v>
      </c>
      <c r="D21" s="66" t="s">
        <v>107</v>
      </c>
      <c r="E21" s="66" t="s">
        <v>108</v>
      </c>
      <c r="F21" s="87" t="s">
        <v>5</v>
      </c>
      <c r="G21" s="88">
        <v>46244.708333333336</v>
      </c>
      <c r="H21" s="87" t="s">
        <v>76</v>
      </c>
      <c r="I21" s="87" t="s">
        <v>5</v>
      </c>
      <c r="J21" s="88">
        <v>46244.708333333336</v>
      </c>
      <c r="K21" s="87" t="s">
        <v>76</v>
      </c>
      <c r="L21" s="87" t="s">
        <v>12</v>
      </c>
      <c r="M21" s="88"/>
      <c r="N21" s="87"/>
      <c r="O21" s="87"/>
      <c r="P21" s="86"/>
      <c r="Q21" s="7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outlineLevel="1" x14ac:dyDescent="0.25">
      <c r="A22" s="66" t="s">
        <v>57</v>
      </c>
      <c r="B22" s="66" t="s">
        <v>109</v>
      </c>
      <c r="C22" s="66" t="s">
        <v>110</v>
      </c>
      <c r="D22" s="66" t="s">
        <v>111</v>
      </c>
      <c r="E22" s="66" t="s">
        <v>108</v>
      </c>
      <c r="F22" s="87" t="s">
        <v>5</v>
      </c>
      <c r="G22" s="88">
        <v>46244.708333333336</v>
      </c>
      <c r="H22" s="87" t="s">
        <v>76</v>
      </c>
      <c r="I22" s="87" t="s">
        <v>5</v>
      </c>
      <c r="J22" s="88">
        <v>46244.708333333336</v>
      </c>
      <c r="K22" s="87" t="s">
        <v>76</v>
      </c>
      <c r="L22" s="87" t="s">
        <v>12</v>
      </c>
      <c r="M22" s="88"/>
      <c r="N22" s="87"/>
      <c r="O22" s="87"/>
      <c r="P22" s="86"/>
      <c r="Q22" s="7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44" t="s">
        <v>112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6"/>
      <c r="P23" s="86"/>
      <c r="Q23" s="7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outlineLevel="1" x14ac:dyDescent="0.25">
      <c r="A24" s="66" t="s">
        <v>59</v>
      </c>
      <c r="B24" s="66" t="s">
        <v>113</v>
      </c>
      <c r="C24" s="66" t="s">
        <v>114</v>
      </c>
      <c r="D24" s="66" t="s">
        <v>115</v>
      </c>
      <c r="E24" s="66" t="s">
        <v>99</v>
      </c>
      <c r="F24" s="87" t="s">
        <v>5</v>
      </c>
      <c r="G24" s="88">
        <v>46244.708333333336</v>
      </c>
      <c r="H24" s="87" t="s">
        <v>91</v>
      </c>
      <c r="I24" s="87" t="s">
        <v>5</v>
      </c>
      <c r="J24" s="88">
        <v>46244.708333333336</v>
      </c>
      <c r="K24" s="87" t="s">
        <v>91</v>
      </c>
      <c r="L24" s="87" t="s">
        <v>12</v>
      </c>
      <c r="M24" s="88"/>
      <c r="N24" s="87"/>
      <c r="O24" s="87"/>
      <c r="P24" s="86"/>
      <c r="Q24" s="7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outlineLevel="1" x14ac:dyDescent="0.25">
      <c r="A25" s="66" t="s">
        <v>60</v>
      </c>
      <c r="B25" s="66" t="s">
        <v>116</v>
      </c>
      <c r="C25" s="66" t="s">
        <v>117</v>
      </c>
      <c r="D25" s="66" t="s">
        <v>118</v>
      </c>
      <c r="E25" s="66" t="s">
        <v>119</v>
      </c>
      <c r="F25" s="87" t="s">
        <v>5</v>
      </c>
      <c r="G25" s="88">
        <v>46244.708333333336</v>
      </c>
      <c r="H25" s="87" t="s">
        <v>91</v>
      </c>
      <c r="I25" s="87" t="s">
        <v>5</v>
      </c>
      <c r="J25" s="88">
        <v>46244.708333333336</v>
      </c>
      <c r="K25" s="87" t="s">
        <v>91</v>
      </c>
      <c r="L25" s="87" t="s">
        <v>12</v>
      </c>
      <c r="M25" s="88"/>
      <c r="N25" s="87"/>
      <c r="O25" s="87"/>
      <c r="P25" s="86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outlineLevel="1" x14ac:dyDescent="0.25">
      <c r="A26" s="66" t="s">
        <v>63</v>
      </c>
      <c r="B26" s="66" t="s">
        <v>120</v>
      </c>
      <c r="C26" s="66" t="s">
        <v>121</v>
      </c>
      <c r="D26" s="66" t="s">
        <v>122</v>
      </c>
      <c r="E26" s="66" t="s">
        <v>123</v>
      </c>
      <c r="F26" s="87" t="s">
        <v>5</v>
      </c>
      <c r="G26" s="88">
        <v>46244.708333333336</v>
      </c>
      <c r="H26" s="87" t="s">
        <v>91</v>
      </c>
      <c r="I26" s="87" t="s">
        <v>5</v>
      </c>
      <c r="J26" s="88">
        <v>46244.708333333336</v>
      </c>
      <c r="K26" s="87" t="s">
        <v>91</v>
      </c>
      <c r="L26" s="87" t="s">
        <v>12</v>
      </c>
      <c r="M26" s="88"/>
      <c r="N26" s="87"/>
      <c r="O26" s="87"/>
      <c r="P26" s="86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"/>
      <c r="Q27" s="7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6"/>
      <c r="G28" s="6"/>
      <c r="H28" s="6"/>
      <c r="I28" s="6"/>
      <c r="J28" s="6"/>
      <c r="K28" s="6"/>
      <c r="L28" s="6"/>
      <c r="M28" s="6"/>
      <c r="N28" s="6"/>
      <c r="O28" s="6"/>
      <c r="P28" s="1"/>
      <c r="Q28" s="7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6"/>
      <c r="G29" s="6"/>
      <c r="H29" s="6"/>
      <c r="I29" s="6"/>
      <c r="J29" s="6"/>
      <c r="K29" s="6"/>
      <c r="L29" s="6"/>
      <c r="M29" s="6"/>
      <c r="N29" s="6"/>
      <c r="O29" s="6"/>
      <c r="P29" s="1"/>
      <c r="Q29" s="7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6"/>
      <c r="G30" s="6"/>
      <c r="H30" s="6"/>
      <c r="I30" s="6"/>
      <c r="J30" s="6"/>
      <c r="K30" s="6"/>
      <c r="L30" s="6"/>
      <c r="M30" s="6"/>
      <c r="N30" s="6"/>
      <c r="O30" s="6"/>
      <c r="P30" s="1"/>
      <c r="Q30" s="7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6"/>
      <c r="G31" s="6"/>
      <c r="H31" s="6"/>
      <c r="I31" s="6"/>
      <c r="J31" s="6"/>
      <c r="K31" s="6"/>
      <c r="L31" s="6"/>
      <c r="M31" s="6"/>
      <c r="N31" s="6"/>
      <c r="O31" s="6"/>
      <c r="P31" s="1"/>
      <c r="Q31" s="7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6"/>
      <c r="G32" s="6"/>
      <c r="H32" s="6"/>
      <c r="I32" s="6"/>
      <c r="J32" s="6"/>
      <c r="K32" s="6"/>
      <c r="L32" s="6"/>
      <c r="M32" s="6"/>
      <c r="N32" s="6"/>
      <c r="O32" s="6"/>
      <c r="P32" s="1"/>
      <c r="Q32" s="7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6"/>
      <c r="G33" s="6"/>
      <c r="H33" s="6"/>
      <c r="I33" s="6"/>
      <c r="J33" s="6"/>
      <c r="K33" s="6"/>
      <c r="L33" s="6"/>
      <c r="M33" s="6"/>
      <c r="N33" s="6"/>
      <c r="O33" s="6"/>
      <c r="P33" s="1"/>
      <c r="Q33" s="7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6"/>
      <c r="G34" s="6"/>
      <c r="H34" s="6"/>
      <c r="I34" s="6"/>
      <c r="J34" s="6"/>
      <c r="K34" s="6"/>
      <c r="L34" s="6"/>
      <c r="M34" s="6"/>
      <c r="N34" s="6"/>
      <c r="O34" s="6"/>
      <c r="P34" s="1"/>
      <c r="Q34" s="7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6"/>
      <c r="G35" s="6"/>
      <c r="H35" s="6"/>
      <c r="I35" s="6"/>
      <c r="J35" s="6"/>
      <c r="K35" s="6"/>
      <c r="L35" s="6"/>
      <c r="M35" s="6"/>
      <c r="N35" s="6"/>
      <c r="O35" s="6"/>
      <c r="P35" s="1"/>
      <c r="Q35" s="7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6"/>
      <c r="G36" s="6"/>
      <c r="H36" s="6"/>
      <c r="I36" s="6"/>
      <c r="J36" s="6"/>
      <c r="K36" s="6"/>
      <c r="L36" s="6"/>
      <c r="M36" s="6"/>
      <c r="N36" s="6"/>
      <c r="O36" s="6"/>
      <c r="P36" s="1"/>
      <c r="Q36" s="7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1"/>
      <c r="Q37" s="7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1"/>
      <c r="Q38" s="7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1"/>
      <c r="Q39" s="7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6"/>
      <c r="G40" s="6"/>
      <c r="H40" s="6"/>
      <c r="I40" s="6"/>
      <c r="J40" s="6"/>
      <c r="K40" s="6"/>
      <c r="L40" s="6"/>
      <c r="M40" s="6"/>
      <c r="N40" s="6"/>
      <c r="O40" s="6"/>
      <c r="P40" s="1"/>
      <c r="Q40" s="7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6"/>
      <c r="P41" s="1"/>
      <c r="Q41" s="7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6"/>
      <c r="P42" s="1"/>
      <c r="Q42" s="7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6"/>
      <c r="G43" s="6"/>
      <c r="H43" s="6"/>
      <c r="I43" s="6"/>
      <c r="J43" s="6"/>
      <c r="K43" s="6"/>
      <c r="L43" s="6"/>
      <c r="M43" s="6"/>
      <c r="N43" s="6"/>
      <c r="O43" s="6"/>
      <c r="P43" s="1"/>
      <c r="Q43" s="7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6"/>
      <c r="G44" s="6"/>
      <c r="H44" s="6"/>
      <c r="I44" s="6"/>
      <c r="J44" s="6"/>
      <c r="K44" s="6"/>
      <c r="L44" s="6"/>
      <c r="M44" s="6"/>
      <c r="N44" s="6"/>
      <c r="O44" s="6"/>
      <c r="P44" s="1"/>
      <c r="Q44" s="7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6"/>
      <c r="G45" s="6"/>
      <c r="H45" s="6"/>
      <c r="I45" s="6"/>
      <c r="J45" s="6"/>
      <c r="K45" s="6"/>
      <c r="L45" s="6"/>
      <c r="M45" s="6"/>
      <c r="N45" s="6"/>
      <c r="O45" s="6"/>
      <c r="P45" s="1"/>
      <c r="Q45" s="7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6"/>
      <c r="G46" s="6"/>
      <c r="H46" s="6"/>
      <c r="I46" s="6"/>
      <c r="J46" s="6"/>
      <c r="K46" s="6"/>
      <c r="L46" s="6"/>
      <c r="M46" s="6"/>
      <c r="N46" s="6"/>
      <c r="O46" s="6"/>
      <c r="P46" s="1"/>
      <c r="Q46" s="7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6"/>
      <c r="G47" s="6"/>
      <c r="H47" s="6"/>
      <c r="I47" s="6"/>
      <c r="J47" s="6"/>
      <c r="K47" s="6"/>
      <c r="L47" s="6"/>
      <c r="M47" s="6"/>
      <c r="N47" s="6"/>
      <c r="O47" s="6"/>
      <c r="P47" s="1"/>
      <c r="Q47" s="7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6"/>
      <c r="G48" s="6"/>
      <c r="H48" s="6"/>
      <c r="I48" s="6"/>
      <c r="J48" s="6"/>
      <c r="K48" s="6"/>
      <c r="L48" s="6"/>
      <c r="M48" s="6"/>
      <c r="N48" s="6"/>
      <c r="O48" s="6"/>
      <c r="P48" s="1"/>
      <c r="Q48" s="7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6"/>
      <c r="P49" s="1"/>
      <c r="Q49" s="7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6"/>
      <c r="P50" s="1"/>
      <c r="Q50" s="7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6"/>
      <c r="P51" s="1"/>
      <c r="Q51" s="7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6"/>
      <c r="P52" s="1"/>
      <c r="Q52" s="7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6"/>
      <c r="P53" s="1"/>
      <c r="Q53" s="7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6"/>
      <c r="P54" s="1"/>
      <c r="Q54" s="7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6"/>
      <c r="P55" s="1"/>
      <c r="Q55" s="7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6"/>
      <c r="G56" s="6"/>
      <c r="H56" s="6"/>
      <c r="I56" s="6"/>
      <c r="J56" s="6"/>
      <c r="K56" s="6"/>
      <c r="L56" s="6"/>
      <c r="M56" s="6"/>
      <c r="N56" s="6"/>
      <c r="O56" s="6"/>
      <c r="P56" s="1"/>
      <c r="Q56" s="7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6"/>
      <c r="G57" s="6"/>
      <c r="H57" s="6"/>
      <c r="I57" s="6"/>
      <c r="J57" s="6"/>
      <c r="K57" s="6"/>
      <c r="L57" s="6"/>
      <c r="M57" s="6"/>
      <c r="N57" s="6"/>
      <c r="O57" s="6"/>
      <c r="P57" s="1"/>
      <c r="Q57" s="7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6"/>
      <c r="G58" s="6"/>
      <c r="H58" s="6"/>
      <c r="I58" s="6"/>
      <c r="J58" s="6"/>
      <c r="K58" s="6"/>
      <c r="L58" s="6"/>
      <c r="M58" s="6"/>
      <c r="N58" s="6"/>
      <c r="O58" s="6"/>
      <c r="P58" s="1"/>
      <c r="Q58" s="7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6"/>
      <c r="G59" s="6"/>
      <c r="H59" s="6"/>
      <c r="I59" s="6"/>
      <c r="J59" s="6"/>
      <c r="K59" s="6"/>
      <c r="L59" s="6"/>
      <c r="M59" s="6"/>
      <c r="N59" s="6"/>
      <c r="O59" s="6"/>
      <c r="P59" s="1"/>
      <c r="Q59" s="7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6"/>
      <c r="G60" s="6"/>
      <c r="H60" s="6"/>
      <c r="I60" s="6"/>
      <c r="J60" s="6"/>
      <c r="K60" s="6"/>
      <c r="L60" s="6"/>
      <c r="M60" s="6"/>
      <c r="N60" s="6"/>
      <c r="O60" s="6"/>
      <c r="P60" s="1"/>
      <c r="Q60" s="7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6"/>
      <c r="G61" s="6"/>
      <c r="H61" s="6"/>
      <c r="I61" s="6"/>
      <c r="J61" s="6"/>
      <c r="K61" s="6"/>
      <c r="L61" s="6"/>
      <c r="M61" s="6"/>
      <c r="N61" s="6"/>
      <c r="O61" s="6"/>
      <c r="P61" s="1"/>
      <c r="Q61" s="7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6"/>
      <c r="P62" s="1"/>
      <c r="Q62" s="7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6"/>
      <c r="P63" s="1"/>
      <c r="Q63" s="7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6"/>
      <c r="P64" s="1"/>
      <c r="Q64" s="7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6"/>
      <c r="G65" s="6"/>
      <c r="H65" s="6"/>
      <c r="I65" s="6"/>
      <c r="J65" s="6"/>
      <c r="K65" s="6"/>
      <c r="L65" s="6"/>
      <c r="M65" s="6"/>
      <c r="N65" s="6"/>
      <c r="O65" s="6"/>
      <c r="P65" s="1"/>
      <c r="Q65" s="7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6"/>
      <c r="G66" s="6"/>
      <c r="H66" s="6"/>
      <c r="I66" s="6"/>
      <c r="J66" s="6"/>
      <c r="K66" s="6"/>
      <c r="L66" s="6"/>
      <c r="M66" s="6"/>
      <c r="N66" s="6"/>
      <c r="O66" s="6"/>
      <c r="P66" s="1"/>
      <c r="Q66" s="7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6"/>
      <c r="G67" s="6"/>
      <c r="H67" s="6"/>
      <c r="I67" s="6"/>
      <c r="J67" s="6"/>
      <c r="K67" s="6"/>
      <c r="L67" s="6"/>
      <c r="M67" s="6"/>
      <c r="N67" s="6"/>
      <c r="O67" s="6"/>
      <c r="P67" s="1"/>
      <c r="Q67" s="7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6"/>
      <c r="G68" s="6"/>
      <c r="H68" s="6"/>
      <c r="I68" s="6"/>
      <c r="J68" s="6"/>
      <c r="K68" s="6"/>
      <c r="L68" s="6"/>
      <c r="M68" s="6"/>
      <c r="N68" s="6"/>
      <c r="O68" s="6"/>
      <c r="P68" s="1"/>
      <c r="Q68" s="7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6"/>
      <c r="G69" s="6"/>
      <c r="H69" s="6"/>
      <c r="I69" s="6"/>
      <c r="J69" s="6"/>
      <c r="K69" s="6"/>
      <c r="L69" s="6"/>
      <c r="M69" s="6"/>
      <c r="N69" s="6"/>
      <c r="O69" s="6"/>
      <c r="P69" s="1"/>
      <c r="Q69" s="7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6"/>
      <c r="G70" s="6"/>
      <c r="H70" s="6"/>
      <c r="I70" s="6"/>
      <c r="J70" s="6"/>
      <c r="K70" s="6"/>
      <c r="L70" s="6"/>
      <c r="M70" s="6"/>
      <c r="N70" s="6"/>
      <c r="O70" s="6"/>
      <c r="P70" s="1"/>
      <c r="Q70" s="7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6"/>
      <c r="G71" s="6"/>
      <c r="H71" s="6"/>
      <c r="I71" s="6"/>
      <c r="J71" s="6"/>
      <c r="K71" s="6"/>
      <c r="L71" s="6"/>
      <c r="M71" s="6"/>
      <c r="N71" s="6"/>
      <c r="O71" s="6"/>
      <c r="P71" s="1"/>
      <c r="Q71" s="7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6"/>
      <c r="G72" s="6"/>
      <c r="H72" s="6"/>
      <c r="I72" s="6"/>
      <c r="J72" s="6"/>
      <c r="K72" s="6"/>
      <c r="L72" s="6"/>
      <c r="M72" s="6"/>
      <c r="N72" s="6"/>
      <c r="O72" s="6"/>
      <c r="P72" s="1"/>
      <c r="Q72" s="7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6"/>
      <c r="G73" s="6"/>
      <c r="H73" s="6"/>
      <c r="I73" s="6"/>
      <c r="J73" s="6"/>
      <c r="K73" s="6"/>
      <c r="L73" s="6"/>
      <c r="M73" s="6"/>
      <c r="N73" s="6"/>
      <c r="O73" s="6"/>
      <c r="P73" s="1"/>
      <c r="Q73" s="7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6"/>
      <c r="G74" s="6"/>
      <c r="H74" s="6"/>
      <c r="I74" s="6"/>
      <c r="J74" s="6"/>
      <c r="K74" s="6"/>
      <c r="L74" s="6"/>
      <c r="M74" s="6"/>
      <c r="N74" s="6"/>
      <c r="O74" s="6"/>
      <c r="P74" s="1"/>
      <c r="Q74" s="7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6"/>
      <c r="G75" s="6"/>
      <c r="H75" s="6"/>
      <c r="I75" s="6"/>
      <c r="J75" s="6"/>
      <c r="K75" s="6"/>
      <c r="L75" s="6"/>
      <c r="M75" s="6"/>
      <c r="N75" s="6"/>
      <c r="O75" s="6"/>
      <c r="P75" s="1"/>
      <c r="Q75" s="7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6"/>
      <c r="G76" s="6"/>
      <c r="H76" s="6"/>
      <c r="I76" s="6"/>
      <c r="J76" s="6"/>
      <c r="K76" s="6"/>
      <c r="L76" s="6"/>
      <c r="M76" s="6"/>
      <c r="N76" s="6"/>
      <c r="O76" s="6"/>
      <c r="P76" s="1"/>
      <c r="Q76" s="7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6"/>
      <c r="G77" s="6"/>
      <c r="H77" s="6"/>
      <c r="I77" s="6"/>
      <c r="J77" s="6"/>
      <c r="K77" s="6"/>
      <c r="L77" s="6"/>
      <c r="M77" s="6"/>
      <c r="N77" s="6"/>
      <c r="O77" s="6"/>
      <c r="P77" s="1"/>
      <c r="Q77" s="7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6"/>
      <c r="G78" s="6"/>
      <c r="H78" s="6"/>
      <c r="I78" s="6"/>
      <c r="J78" s="6"/>
      <c r="K78" s="6"/>
      <c r="L78" s="6"/>
      <c r="M78" s="6"/>
      <c r="N78" s="6"/>
      <c r="O78" s="6"/>
      <c r="P78" s="1"/>
      <c r="Q78" s="7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6"/>
      <c r="G79" s="6"/>
      <c r="H79" s="6"/>
      <c r="I79" s="6"/>
      <c r="J79" s="6"/>
      <c r="K79" s="6"/>
      <c r="L79" s="6"/>
      <c r="M79" s="6"/>
      <c r="N79" s="6"/>
      <c r="O79" s="6"/>
      <c r="P79" s="1"/>
      <c r="Q79" s="7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6"/>
      <c r="G80" s="6"/>
      <c r="H80" s="6"/>
      <c r="I80" s="6"/>
      <c r="J80" s="6"/>
      <c r="K80" s="6"/>
      <c r="L80" s="6"/>
      <c r="M80" s="6"/>
      <c r="N80" s="6"/>
      <c r="O80" s="6"/>
      <c r="P80" s="1"/>
      <c r="Q80" s="7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6"/>
      <c r="G81" s="6"/>
      <c r="H81" s="6"/>
      <c r="I81" s="6"/>
      <c r="J81" s="6"/>
      <c r="K81" s="6"/>
      <c r="L81" s="6"/>
      <c r="M81" s="6"/>
      <c r="N81" s="6"/>
      <c r="O81" s="6"/>
      <c r="P81" s="1"/>
      <c r="Q81" s="7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6"/>
      <c r="G82" s="6"/>
      <c r="H82" s="6"/>
      <c r="I82" s="6"/>
      <c r="J82" s="6"/>
      <c r="K82" s="6"/>
      <c r="L82" s="6"/>
      <c r="M82" s="6"/>
      <c r="N82" s="6"/>
      <c r="O82" s="6"/>
      <c r="P82" s="1"/>
      <c r="Q82" s="7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6"/>
      <c r="P83" s="1"/>
      <c r="Q83" s="7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6"/>
      <c r="P84" s="1"/>
      <c r="Q84" s="7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6"/>
      <c r="P85" s="1"/>
      <c r="Q85" s="7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6"/>
      <c r="G86" s="6"/>
      <c r="H86" s="6"/>
      <c r="I86" s="6"/>
      <c r="J86" s="6"/>
      <c r="K86" s="6"/>
      <c r="L86" s="6"/>
      <c r="M86" s="6"/>
      <c r="N86" s="6"/>
      <c r="O86" s="6"/>
      <c r="P86" s="1"/>
      <c r="Q86" s="7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6"/>
      <c r="G87" s="6"/>
      <c r="H87" s="6"/>
      <c r="I87" s="6"/>
      <c r="J87" s="6"/>
      <c r="K87" s="6"/>
      <c r="L87" s="6"/>
      <c r="M87" s="6"/>
      <c r="N87" s="6"/>
      <c r="O87" s="6"/>
      <c r="P87" s="1"/>
      <c r="Q87" s="7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6"/>
      <c r="G88" s="6"/>
      <c r="H88" s="6"/>
      <c r="I88" s="6"/>
      <c r="J88" s="6"/>
      <c r="K88" s="6"/>
      <c r="L88" s="6"/>
      <c r="M88" s="6"/>
      <c r="N88" s="6"/>
      <c r="O88" s="6"/>
      <c r="P88" s="1"/>
      <c r="Q88" s="7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6"/>
      <c r="G89" s="6"/>
      <c r="H89" s="6"/>
      <c r="I89" s="6"/>
      <c r="J89" s="6"/>
      <c r="K89" s="6"/>
      <c r="L89" s="6"/>
      <c r="M89" s="6"/>
      <c r="N89" s="6"/>
      <c r="O89" s="6"/>
      <c r="P89" s="1"/>
      <c r="Q89" s="7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6"/>
      <c r="G90" s="6"/>
      <c r="H90" s="6"/>
      <c r="I90" s="6"/>
      <c r="J90" s="6"/>
      <c r="K90" s="6"/>
      <c r="L90" s="6"/>
      <c r="M90" s="6"/>
      <c r="N90" s="6"/>
      <c r="O90" s="6"/>
      <c r="P90" s="1"/>
      <c r="Q90" s="7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6"/>
      <c r="G91" s="6"/>
      <c r="H91" s="6"/>
      <c r="I91" s="6"/>
      <c r="J91" s="6"/>
      <c r="K91" s="6"/>
      <c r="L91" s="6"/>
      <c r="M91" s="6"/>
      <c r="N91" s="6"/>
      <c r="O91" s="6"/>
      <c r="P91" s="1"/>
      <c r="Q91" s="7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6"/>
      <c r="G92" s="6"/>
      <c r="H92" s="6"/>
      <c r="I92" s="6"/>
      <c r="J92" s="6"/>
      <c r="K92" s="6"/>
      <c r="L92" s="6"/>
      <c r="M92" s="6"/>
      <c r="N92" s="6"/>
      <c r="O92" s="6"/>
      <c r="P92" s="1"/>
      <c r="Q92" s="7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6"/>
      <c r="G93" s="6"/>
      <c r="H93" s="6"/>
      <c r="I93" s="6"/>
      <c r="J93" s="6"/>
      <c r="K93" s="6"/>
      <c r="L93" s="6"/>
      <c r="M93" s="6"/>
      <c r="N93" s="6"/>
      <c r="O93" s="6"/>
      <c r="P93" s="1"/>
      <c r="Q93" s="7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6"/>
      <c r="G94" s="6"/>
      <c r="H94" s="6"/>
      <c r="I94" s="6"/>
      <c r="J94" s="6"/>
      <c r="K94" s="6"/>
      <c r="L94" s="6"/>
      <c r="M94" s="6"/>
      <c r="N94" s="6"/>
      <c r="O94" s="6"/>
      <c r="P94" s="1"/>
      <c r="Q94" s="7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6"/>
      <c r="G95" s="6"/>
      <c r="H95" s="6"/>
      <c r="I95" s="6"/>
      <c r="J95" s="6"/>
      <c r="K95" s="6"/>
      <c r="L95" s="6"/>
      <c r="M95" s="6"/>
      <c r="N95" s="6"/>
      <c r="O95" s="6"/>
      <c r="P95" s="1"/>
      <c r="Q95" s="7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6"/>
      <c r="G96" s="6"/>
      <c r="H96" s="6"/>
      <c r="I96" s="6"/>
      <c r="J96" s="6"/>
      <c r="K96" s="6"/>
      <c r="L96" s="6"/>
      <c r="M96" s="6"/>
      <c r="N96" s="6"/>
      <c r="O96" s="6"/>
      <c r="P96" s="1"/>
      <c r="Q96" s="7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6"/>
      <c r="G97" s="6"/>
      <c r="H97" s="6"/>
      <c r="I97" s="6"/>
      <c r="J97" s="6"/>
      <c r="K97" s="6"/>
      <c r="L97" s="6"/>
      <c r="M97" s="6"/>
      <c r="N97" s="6"/>
      <c r="O97" s="6"/>
      <c r="P97" s="1"/>
      <c r="Q97" s="7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6"/>
      <c r="G98" s="6"/>
      <c r="H98" s="6"/>
      <c r="I98" s="6"/>
      <c r="J98" s="6"/>
      <c r="K98" s="6"/>
      <c r="L98" s="6"/>
      <c r="M98" s="6"/>
      <c r="N98" s="6"/>
      <c r="O98" s="6"/>
      <c r="P98" s="1"/>
      <c r="Q98" s="7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6"/>
      <c r="G99" s="6"/>
      <c r="H99" s="6"/>
      <c r="I99" s="6"/>
      <c r="J99" s="6"/>
      <c r="K99" s="6"/>
      <c r="L99" s="6"/>
      <c r="M99" s="6"/>
      <c r="N99" s="6"/>
      <c r="O99" s="6"/>
      <c r="P99" s="1"/>
      <c r="Q99" s="7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1"/>
      <c r="Q100" s="7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1"/>
      <c r="Q101" s="7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1"/>
      <c r="Q102" s="7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1"/>
      <c r="Q103" s="7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1"/>
      <c r="Q104" s="7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1"/>
      <c r="Q105" s="7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1"/>
      <c r="Q106" s="7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1"/>
      <c r="Q107" s="7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1"/>
      <c r="Q108" s="7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1"/>
      <c r="Q109" s="7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1"/>
      <c r="Q110" s="7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1"/>
      <c r="Q111" s="7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1"/>
      <c r="Q112" s="7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1"/>
      <c r="Q113" s="7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1"/>
      <c r="Q114" s="7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1"/>
      <c r="Q115" s="7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1"/>
      <c r="Q116" s="7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1"/>
      <c r="Q117" s="7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1"/>
      <c r="Q118" s="7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1"/>
      <c r="Q119" s="7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1"/>
      <c r="Q120" s="7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1"/>
      <c r="Q121" s="7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1"/>
      <c r="Q122" s="7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1"/>
      <c r="Q123" s="7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1"/>
      <c r="Q124" s="7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1"/>
      <c r="Q125" s="7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1"/>
      <c r="Q126" s="7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1"/>
      <c r="Q127" s="7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1"/>
      <c r="Q128" s="7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1"/>
      <c r="Q129" s="7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1"/>
      <c r="Q130" s="7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1"/>
      <c r="Q131" s="7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1"/>
      <c r="Q132" s="7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1"/>
      <c r="Q133" s="7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1"/>
      <c r="Q134" s="7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1"/>
      <c r="Q135" s="7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1"/>
      <c r="Q136" s="7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1"/>
      <c r="Q137" s="7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1"/>
      <c r="Q138" s="7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1"/>
      <c r="Q139" s="7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1"/>
      <c r="Q140" s="7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1"/>
      <c r="Q141" s="7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1"/>
      <c r="Q142" s="7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1"/>
      <c r="Q143" s="7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1"/>
      <c r="Q144" s="7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1"/>
      <c r="Q145" s="7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1"/>
      <c r="Q146" s="7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1"/>
      <c r="Q147" s="7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1"/>
      <c r="Q148" s="7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1"/>
      <c r="Q149" s="7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1"/>
      <c r="Q150" s="7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1"/>
      <c r="Q151" s="7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1"/>
      <c r="Q152" s="7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1"/>
      <c r="Q153" s="7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1"/>
      <c r="Q154" s="7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1"/>
      <c r="Q155" s="7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1"/>
      <c r="Q156" s="7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1"/>
      <c r="Q157" s="7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1"/>
      <c r="Q158" s="7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1"/>
      <c r="Q159" s="7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1"/>
      <c r="Q160" s="7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1"/>
      <c r="Q161" s="7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1"/>
      <c r="Q162" s="7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1"/>
      <c r="Q163" s="7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1"/>
      <c r="Q164" s="7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1"/>
      <c r="Q165" s="7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1"/>
      <c r="Q166" s="7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1"/>
      <c r="Q167" s="7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1"/>
      <c r="Q168" s="7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1"/>
      <c r="Q169" s="7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1"/>
      <c r="Q170" s="7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1"/>
      <c r="Q171" s="7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1"/>
      <c r="Q172" s="7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1"/>
      <c r="Q173" s="7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1"/>
      <c r="Q174" s="7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1"/>
      <c r="Q175" s="7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1"/>
      <c r="Q176" s="7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1"/>
      <c r="Q177" s="7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1"/>
      <c r="Q178" s="7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1"/>
      <c r="Q179" s="7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1"/>
      <c r="Q180" s="7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1"/>
      <c r="Q181" s="7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1"/>
      <c r="Q182" s="7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1"/>
      <c r="Q183" s="7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1"/>
      <c r="Q184" s="7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1"/>
      <c r="Q185" s="7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1"/>
      <c r="Q186" s="7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1"/>
      <c r="Q187" s="7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1"/>
      <c r="Q188" s="7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1"/>
      <c r="Q189" s="7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1"/>
      <c r="Q190" s="7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1"/>
      <c r="Q191" s="7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1"/>
      <c r="Q192" s="7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1"/>
      <c r="Q193" s="7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1"/>
      <c r="Q194" s="7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1"/>
      <c r="Q195" s="7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1"/>
      <c r="Q196" s="7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1"/>
      <c r="Q197" s="7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1"/>
      <c r="Q198" s="7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1"/>
      <c r="Q199" s="7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1"/>
      <c r="Q200" s="7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1"/>
      <c r="Q201" s="7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1"/>
      <c r="Q202" s="7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1"/>
      <c r="Q203" s="7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1"/>
      <c r="Q204" s="7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1"/>
      <c r="Q205" s="7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1"/>
      <c r="Q206" s="7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1"/>
      <c r="Q207" s="7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1"/>
      <c r="Q208" s="7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1"/>
      <c r="Q209" s="7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1"/>
      <c r="Q210" s="7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1"/>
      <c r="Q211" s="7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1"/>
      <c r="Q212" s="7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1"/>
      <c r="Q213" s="7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1"/>
      <c r="Q214" s="7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1"/>
      <c r="Q215" s="7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1"/>
      <c r="Q216" s="7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1"/>
      <c r="Q217" s="7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1"/>
      <c r="Q218" s="7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1"/>
      <c r="Q219" s="7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1"/>
      <c r="Q220" s="7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1"/>
      <c r="Q221" s="7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1"/>
      <c r="Q222" s="7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1"/>
      <c r="Q223" s="7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1"/>
      <c r="Q224" s="7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1"/>
      <c r="Q225" s="7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1"/>
      <c r="Q226" s="7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1"/>
      <c r="Q227" s="7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1"/>
      <c r="Q228" s="7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1"/>
      <c r="Q229" s="7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1"/>
      <c r="Q230" s="7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1"/>
      <c r="Q231" s="7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1"/>
      <c r="Q232" s="7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1"/>
      <c r="Q233" s="7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1"/>
      <c r="Q234" s="7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1"/>
      <c r="Q235" s="7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1"/>
      <c r="Q236" s="7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1"/>
      <c r="Q237" s="7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1"/>
      <c r="Q238" s="7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1"/>
      <c r="Q239" s="7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1"/>
      <c r="Q240" s="7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1"/>
      <c r="Q241" s="7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1"/>
      <c r="Q242" s="7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1"/>
      <c r="Q243" s="7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1"/>
      <c r="Q244" s="7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1"/>
      <c r="Q245" s="7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1"/>
      <c r="Q246" s="7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1"/>
      <c r="Q247" s="7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1"/>
      <c r="Q248" s="7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1"/>
      <c r="Q249" s="7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1"/>
      <c r="Q250" s="7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1"/>
      <c r="Q251" s="7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1"/>
      <c r="Q252" s="7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1"/>
      <c r="Q253" s="7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1"/>
      <c r="Q254" s="7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1"/>
      <c r="Q255" s="7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1"/>
      <c r="Q256" s="7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1"/>
      <c r="Q257" s="7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1"/>
      <c r="Q258" s="7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1"/>
      <c r="Q259" s="7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1"/>
      <c r="Q260" s="7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1"/>
      <c r="Q261" s="7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1"/>
      <c r="Q262" s="7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1"/>
      <c r="Q263" s="7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1"/>
      <c r="Q264" s="7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1"/>
      <c r="Q265" s="7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1"/>
      <c r="Q266" s="7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1"/>
      <c r="Q267" s="7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1"/>
      <c r="Q268" s="7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1"/>
      <c r="Q269" s="7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1"/>
      <c r="Q270" s="7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1"/>
      <c r="Q271" s="7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1"/>
      <c r="Q272" s="7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1"/>
      <c r="Q273" s="7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1"/>
      <c r="Q274" s="7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1"/>
      <c r="Q275" s="7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1"/>
      <c r="Q276" s="7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1"/>
      <c r="Q277" s="7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1"/>
      <c r="Q278" s="7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1"/>
      <c r="Q279" s="7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1"/>
      <c r="Q280" s="7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1"/>
      <c r="Q281" s="7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1"/>
      <c r="Q282" s="7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1"/>
      <c r="Q283" s="7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1"/>
      <c r="Q284" s="7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1"/>
      <c r="Q285" s="7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1"/>
      <c r="Q286" s="7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1"/>
      <c r="Q287" s="7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1"/>
      <c r="Q288" s="7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1"/>
      <c r="Q289" s="7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1"/>
      <c r="Q290" s="7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1"/>
      <c r="Q291" s="7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1"/>
      <c r="Q292" s="7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1"/>
      <c r="Q293" s="7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1"/>
      <c r="Q294" s="7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1"/>
      <c r="Q295" s="7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1"/>
      <c r="Q296" s="7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1"/>
      <c r="Q297" s="7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1"/>
      <c r="Q298" s="7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1"/>
      <c r="Q299" s="7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1"/>
      <c r="Q300" s="7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1"/>
      <c r="Q301" s="7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1"/>
      <c r="Q302" s="7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1"/>
      <c r="Q303" s="7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1"/>
      <c r="Q304" s="7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1"/>
      <c r="Q305" s="7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1"/>
      <c r="Q306" s="7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1"/>
      <c r="Q307" s="7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1"/>
      <c r="Q308" s="7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1"/>
      <c r="Q309" s="7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1"/>
      <c r="Q310" s="7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1"/>
      <c r="Q311" s="7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1"/>
      <c r="Q312" s="7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1"/>
      <c r="Q313" s="7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1"/>
      <c r="Q314" s="7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1"/>
      <c r="Q315" s="7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1"/>
      <c r="Q316" s="7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1"/>
      <c r="Q317" s="7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1"/>
      <c r="Q318" s="7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1"/>
      <c r="Q319" s="7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1"/>
      <c r="Q320" s="7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1"/>
      <c r="Q321" s="7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1"/>
      <c r="Q322" s="7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1"/>
      <c r="Q323" s="7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1"/>
      <c r="Q324" s="7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1"/>
      <c r="Q325" s="7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1"/>
      <c r="Q326" s="7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1"/>
      <c r="Q327" s="7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1"/>
      <c r="Q328" s="7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1"/>
      <c r="Q329" s="7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1"/>
      <c r="Q330" s="7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1"/>
      <c r="Q331" s="7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1"/>
      <c r="Q332" s="7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1"/>
      <c r="Q333" s="7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1"/>
      <c r="Q334" s="7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1"/>
      <c r="Q335" s="7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1"/>
      <c r="Q336" s="7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1"/>
      <c r="Q337" s="7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1"/>
      <c r="Q338" s="7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1"/>
      <c r="Q339" s="7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1"/>
      <c r="Q340" s="7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1"/>
      <c r="Q341" s="7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1"/>
      <c r="Q342" s="7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1"/>
      <c r="Q343" s="7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1"/>
      <c r="Q344" s="7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1"/>
      <c r="Q345" s="7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1"/>
      <c r="Q346" s="7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1"/>
      <c r="Q347" s="7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1"/>
      <c r="Q348" s="7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1"/>
      <c r="Q349" s="7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1"/>
      <c r="Q350" s="7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1"/>
      <c r="Q351" s="7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1"/>
      <c r="Q352" s="7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1"/>
      <c r="Q353" s="7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1"/>
      <c r="Q354" s="7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1"/>
      <c r="Q355" s="7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1"/>
      <c r="Q356" s="7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1"/>
      <c r="Q357" s="7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1"/>
      <c r="Q358" s="7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1"/>
      <c r="Q359" s="7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1"/>
      <c r="Q360" s="7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1"/>
      <c r="Q361" s="7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1"/>
      <c r="Q362" s="7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1"/>
      <c r="Q363" s="7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1"/>
      <c r="Q364" s="7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1"/>
      <c r="Q365" s="7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1"/>
      <c r="Q366" s="7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1"/>
      <c r="Q367" s="7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1"/>
      <c r="Q368" s="7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1"/>
      <c r="Q369" s="7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1"/>
      <c r="Q370" s="7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1"/>
      <c r="Q371" s="7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1"/>
      <c r="Q372" s="7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1"/>
      <c r="Q373" s="7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1"/>
      <c r="Q374" s="7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1"/>
      <c r="Q375" s="7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1"/>
      <c r="Q376" s="7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1"/>
      <c r="Q377" s="7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1"/>
      <c r="Q378" s="7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1"/>
      <c r="Q379" s="7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1"/>
      <c r="Q380" s="7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1"/>
      <c r="Q381" s="7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1"/>
      <c r="Q382" s="7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1"/>
      <c r="Q383" s="7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1"/>
      <c r="Q384" s="7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1"/>
      <c r="Q385" s="7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1"/>
      <c r="Q386" s="7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1"/>
      <c r="Q387" s="7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1"/>
      <c r="Q388" s="7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1"/>
      <c r="Q389" s="7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1"/>
      <c r="Q390" s="7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1"/>
      <c r="Q391" s="7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1"/>
      <c r="Q392" s="7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1"/>
      <c r="Q393" s="7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1"/>
      <c r="Q394" s="7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1"/>
      <c r="Q395" s="7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1"/>
      <c r="Q396" s="7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1"/>
      <c r="Q397" s="7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1"/>
      <c r="Q398" s="7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1"/>
      <c r="Q399" s="7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1"/>
      <c r="Q400" s="7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1"/>
      <c r="Q401" s="7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1"/>
      <c r="Q402" s="7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1"/>
      <c r="Q403" s="7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1"/>
      <c r="Q404" s="7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1"/>
      <c r="Q405" s="7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1"/>
      <c r="Q406" s="7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1"/>
      <c r="Q407" s="7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1"/>
      <c r="Q408" s="7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1"/>
      <c r="Q409" s="7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1"/>
      <c r="Q410" s="7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1"/>
      <c r="Q411" s="7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1"/>
      <c r="Q412" s="7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1"/>
      <c r="Q413" s="7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1"/>
      <c r="Q414" s="7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1"/>
      <c r="Q415" s="7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1"/>
      <c r="Q416" s="7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1"/>
      <c r="Q417" s="7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1"/>
      <c r="Q418" s="7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1"/>
      <c r="Q419" s="7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1"/>
      <c r="Q420" s="7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1"/>
      <c r="Q421" s="7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1"/>
      <c r="Q422" s="7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1"/>
      <c r="Q423" s="7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1"/>
      <c r="Q424" s="7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1"/>
      <c r="Q425" s="7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1"/>
      <c r="Q426" s="7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1"/>
      <c r="Q427" s="7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1"/>
      <c r="Q428" s="7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1"/>
      <c r="Q429" s="7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1"/>
      <c r="Q430" s="7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1"/>
      <c r="Q431" s="7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1"/>
      <c r="Q432" s="7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1"/>
      <c r="Q433" s="7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1"/>
      <c r="Q434" s="7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1"/>
      <c r="Q435" s="7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1"/>
      <c r="Q436" s="7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1"/>
      <c r="Q437" s="7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1"/>
      <c r="Q438" s="7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1"/>
      <c r="Q439" s="7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1"/>
      <c r="Q440" s="7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1"/>
      <c r="Q441" s="7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1"/>
      <c r="Q442" s="7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1"/>
      <c r="Q443" s="7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1"/>
      <c r="Q444" s="7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1"/>
      <c r="Q445" s="7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1"/>
      <c r="Q446" s="7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1"/>
      <c r="Q447" s="7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1"/>
      <c r="Q448" s="7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1"/>
      <c r="Q449" s="7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1"/>
      <c r="Q450" s="7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1"/>
      <c r="Q451" s="7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1"/>
      <c r="Q452" s="7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1"/>
      <c r="Q453" s="7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1"/>
      <c r="Q454" s="7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1"/>
      <c r="Q455" s="7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1"/>
      <c r="Q456" s="7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1"/>
      <c r="Q457" s="7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1"/>
      <c r="Q458" s="7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1"/>
      <c r="Q459" s="7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1"/>
      <c r="Q460" s="7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1"/>
      <c r="Q461" s="7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1"/>
      <c r="Q462" s="7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1"/>
      <c r="Q463" s="7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1"/>
      <c r="Q464" s="7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1"/>
      <c r="Q465" s="7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1"/>
      <c r="Q466" s="7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1"/>
      <c r="Q467" s="7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1"/>
      <c r="Q468" s="7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1"/>
      <c r="Q469" s="7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1"/>
      <c r="Q470" s="7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1"/>
      <c r="Q471" s="7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1"/>
      <c r="Q472" s="7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1"/>
      <c r="Q473" s="7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1"/>
      <c r="Q474" s="7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1"/>
      <c r="Q475" s="7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1"/>
      <c r="Q476" s="7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1"/>
      <c r="Q477" s="7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1"/>
      <c r="Q478" s="7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1"/>
      <c r="Q479" s="7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1"/>
      <c r="Q480" s="7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1"/>
      <c r="Q481" s="7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1"/>
      <c r="Q482" s="7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1"/>
      <c r="Q483" s="7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1"/>
      <c r="Q484" s="7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1"/>
      <c r="Q485" s="7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1"/>
      <c r="Q486" s="7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1"/>
      <c r="Q487" s="7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1"/>
      <c r="Q488" s="7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1"/>
      <c r="Q489" s="7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1"/>
      <c r="Q490" s="7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1"/>
      <c r="Q491" s="7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1"/>
      <c r="Q492" s="7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1"/>
      <c r="Q493" s="7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1"/>
      <c r="Q494" s="7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1"/>
      <c r="Q495" s="7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1"/>
      <c r="Q496" s="7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1"/>
      <c r="Q497" s="7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1"/>
      <c r="Q498" s="7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1"/>
      <c r="Q499" s="7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1"/>
      <c r="Q500" s="7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1"/>
      <c r="Q501" s="7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1"/>
      <c r="Q502" s="7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1"/>
      <c r="Q503" s="7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1"/>
      <c r="Q504" s="7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1"/>
      <c r="Q505" s="7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1"/>
      <c r="Q506" s="7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1"/>
      <c r="Q507" s="7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1"/>
      <c r="Q508" s="7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1"/>
      <c r="Q509" s="7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1"/>
      <c r="Q510" s="7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1"/>
      <c r="Q511" s="7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1"/>
      <c r="Q512" s="7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1"/>
      <c r="Q513" s="7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1"/>
      <c r="Q514" s="7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1"/>
      <c r="Q515" s="7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1"/>
      <c r="Q516" s="7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1"/>
      <c r="Q517" s="7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1"/>
      <c r="Q518" s="7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1"/>
      <c r="Q519" s="7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1"/>
      <c r="Q520" s="7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1"/>
      <c r="Q521" s="7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1"/>
      <c r="Q522" s="7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1"/>
      <c r="Q523" s="7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1"/>
      <c r="Q524" s="7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1"/>
      <c r="Q525" s="7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1"/>
      <c r="Q526" s="7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1"/>
      <c r="Q527" s="7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1"/>
      <c r="Q528" s="7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1"/>
      <c r="Q529" s="7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1"/>
      <c r="Q530" s="7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1"/>
      <c r="Q531" s="7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1"/>
      <c r="Q532" s="7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1"/>
      <c r="Q533" s="7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1"/>
      <c r="Q534" s="7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1"/>
      <c r="Q535" s="7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1"/>
      <c r="Q536" s="7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1"/>
      <c r="Q537" s="7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1"/>
      <c r="Q538" s="7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1"/>
      <c r="Q539" s="7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1"/>
      <c r="Q540" s="7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1"/>
      <c r="Q541" s="7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1"/>
      <c r="Q542" s="7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1"/>
      <c r="Q543" s="7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1"/>
      <c r="Q544" s="7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1"/>
      <c r="Q545" s="7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1"/>
      <c r="Q546" s="7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1"/>
      <c r="Q547" s="7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1"/>
      <c r="Q548" s="7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1"/>
      <c r="Q549" s="7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1"/>
      <c r="Q550" s="7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1"/>
      <c r="Q551" s="7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1"/>
      <c r="Q552" s="7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1"/>
      <c r="Q553" s="7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1"/>
      <c r="Q554" s="7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1"/>
      <c r="Q555" s="7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1"/>
      <c r="Q556" s="7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1"/>
      <c r="Q557" s="7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1"/>
      <c r="Q558" s="7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1"/>
      <c r="Q559" s="7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1"/>
      <c r="Q560" s="7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1"/>
      <c r="Q561" s="7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1"/>
      <c r="Q562" s="7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1"/>
      <c r="Q563" s="7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1"/>
      <c r="Q564" s="7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1"/>
      <c r="Q565" s="7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1"/>
      <c r="Q566" s="7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1"/>
      <c r="Q567" s="7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1"/>
      <c r="Q568" s="7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1"/>
      <c r="Q569" s="7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1"/>
      <c r="Q570" s="7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1"/>
      <c r="Q571" s="7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1"/>
      <c r="Q572" s="7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1"/>
      <c r="Q573" s="7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1"/>
      <c r="Q574" s="7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1"/>
      <c r="Q575" s="7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1"/>
      <c r="Q576" s="7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1"/>
      <c r="Q577" s="7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1"/>
      <c r="Q578" s="7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1"/>
      <c r="Q579" s="7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1"/>
      <c r="Q580" s="7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1"/>
      <c r="Q581" s="7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1"/>
      <c r="Q582" s="7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1"/>
      <c r="Q583" s="7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1"/>
      <c r="Q584" s="7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1"/>
      <c r="Q585" s="7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1"/>
      <c r="Q586" s="7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1"/>
      <c r="Q587" s="7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1"/>
      <c r="Q588" s="7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1"/>
      <c r="Q589" s="7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1"/>
      <c r="Q590" s="7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1"/>
      <c r="Q591" s="7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1"/>
      <c r="Q592" s="7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1"/>
      <c r="Q593" s="7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1"/>
      <c r="Q594" s="7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1"/>
      <c r="Q595" s="7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1"/>
      <c r="Q596" s="7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1"/>
      <c r="Q597" s="7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1"/>
      <c r="Q598" s="7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1"/>
      <c r="Q599" s="7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1"/>
      <c r="Q600" s="7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1"/>
      <c r="Q601" s="7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1"/>
      <c r="Q602" s="7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1"/>
      <c r="Q603" s="7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1"/>
      <c r="Q604" s="7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1"/>
      <c r="Q605" s="7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1"/>
      <c r="Q606" s="7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1"/>
      <c r="Q607" s="7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1"/>
      <c r="Q608" s="7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1"/>
      <c r="Q609" s="7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1"/>
      <c r="Q610" s="7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1"/>
      <c r="Q611" s="7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1"/>
      <c r="Q612" s="7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1"/>
      <c r="Q613" s="7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1"/>
      <c r="Q614" s="7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1"/>
      <c r="Q615" s="7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1"/>
      <c r="Q616" s="7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1"/>
      <c r="Q617" s="7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1"/>
      <c r="Q618" s="7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1"/>
      <c r="Q619" s="7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1"/>
      <c r="Q620" s="7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1"/>
      <c r="Q621" s="7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1"/>
      <c r="Q622" s="7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1"/>
      <c r="Q623" s="7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1"/>
      <c r="Q624" s="7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1"/>
      <c r="Q625" s="7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1"/>
      <c r="Q626" s="7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1"/>
      <c r="Q627" s="7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1"/>
      <c r="Q628" s="7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1"/>
      <c r="Q629" s="7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1"/>
      <c r="Q630" s="7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1"/>
      <c r="Q631" s="7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1"/>
      <c r="Q632" s="7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1"/>
      <c r="Q633" s="7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1"/>
      <c r="Q634" s="7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1"/>
      <c r="Q635" s="7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1"/>
      <c r="Q636" s="7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1"/>
      <c r="Q637" s="7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1"/>
      <c r="Q638" s="7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1"/>
      <c r="Q639" s="7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1"/>
      <c r="Q640" s="7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1"/>
      <c r="Q641" s="7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1"/>
      <c r="Q642" s="7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1"/>
      <c r="Q643" s="7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1"/>
      <c r="Q644" s="7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1"/>
      <c r="Q645" s="7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1"/>
      <c r="Q646" s="7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1"/>
      <c r="Q647" s="7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1"/>
      <c r="Q648" s="7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1"/>
      <c r="Q649" s="7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1"/>
      <c r="Q650" s="7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1"/>
      <c r="Q651" s="7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1"/>
      <c r="Q652" s="7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1"/>
      <c r="Q653" s="7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1"/>
      <c r="Q654" s="7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1"/>
      <c r="Q655" s="7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1"/>
      <c r="Q656" s="7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1"/>
      <c r="Q657" s="7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1"/>
      <c r="Q658" s="7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1"/>
      <c r="Q659" s="7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1"/>
      <c r="Q660" s="7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1"/>
      <c r="Q661" s="7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1"/>
      <c r="Q662" s="7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1"/>
      <c r="Q663" s="7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1"/>
      <c r="Q664" s="7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1"/>
      <c r="Q665" s="7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1"/>
      <c r="Q666" s="7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1"/>
      <c r="Q667" s="7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1"/>
      <c r="Q668" s="7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1"/>
      <c r="Q669" s="7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1"/>
      <c r="Q670" s="7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1"/>
      <c r="Q671" s="7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1"/>
      <c r="Q672" s="7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1"/>
      <c r="Q673" s="7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1"/>
      <c r="Q674" s="7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1"/>
      <c r="Q675" s="7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1"/>
      <c r="Q676" s="7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1"/>
      <c r="Q677" s="7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1"/>
      <c r="Q678" s="7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1"/>
      <c r="Q679" s="7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1"/>
      <c r="Q680" s="7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1"/>
      <c r="Q681" s="7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1"/>
      <c r="Q682" s="7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1"/>
      <c r="Q683" s="7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1"/>
      <c r="Q684" s="7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1"/>
      <c r="Q685" s="7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1"/>
      <c r="Q686" s="7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1"/>
      <c r="Q687" s="7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1"/>
      <c r="Q688" s="7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1"/>
      <c r="Q689" s="7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1"/>
      <c r="Q690" s="7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1"/>
      <c r="Q691" s="7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1"/>
      <c r="Q692" s="7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1"/>
      <c r="Q693" s="7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1"/>
      <c r="Q694" s="7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1"/>
      <c r="Q695" s="7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1"/>
      <c r="Q696" s="7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1"/>
      <c r="Q697" s="7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1"/>
      <c r="Q698" s="7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1"/>
      <c r="Q699" s="7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1"/>
      <c r="Q700" s="7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1"/>
      <c r="Q701" s="7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1"/>
      <c r="Q702" s="7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1"/>
      <c r="Q703" s="7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1"/>
      <c r="Q704" s="7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1"/>
      <c r="Q705" s="7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1"/>
      <c r="Q706" s="7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1"/>
      <c r="Q707" s="7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1"/>
      <c r="Q708" s="7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1"/>
      <c r="Q709" s="7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1"/>
      <c r="Q710" s="7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1"/>
      <c r="Q711" s="7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1"/>
      <c r="Q712" s="7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1"/>
      <c r="Q713" s="7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1"/>
      <c r="Q714" s="7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1"/>
      <c r="Q715" s="7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1"/>
      <c r="Q716" s="7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1"/>
      <c r="Q717" s="7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1"/>
      <c r="Q718" s="7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1"/>
      <c r="Q719" s="7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1"/>
      <c r="Q720" s="7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1"/>
      <c r="Q721" s="7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1"/>
      <c r="Q722" s="7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1"/>
      <c r="Q723" s="7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1"/>
      <c r="Q724" s="7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1"/>
      <c r="Q725" s="7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1"/>
      <c r="Q726" s="7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1"/>
      <c r="Q727" s="7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1"/>
      <c r="Q728" s="7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1"/>
      <c r="Q729" s="7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1"/>
      <c r="Q730" s="7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1"/>
      <c r="Q731" s="7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1"/>
      <c r="Q732" s="7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1"/>
      <c r="Q733" s="7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1"/>
      <c r="Q734" s="7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1"/>
      <c r="Q735" s="7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1"/>
      <c r="Q736" s="7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1"/>
      <c r="Q737" s="7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1"/>
      <c r="Q738" s="7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1"/>
      <c r="Q739" s="7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1"/>
      <c r="Q740" s="7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1"/>
      <c r="Q741" s="7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1"/>
      <c r="Q742" s="7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1"/>
      <c r="Q743" s="7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1"/>
      <c r="Q744" s="7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1"/>
      <c r="Q745" s="7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1"/>
      <c r="Q746" s="7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1"/>
      <c r="Q747" s="7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1"/>
      <c r="Q748" s="7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1"/>
      <c r="Q749" s="7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1"/>
      <c r="Q750" s="7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1"/>
      <c r="Q751" s="7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1"/>
      <c r="Q752" s="7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1"/>
      <c r="Q753" s="7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1"/>
      <c r="Q754" s="7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1"/>
      <c r="Q755" s="7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1"/>
      <c r="Q756" s="7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1"/>
      <c r="Q757" s="7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1"/>
      <c r="Q758" s="7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1"/>
      <c r="Q759" s="7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1"/>
      <c r="Q760" s="7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1"/>
      <c r="Q761" s="7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1"/>
      <c r="Q762" s="7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1"/>
      <c r="Q763" s="7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1"/>
      <c r="Q764" s="7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1"/>
      <c r="Q765" s="7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1"/>
      <c r="Q766" s="7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1"/>
      <c r="Q767" s="7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1"/>
      <c r="Q768" s="7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1"/>
      <c r="Q769" s="7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1"/>
      <c r="Q770" s="7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1"/>
      <c r="Q771" s="7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1"/>
      <c r="Q772" s="7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1"/>
      <c r="Q773" s="7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1"/>
      <c r="Q774" s="7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1"/>
      <c r="Q775" s="7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1"/>
      <c r="Q776" s="7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1"/>
      <c r="Q777" s="7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1"/>
      <c r="Q778" s="7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1"/>
      <c r="Q779" s="7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1"/>
      <c r="Q780" s="7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1"/>
      <c r="Q781" s="7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1"/>
      <c r="Q782" s="7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1"/>
      <c r="Q783" s="7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1"/>
      <c r="Q784" s="7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1"/>
      <c r="Q785" s="7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1"/>
      <c r="Q786" s="7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1"/>
      <c r="Q787" s="7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1"/>
      <c r="Q788" s="7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1"/>
      <c r="Q789" s="7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1"/>
      <c r="Q790" s="7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1"/>
      <c r="Q791" s="7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1"/>
      <c r="Q792" s="7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1"/>
      <c r="Q793" s="7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1"/>
      <c r="Q794" s="7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1"/>
      <c r="Q795" s="7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1"/>
      <c r="Q796" s="7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1"/>
      <c r="Q797" s="7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1"/>
      <c r="Q798" s="7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1"/>
      <c r="Q799" s="7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1"/>
      <c r="Q800" s="7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1"/>
      <c r="Q801" s="7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1"/>
      <c r="Q802" s="7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1"/>
      <c r="Q803" s="7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1"/>
      <c r="Q804" s="7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1"/>
      <c r="Q805" s="7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1"/>
      <c r="Q806" s="7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1"/>
      <c r="Q807" s="7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1"/>
      <c r="Q808" s="7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1"/>
      <c r="Q809" s="7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1"/>
      <c r="Q810" s="7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1"/>
      <c r="Q811" s="7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1"/>
      <c r="Q812" s="7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1"/>
      <c r="Q813" s="7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1"/>
      <c r="Q814" s="7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1"/>
      <c r="Q815" s="7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1"/>
      <c r="Q816" s="7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1"/>
      <c r="Q817" s="7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1"/>
      <c r="Q818" s="7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1"/>
      <c r="Q819" s="7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1"/>
      <c r="Q820" s="7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1"/>
      <c r="Q821" s="7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1"/>
      <c r="Q822" s="7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1"/>
      <c r="Q823" s="7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1"/>
      <c r="Q824" s="7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1"/>
      <c r="Q825" s="7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1"/>
      <c r="Q826" s="7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1"/>
      <c r="Q827" s="7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1"/>
      <c r="Q828" s="7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1"/>
      <c r="Q829" s="7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1"/>
      <c r="Q830" s="7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1"/>
      <c r="Q831" s="7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1"/>
      <c r="Q832" s="7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1"/>
      <c r="Q833" s="7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1"/>
      <c r="Q834" s="7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1"/>
      <c r="Q835" s="7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1"/>
      <c r="Q836" s="7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1"/>
      <c r="Q837" s="7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1"/>
      <c r="Q838" s="7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1"/>
      <c r="Q839" s="7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1"/>
      <c r="Q840" s="7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1"/>
      <c r="Q841" s="7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1"/>
      <c r="Q842" s="7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1"/>
      <c r="Q843" s="7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1"/>
      <c r="Q844" s="7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1"/>
      <c r="Q845" s="7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1"/>
      <c r="Q846" s="7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1"/>
      <c r="Q847" s="7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1"/>
      <c r="Q848" s="7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1"/>
      <c r="Q849" s="7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1"/>
      <c r="Q850" s="7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1"/>
      <c r="Q851" s="7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1"/>
      <c r="Q852" s="7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1"/>
      <c r="Q853" s="7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1"/>
      <c r="Q854" s="7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1"/>
      <c r="Q855" s="7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1"/>
      <c r="Q856" s="7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1"/>
      <c r="Q857" s="7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1"/>
      <c r="Q858" s="7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1"/>
      <c r="Q859" s="7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1"/>
      <c r="Q860" s="7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1"/>
      <c r="Q861" s="7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1"/>
      <c r="Q862" s="7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1"/>
      <c r="Q863" s="7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1"/>
      <c r="Q864" s="7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1"/>
      <c r="Q865" s="7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1"/>
      <c r="Q866" s="7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1"/>
      <c r="Q867" s="7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1"/>
      <c r="Q868" s="7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1"/>
      <c r="Q869" s="7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1"/>
      <c r="Q870" s="7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1"/>
      <c r="Q871" s="7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1"/>
      <c r="Q872" s="7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1"/>
      <c r="Q873" s="7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1"/>
      <c r="Q874" s="7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1"/>
      <c r="Q875" s="7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1"/>
      <c r="Q876" s="7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1"/>
      <c r="Q877" s="7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1"/>
      <c r="Q878" s="7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1"/>
      <c r="Q879" s="7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1"/>
      <c r="Q880" s="7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1"/>
      <c r="Q881" s="7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1"/>
      <c r="Q882" s="7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1"/>
      <c r="Q883" s="7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1"/>
      <c r="Q884" s="7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1"/>
      <c r="Q885" s="7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1"/>
      <c r="Q886" s="7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1"/>
      <c r="Q887" s="7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1"/>
      <c r="Q888" s="7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1"/>
      <c r="Q889" s="7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1"/>
      <c r="Q890" s="7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1"/>
      <c r="Q891" s="7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1"/>
      <c r="Q892" s="7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1"/>
      <c r="Q893" s="7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1"/>
      <c r="Q894" s="7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1"/>
      <c r="Q895" s="7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1"/>
      <c r="Q896" s="7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1"/>
      <c r="Q897" s="7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1"/>
      <c r="Q898" s="7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1"/>
      <c r="Q899" s="7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1"/>
      <c r="Q900" s="7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1"/>
      <c r="Q901" s="7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1"/>
      <c r="Q902" s="7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1"/>
      <c r="Q903" s="7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1"/>
      <c r="Q904" s="7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1"/>
      <c r="Q905" s="7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1"/>
      <c r="Q906" s="7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1"/>
      <c r="Q907" s="7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1"/>
      <c r="Q908" s="7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1"/>
      <c r="Q909" s="7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1"/>
      <c r="Q910" s="7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1"/>
      <c r="Q911" s="7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1"/>
      <c r="Q912" s="7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1"/>
      <c r="Q913" s="7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1"/>
      <c r="Q914" s="7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1"/>
      <c r="Q915" s="7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1"/>
      <c r="Q916" s="7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1"/>
      <c r="Q917" s="7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1"/>
      <c r="Q918" s="7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1"/>
      <c r="Q919" s="7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1"/>
      <c r="Q920" s="7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1"/>
      <c r="Q921" s="7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1"/>
      <c r="Q922" s="7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1"/>
      <c r="Q923" s="7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1"/>
      <c r="Q924" s="7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1"/>
      <c r="Q925" s="7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1"/>
      <c r="Q926" s="7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1"/>
      <c r="Q927" s="7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1"/>
      <c r="Q928" s="7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1"/>
      <c r="Q929" s="7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1"/>
      <c r="Q930" s="7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1"/>
      <c r="Q931" s="7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1"/>
      <c r="Q932" s="7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1"/>
      <c r="Q933" s="7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1"/>
      <c r="Q934" s="7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1"/>
      <c r="Q935" s="7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1"/>
      <c r="Q936" s="7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1"/>
      <c r="Q937" s="7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1"/>
      <c r="Q938" s="7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1"/>
      <c r="Q939" s="7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1"/>
      <c r="Q940" s="7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1"/>
      <c r="Q941" s="7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1"/>
      <c r="Q942" s="7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1"/>
      <c r="Q943" s="7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1"/>
      <c r="Q944" s="7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1"/>
      <c r="Q945" s="7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1"/>
      <c r="Q946" s="7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1"/>
      <c r="Q947" s="7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1"/>
      <c r="Q948" s="7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1"/>
      <c r="Q949" s="7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1"/>
      <c r="Q950" s="7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1"/>
      <c r="Q951" s="7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1"/>
      <c r="Q952" s="7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1"/>
      <c r="Q953" s="7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1"/>
      <c r="Q954" s="7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1"/>
      <c r="Q955" s="7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1"/>
      <c r="Q956" s="7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1"/>
      <c r="Q957" s="7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1"/>
      <c r="Q958" s="7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1"/>
      <c r="Q959" s="7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1"/>
      <c r="Q960" s="7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1"/>
      <c r="Q961" s="7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1"/>
      <c r="Q962" s="7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1"/>
      <c r="Q963" s="7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1"/>
      <c r="Q964" s="7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1"/>
      <c r="Q965" s="7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1"/>
      <c r="Q966" s="7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1"/>
      <c r="Q967" s="7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1"/>
      <c r="Q968" s="7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1"/>
      <c r="Q969" s="7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1"/>
      <c r="Q970" s="7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1"/>
      <c r="Q971" s="7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1"/>
      <c r="Q972" s="7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1"/>
      <c r="Q973" s="7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1"/>
      <c r="Q974" s="7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1"/>
      <c r="Q975" s="7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1"/>
      <c r="Q976" s="7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1"/>
      <c r="Q977" s="7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1"/>
      <c r="Q978" s="7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1"/>
      <c r="Q979" s="7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1"/>
      <c r="Q980" s="7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1"/>
      <c r="Q981" s="7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1"/>
      <c r="Q982" s="7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1"/>
      <c r="Q983" s="7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1"/>
      <c r="Q984" s="7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1"/>
      <c r="Q985" s="7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1"/>
      <c r="Q986" s="7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1"/>
      <c r="Q987" s="7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1"/>
      <c r="Q988" s="7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1"/>
      <c r="Q989" s="7"/>
      <c r="R989" s="1"/>
      <c r="S989" s="1"/>
      <c r="T989" s="1"/>
      <c r="U989" s="1"/>
      <c r="V989" s="1"/>
      <c r="W989" s="1"/>
      <c r="X989" s="1"/>
      <c r="Y989" s="1"/>
      <c r="Z989" s="1"/>
    </row>
  </sheetData>
  <mergeCells count="8">
    <mergeCell ref="A15:O15"/>
    <mergeCell ref="A19:O19"/>
    <mergeCell ref="A23:O23"/>
    <mergeCell ref="B2:E2"/>
    <mergeCell ref="F2:O9"/>
    <mergeCell ref="B3:E3"/>
    <mergeCell ref="B4:E4"/>
    <mergeCell ref="A11:O11"/>
  </mergeCells>
  <dataValidations count="1">
    <dataValidation type="list" allowBlank="1" showErrorMessage="1" sqref="I24:I26 L24:L26 M27:M136 G27:G136 J27:J136 L12:L14 I12:I14 F12:F14 F16:F18 L16:L18 I16:I18 I20:I22 L20:L22 F20:F22 F24:F26" xr:uid="{6E9547ED-1CAE-414F-9FD0-24A30FCB6BF8}">
      <formula1>$R$2:$R$5</formula1>
    </dataValidation>
  </dataValidations>
  <pageMargins left="0.74791666666666667" right="0.25" top="0.75" bottom="0.98402777777777772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417C-7D0B-4895-9637-EF5D5968D52C}">
  <sheetPr>
    <outlinePr summaryBelow="0" summaryRight="0"/>
  </sheetPr>
  <dimension ref="A1:Z998"/>
  <sheetViews>
    <sheetView workbookViewId="0">
      <pane ySplit="10" topLeftCell="A11" activePane="bottomLeft" state="frozen"/>
      <selection pane="bottomLeft" activeCell="A28" sqref="A28:XFD28"/>
    </sheetView>
  </sheetViews>
  <sheetFormatPr defaultColWidth="12.6328125" defaultRowHeight="15" customHeight="1" outlineLevelRow="1" outlineLevelCol="1" x14ac:dyDescent="0.2"/>
  <cols>
    <col min="1" max="1" width="17" customWidth="1"/>
    <col min="2" max="2" width="34.453125" customWidth="1"/>
    <col min="3" max="3" width="34.08984375" customWidth="1"/>
    <col min="4" max="4" width="34.6328125" customWidth="1"/>
    <col min="5" max="5" width="28.36328125" customWidth="1"/>
    <col min="6" max="6" width="9.36328125" customWidth="1"/>
    <col min="7" max="7" width="10.6328125" customWidth="1" outlineLevel="1"/>
    <col min="8" max="8" width="7" customWidth="1" outlineLevel="1"/>
    <col min="9" max="9" width="9.36328125" customWidth="1"/>
    <col min="10" max="10" width="10.6328125" customWidth="1" outlineLevel="1"/>
    <col min="11" max="11" width="7" customWidth="1" outlineLevel="1"/>
    <col min="12" max="12" width="9.36328125" customWidth="1"/>
    <col min="13" max="13" width="10.6328125" customWidth="1" outlineLevel="1"/>
    <col min="14" max="14" width="7" customWidth="1" outlineLevel="1"/>
    <col min="15" max="15" width="28.6328125" customWidth="1"/>
    <col min="16" max="16" width="10.08984375" customWidth="1"/>
    <col min="17" max="17" width="8.08984375" customWidth="1"/>
    <col min="18" max="18" width="7.6328125" hidden="1" customWidth="1"/>
    <col min="19" max="26" width="9" customWidth="1"/>
  </cols>
  <sheetData>
    <row r="1" spans="1:26" ht="12.75" customHeight="1" thickBot="1" x14ac:dyDescent="0.3">
      <c r="A1" s="1"/>
      <c r="B1" s="1"/>
      <c r="C1" s="1"/>
      <c r="D1" s="1"/>
      <c r="E1" s="1"/>
      <c r="F1" s="6"/>
      <c r="G1" s="6"/>
      <c r="H1" s="6"/>
      <c r="I1" s="6"/>
      <c r="J1" s="6"/>
      <c r="K1" s="6"/>
      <c r="L1" s="6"/>
      <c r="M1" s="6"/>
      <c r="N1" s="6"/>
      <c r="O1" s="6"/>
      <c r="P1" s="1"/>
      <c r="Q1" s="7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2" t="s">
        <v>2</v>
      </c>
      <c r="B2" s="130" t="s">
        <v>65</v>
      </c>
      <c r="C2" s="131"/>
      <c r="D2" s="131"/>
      <c r="E2" s="132"/>
      <c r="F2" s="133"/>
      <c r="G2" s="134"/>
      <c r="H2" s="134"/>
      <c r="I2" s="134"/>
      <c r="J2" s="134"/>
      <c r="K2" s="134"/>
      <c r="L2" s="134"/>
      <c r="M2" s="134"/>
      <c r="N2" s="134"/>
      <c r="O2" s="135"/>
      <c r="P2" s="2"/>
      <c r="Q2" s="16"/>
      <c r="R2" s="17" t="s">
        <v>5</v>
      </c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5">
      <c r="A3" s="19" t="s">
        <v>7</v>
      </c>
      <c r="B3" s="142" t="s">
        <v>124</v>
      </c>
      <c r="C3" s="112"/>
      <c r="D3" s="112"/>
      <c r="E3" s="143"/>
      <c r="F3" s="136"/>
      <c r="G3" s="137"/>
      <c r="H3" s="137"/>
      <c r="I3" s="137"/>
      <c r="J3" s="137"/>
      <c r="K3" s="137"/>
      <c r="L3" s="137"/>
      <c r="M3" s="137"/>
      <c r="N3" s="137"/>
      <c r="O3" s="138"/>
      <c r="P3" s="2"/>
      <c r="Q3" s="16"/>
      <c r="R3" s="17" t="s">
        <v>8</v>
      </c>
      <c r="S3" s="17"/>
      <c r="T3" s="17"/>
      <c r="U3" s="17"/>
      <c r="V3" s="17"/>
      <c r="W3" s="17"/>
      <c r="X3" s="17"/>
      <c r="Y3" s="17"/>
      <c r="Z3" s="17"/>
    </row>
    <row r="4" spans="1:26" ht="18" customHeight="1" x14ac:dyDescent="0.25">
      <c r="A4" s="19" t="s">
        <v>9</v>
      </c>
      <c r="B4" s="142">
        <f>COUNTIF($A$12:$A$1000,"TC-*")</f>
        <v>20</v>
      </c>
      <c r="C4" s="112"/>
      <c r="D4" s="112"/>
      <c r="E4" s="143"/>
      <c r="F4" s="136"/>
      <c r="G4" s="137"/>
      <c r="H4" s="137"/>
      <c r="I4" s="137"/>
      <c r="J4" s="137"/>
      <c r="K4" s="137"/>
      <c r="L4" s="137"/>
      <c r="M4" s="137"/>
      <c r="N4" s="137"/>
      <c r="O4" s="138"/>
      <c r="P4" s="2"/>
      <c r="Q4" s="16"/>
      <c r="R4" s="17" t="s">
        <v>12</v>
      </c>
      <c r="S4" s="17"/>
      <c r="T4" s="17"/>
      <c r="U4" s="17"/>
      <c r="V4" s="17"/>
      <c r="W4" s="17"/>
      <c r="X4" s="17"/>
      <c r="Y4" s="17"/>
      <c r="Z4" s="17"/>
    </row>
    <row r="5" spans="1:26" ht="19.5" customHeight="1" x14ac:dyDescent="0.25">
      <c r="A5" s="25" t="s">
        <v>13</v>
      </c>
      <c r="B5" s="26" t="s">
        <v>5</v>
      </c>
      <c r="C5" s="26" t="s">
        <v>8</v>
      </c>
      <c r="D5" s="26" t="s">
        <v>12</v>
      </c>
      <c r="E5" s="28" t="s">
        <v>16</v>
      </c>
      <c r="F5" s="136"/>
      <c r="G5" s="137"/>
      <c r="H5" s="137"/>
      <c r="I5" s="137"/>
      <c r="J5" s="137"/>
      <c r="K5" s="137"/>
      <c r="L5" s="137"/>
      <c r="M5" s="137"/>
      <c r="N5" s="137"/>
      <c r="O5" s="138"/>
      <c r="P5" s="29"/>
      <c r="Q5" s="30"/>
      <c r="R5" s="17" t="s">
        <v>16</v>
      </c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25">
      <c r="A6" s="25" t="s">
        <v>20</v>
      </c>
      <c r="B6" s="32">
        <f>COUNTIF($F10:$F996,B5)</f>
        <v>20</v>
      </c>
      <c r="C6" s="32">
        <f>COUNTIF($F10:$F996,C5)</f>
        <v>0</v>
      </c>
      <c r="D6" s="32">
        <f>COUNTIF($F10:$F996,D5)</f>
        <v>0</v>
      </c>
      <c r="E6" s="35">
        <f>COUNTIF($F10:$F996,E5)</f>
        <v>0</v>
      </c>
      <c r="F6" s="136"/>
      <c r="G6" s="137"/>
      <c r="H6" s="137"/>
      <c r="I6" s="137"/>
      <c r="J6" s="137"/>
      <c r="K6" s="137"/>
      <c r="L6" s="137"/>
      <c r="M6" s="137"/>
      <c r="N6" s="137"/>
      <c r="O6" s="138"/>
      <c r="P6" s="29"/>
      <c r="Q6" s="30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25">
      <c r="A7" s="25" t="s">
        <v>23</v>
      </c>
      <c r="B7" s="32">
        <f>COUNTIF($I10:$I998,B5)</f>
        <v>19</v>
      </c>
      <c r="C7" s="32">
        <f>COUNTIF($I10:$I998,C5)</f>
        <v>1</v>
      </c>
      <c r="D7" s="32">
        <f>COUNTIF($I10:$I998,D5)</f>
        <v>0</v>
      </c>
      <c r="E7" s="35">
        <f>COUNTIF($I10:$I998,E5)</f>
        <v>0</v>
      </c>
      <c r="F7" s="136"/>
      <c r="G7" s="137"/>
      <c r="H7" s="137"/>
      <c r="I7" s="137"/>
      <c r="J7" s="137"/>
      <c r="K7" s="137"/>
      <c r="L7" s="137"/>
      <c r="M7" s="137"/>
      <c r="N7" s="137"/>
      <c r="O7" s="138"/>
      <c r="P7" s="29"/>
      <c r="Q7" s="30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thickBot="1" x14ac:dyDescent="0.3">
      <c r="A8" s="44" t="s">
        <v>25</v>
      </c>
      <c r="B8" s="47">
        <f>COUNTIF($L10:$L998,B5)</f>
        <v>0</v>
      </c>
      <c r="C8" s="47">
        <f>COUNTIF($L10:$L998,C5)</f>
        <v>0</v>
      </c>
      <c r="D8" s="47">
        <f>COUNTIF($L10:$L998,D5)</f>
        <v>20</v>
      </c>
      <c r="E8" s="50">
        <f>COUNTIF($L10:$L998,E5)</f>
        <v>0</v>
      </c>
      <c r="F8" s="136"/>
      <c r="G8" s="137"/>
      <c r="H8" s="137"/>
      <c r="I8" s="137"/>
      <c r="J8" s="137"/>
      <c r="K8" s="137"/>
      <c r="L8" s="137"/>
      <c r="M8" s="137"/>
      <c r="N8" s="137"/>
      <c r="O8" s="138"/>
      <c r="P8" s="29"/>
      <c r="Q8" s="30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25">
      <c r="A9" s="29"/>
      <c r="B9" s="29"/>
      <c r="C9" s="29"/>
      <c r="D9" s="29"/>
      <c r="E9" s="29"/>
      <c r="F9" s="139"/>
      <c r="G9" s="140"/>
      <c r="H9" s="140"/>
      <c r="I9" s="140"/>
      <c r="J9" s="140"/>
      <c r="K9" s="140"/>
      <c r="L9" s="140"/>
      <c r="M9" s="140"/>
      <c r="N9" s="140"/>
      <c r="O9" s="141"/>
      <c r="P9" s="29"/>
      <c r="Q9" s="30"/>
      <c r="R9" s="17"/>
      <c r="S9" s="17"/>
      <c r="T9" s="17"/>
      <c r="U9" s="17"/>
      <c r="V9" s="17"/>
      <c r="W9" s="17"/>
      <c r="X9" s="17"/>
      <c r="Y9" s="17"/>
      <c r="Z9" s="17"/>
    </row>
    <row r="10" spans="1:26" ht="25.5" customHeight="1" x14ac:dyDescent="0.25">
      <c r="A10" s="69" t="s">
        <v>38</v>
      </c>
      <c r="B10" s="69" t="s">
        <v>39</v>
      </c>
      <c r="C10" s="69" t="s">
        <v>40</v>
      </c>
      <c r="D10" s="69" t="s">
        <v>41</v>
      </c>
      <c r="E10" s="69" t="s">
        <v>42</v>
      </c>
      <c r="F10" s="69" t="s">
        <v>20</v>
      </c>
      <c r="G10" s="69" t="s">
        <v>43</v>
      </c>
      <c r="H10" s="69" t="s">
        <v>44</v>
      </c>
      <c r="I10" s="69" t="s">
        <v>23</v>
      </c>
      <c r="J10" s="69" t="s">
        <v>43</v>
      </c>
      <c r="K10" s="69" t="s">
        <v>44</v>
      </c>
      <c r="L10" s="69" t="s">
        <v>25</v>
      </c>
      <c r="M10" s="69" t="s">
        <v>43</v>
      </c>
      <c r="N10" s="69" t="s">
        <v>44</v>
      </c>
      <c r="O10" s="69" t="s">
        <v>46</v>
      </c>
      <c r="P10" s="17"/>
      <c r="Q10" s="78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5">
      <c r="A11" s="144" t="s">
        <v>125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3"/>
      <c r="P11" s="81"/>
      <c r="Q11" s="83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83.25" customHeight="1" outlineLevel="1" x14ac:dyDescent="0.2">
      <c r="A12" s="66" t="s">
        <v>126</v>
      </c>
      <c r="B12" s="66" t="s">
        <v>127</v>
      </c>
      <c r="C12" s="66" t="s">
        <v>128</v>
      </c>
      <c r="D12" s="66" t="s">
        <v>129</v>
      </c>
      <c r="E12" s="66" t="s">
        <v>130</v>
      </c>
      <c r="F12" s="87" t="s">
        <v>5</v>
      </c>
      <c r="G12" s="88">
        <v>46244.708333333336</v>
      </c>
      <c r="H12" s="87" t="s">
        <v>76</v>
      </c>
      <c r="I12" s="87" t="s">
        <v>5</v>
      </c>
      <c r="J12" s="88">
        <v>46244.708333333336</v>
      </c>
      <c r="K12" s="87" t="s">
        <v>76</v>
      </c>
      <c r="L12" s="87" t="s">
        <v>12</v>
      </c>
      <c r="M12" s="88"/>
      <c r="N12" s="87"/>
      <c r="O12" s="87"/>
      <c r="P12" s="89"/>
      <c r="Q12" s="90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12.75" customHeight="1" outlineLevel="1" x14ac:dyDescent="0.25">
      <c r="A13" s="66" t="s">
        <v>131</v>
      </c>
      <c r="B13" s="66" t="s">
        <v>132</v>
      </c>
      <c r="C13" s="66" t="s">
        <v>133</v>
      </c>
      <c r="D13" s="66" t="s">
        <v>134</v>
      </c>
      <c r="E13" s="66" t="s">
        <v>135</v>
      </c>
      <c r="F13" s="87" t="s">
        <v>5</v>
      </c>
      <c r="G13" s="88">
        <v>46244.708333333336</v>
      </c>
      <c r="H13" s="87" t="s">
        <v>76</v>
      </c>
      <c r="I13" s="87" t="s">
        <v>5</v>
      </c>
      <c r="J13" s="88">
        <v>46244.708333333336</v>
      </c>
      <c r="K13" s="87" t="s">
        <v>76</v>
      </c>
      <c r="L13" s="87" t="s">
        <v>12</v>
      </c>
      <c r="M13" s="88"/>
      <c r="N13" s="87"/>
      <c r="O13" s="87"/>
      <c r="P13" s="86"/>
      <c r="Q13" s="90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outlineLevel="1" x14ac:dyDescent="0.25">
      <c r="A14" s="66" t="s">
        <v>136</v>
      </c>
      <c r="B14" s="66" t="s">
        <v>137</v>
      </c>
      <c r="C14" s="66" t="s">
        <v>138</v>
      </c>
      <c r="D14" s="66" t="s">
        <v>139</v>
      </c>
      <c r="E14" s="66" t="s">
        <v>140</v>
      </c>
      <c r="F14" s="87" t="s">
        <v>5</v>
      </c>
      <c r="G14" s="88">
        <v>46244.708333333336</v>
      </c>
      <c r="H14" s="87" t="s">
        <v>76</v>
      </c>
      <c r="I14" s="87" t="s">
        <v>5</v>
      </c>
      <c r="J14" s="88">
        <v>46244.708333333336</v>
      </c>
      <c r="K14" s="87" t="s">
        <v>76</v>
      </c>
      <c r="L14" s="87" t="s">
        <v>12</v>
      </c>
      <c r="M14" s="88"/>
      <c r="N14" s="87"/>
      <c r="O14" s="87"/>
      <c r="P14" s="86"/>
      <c r="Q14" s="90"/>
      <c r="R14" s="1"/>
      <c r="S14" s="1"/>
      <c r="T14" s="1"/>
      <c r="U14" s="1"/>
      <c r="V14" s="1"/>
      <c r="W14" s="1"/>
      <c r="X14" s="1"/>
      <c r="Y14" s="1"/>
      <c r="Z14" s="1"/>
    </row>
    <row r="15" spans="1:26" ht="60.75" customHeight="1" outlineLevel="1" x14ac:dyDescent="0.25">
      <c r="A15" s="66" t="s">
        <v>141</v>
      </c>
      <c r="B15" s="66" t="s">
        <v>142</v>
      </c>
      <c r="C15" s="66" t="s">
        <v>143</v>
      </c>
      <c r="D15" s="66" t="s">
        <v>144</v>
      </c>
      <c r="E15" s="66" t="s">
        <v>145</v>
      </c>
      <c r="F15" s="87" t="s">
        <v>5</v>
      </c>
      <c r="G15" s="88">
        <v>46244.708333333336</v>
      </c>
      <c r="H15" s="87" t="s">
        <v>91</v>
      </c>
      <c r="I15" s="87" t="s">
        <v>5</v>
      </c>
      <c r="J15" s="88">
        <v>46244.708333333336</v>
      </c>
      <c r="K15" s="87" t="s">
        <v>91</v>
      </c>
      <c r="L15" s="87" t="s">
        <v>12</v>
      </c>
      <c r="M15" s="88"/>
      <c r="N15" s="87"/>
      <c r="O15" s="97"/>
      <c r="P15" s="81"/>
      <c r="Q15" s="83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 x14ac:dyDescent="0.25">
      <c r="A16" s="144" t="s">
        <v>146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6"/>
      <c r="P16" s="86"/>
      <c r="Q16" s="7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outlineLevel="1" x14ac:dyDescent="0.25">
      <c r="A17" s="66" t="s">
        <v>147</v>
      </c>
      <c r="B17" s="66" t="s">
        <v>148</v>
      </c>
      <c r="C17" s="66" t="s">
        <v>149</v>
      </c>
      <c r="D17" s="66" t="s">
        <v>150</v>
      </c>
      <c r="E17" s="66" t="s">
        <v>151</v>
      </c>
      <c r="F17" s="87" t="s">
        <v>5</v>
      </c>
      <c r="G17" s="88">
        <v>46244.708333333336</v>
      </c>
      <c r="H17" s="87" t="s">
        <v>76</v>
      </c>
      <c r="I17" s="87" t="s">
        <v>5</v>
      </c>
      <c r="J17" s="88">
        <v>46244.708333333336</v>
      </c>
      <c r="K17" s="87" t="s">
        <v>76</v>
      </c>
      <c r="L17" s="87" t="s">
        <v>12</v>
      </c>
      <c r="M17" s="88"/>
      <c r="N17" s="87"/>
      <c r="O17" s="87"/>
      <c r="P17" s="86"/>
      <c r="Q17" s="7"/>
      <c r="R17" s="1"/>
      <c r="S17" s="1"/>
      <c r="T17" s="1"/>
      <c r="U17" s="1"/>
      <c r="V17" s="1"/>
      <c r="W17" s="1"/>
      <c r="X17" s="1"/>
      <c r="Y17" s="1"/>
      <c r="Z17" s="1"/>
    </row>
    <row r="18" spans="1:26" ht="51" customHeight="1" outlineLevel="1" x14ac:dyDescent="0.25">
      <c r="A18" s="66" t="s">
        <v>152</v>
      </c>
      <c r="B18" s="66" t="s">
        <v>153</v>
      </c>
      <c r="C18" s="66" t="s">
        <v>154</v>
      </c>
      <c r="D18" s="66" t="s">
        <v>155</v>
      </c>
      <c r="E18" s="66" t="s">
        <v>156</v>
      </c>
      <c r="F18" s="87" t="s">
        <v>5</v>
      </c>
      <c r="G18" s="88">
        <v>46244.708333333336</v>
      </c>
      <c r="H18" s="87" t="s">
        <v>76</v>
      </c>
      <c r="I18" s="87" t="s">
        <v>5</v>
      </c>
      <c r="J18" s="88">
        <v>46244.708333333336</v>
      </c>
      <c r="K18" s="87" t="s">
        <v>76</v>
      </c>
      <c r="L18" s="87" t="s">
        <v>12</v>
      </c>
      <c r="M18" s="88"/>
      <c r="N18" s="87"/>
      <c r="O18" s="97"/>
      <c r="P18" s="81"/>
      <c r="Q18" s="83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 outlineLevel="1" x14ac:dyDescent="0.25">
      <c r="A19" s="66" t="s">
        <v>157</v>
      </c>
      <c r="B19" s="66" t="s">
        <v>158</v>
      </c>
      <c r="C19" s="66" t="s">
        <v>159</v>
      </c>
      <c r="D19" s="66" t="s">
        <v>160</v>
      </c>
      <c r="E19" s="66" t="s">
        <v>161</v>
      </c>
      <c r="F19" s="87" t="s">
        <v>5</v>
      </c>
      <c r="G19" s="88">
        <v>46244.708333333336</v>
      </c>
      <c r="H19" s="87" t="s">
        <v>76</v>
      </c>
      <c r="I19" s="87" t="s">
        <v>5</v>
      </c>
      <c r="J19" s="88">
        <v>46244.708333333336</v>
      </c>
      <c r="K19" s="87" t="s">
        <v>76</v>
      </c>
      <c r="L19" s="87" t="s">
        <v>12</v>
      </c>
      <c r="M19" s="88"/>
      <c r="N19" s="87"/>
      <c r="O19" s="87"/>
      <c r="P19" s="86"/>
      <c r="Q19" s="90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outlineLevel="1" x14ac:dyDescent="0.25">
      <c r="A20" s="66" t="s">
        <v>162</v>
      </c>
      <c r="B20" s="66" t="s">
        <v>163</v>
      </c>
      <c r="C20" s="66" t="s">
        <v>164</v>
      </c>
      <c r="D20" s="66" t="s">
        <v>165</v>
      </c>
      <c r="E20" s="66" t="s">
        <v>166</v>
      </c>
      <c r="F20" s="87" t="s">
        <v>5</v>
      </c>
      <c r="G20" s="88">
        <v>46244.708333333336</v>
      </c>
      <c r="H20" s="87" t="s">
        <v>76</v>
      </c>
      <c r="I20" s="87" t="s">
        <v>5</v>
      </c>
      <c r="J20" s="88">
        <v>46244.708333333336</v>
      </c>
      <c r="K20" s="87" t="s">
        <v>76</v>
      </c>
      <c r="L20" s="87" t="s">
        <v>12</v>
      </c>
      <c r="M20" s="88"/>
      <c r="N20" s="87"/>
      <c r="O20" s="87"/>
      <c r="P20" s="86"/>
      <c r="Q20" s="7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outlineLevel="1" x14ac:dyDescent="0.25">
      <c r="A21" s="66" t="s">
        <v>167</v>
      </c>
      <c r="B21" s="66" t="s">
        <v>168</v>
      </c>
      <c r="C21" s="66" t="s">
        <v>169</v>
      </c>
      <c r="D21" s="66" t="s">
        <v>170</v>
      </c>
      <c r="E21" s="66" t="s">
        <v>171</v>
      </c>
      <c r="F21" s="87" t="s">
        <v>5</v>
      </c>
      <c r="G21" s="88">
        <v>46244.708333333336</v>
      </c>
      <c r="H21" s="87" t="s">
        <v>91</v>
      </c>
      <c r="I21" s="87" t="s">
        <v>8</v>
      </c>
      <c r="J21" s="88">
        <v>46244.708333333336</v>
      </c>
      <c r="K21" s="87" t="s">
        <v>91</v>
      </c>
      <c r="L21" s="87" t="s">
        <v>12</v>
      </c>
      <c r="M21" s="88"/>
      <c r="N21" s="87"/>
      <c r="O21" s="87" t="s">
        <v>172</v>
      </c>
      <c r="P21" s="86"/>
      <c r="Q21" s="7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44" t="s">
        <v>173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6"/>
      <c r="P22" s="86"/>
      <c r="Q22" s="7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outlineLevel="1" x14ac:dyDescent="0.25">
      <c r="A23" s="66" t="s">
        <v>174</v>
      </c>
      <c r="B23" s="66" t="s">
        <v>175</v>
      </c>
      <c r="C23" s="66" t="s">
        <v>176</v>
      </c>
      <c r="D23" s="66" t="s">
        <v>177</v>
      </c>
      <c r="E23" s="66" t="s">
        <v>178</v>
      </c>
      <c r="F23" s="87" t="s">
        <v>5</v>
      </c>
      <c r="G23" s="88">
        <v>46244.708333333336</v>
      </c>
      <c r="H23" s="87" t="s">
        <v>76</v>
      </c>
      <c r="I23" s="87" t="s">
        <v>5</v>
      </c>
      <c r="J23" s="88">
        <v>46244.708333333336</v>
      </c>
      <c r="K23" s="87" t="s">
        <v>76</v>
      </c>
      <c r="L23" s="87" t="s">
        <v>12</v>
      </c>
      <c r="M23" s="88"/>
      <c r="N23" s="87"/>
      <c r="O23" s="87"/>
      <c r="P23" s="86"/>
      <c r="Q23" s="7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outlineLevel="1" x14ac:dyDescent="0.25">
      <c r="A24" s="66" t="s">
        <v>179</v>
      </c>
      <c r="B24" s="66" t="s">
        <v>180</v>
      </c>
      <c r="C24" s="66" t="s">
        <v>181</v>
      </c>
      <c r="D24" s="66" t="s">
        <v>182</v>
      </c>
      <c r="E24" s="66" t="s">
        <v>183</v>
      </c>
      <c r="F24" s="87" t="s">
        <v>5</v>
      </c>
      <c r="G24" s="88">
        <v>46244.708333333336</v>
      </c>
      <c r="H24" s="87" t="s">
        <v>76</v>
      </c>
      <c r="I24" s="87" t="s">
        <v>5</v>
      </c>
      <c r="J24" s="88">
        <v>46244.708333333336</v>
      </c>
      <c r="K24" s="87" t="s">
        <v>76</v>
      </c>
      <c r="L24" s="87" t="s">
        <v>12</v>
      </c>
      <c r="M24" s="88"/>
      <c r="N24" s="87"/>
      <c r="O24" s="87"/>
      <c r="P24" s="86"/>
      <c r="Q24" s="7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outlineLevel="1" x14ac:dyDescent="0.25">
      <c r="A25" s="66" t="s">
        <v>184</v>
      </c>
      <c r="B25" s="66" t="s">
        <v>185</v>
      </c>
      <c r="C25" s="66" t="s">
        <v>186</v>
      </c>
      <c r="D25" s="66" t="s">
        <v>187</v>
      </c>
      <c r="E25" s="66" t="s">
        <v>188</v>
      </c>
      <c r="F25" s="87" t="s">
        <v>5</v>
      </c>
      <c r="G25" s="88">
        <v>46244.708333333336</v>
      </c>
      <c r="H25" s="87" t="s">
        <v>91</v>
      </c>
      <c r="I25" s="87" t="s">
        <v>5</v>
      </c>
      <c r="J25" s="88">
        <v>46244.708333333336</v>
      </c>
      <c r="K25" s="87" t="s">
        <v>91</v>
      </c>
      <c r="L25" s="87" t="s">
        <v>12</v>
      </c>
      <c r="M25" s="88"/>
      <c r="N25" s="87"/>
      <c r="O25" s="87"/>
      <c r="P25" s="86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outlineLevel="1" x14ac:dyDescent="0.25">
      <c r="A26" s="66" t="s">
        <v>189</v>
      </c>
      <c r="B26" s="66" t="s">
        <v>190</v>
      </c>
      <c r="C26" s="66" t="s">
        <v>191</v>
      </c>
      <c r="D26" s="66" t="s">
        <v>192</v>
      </c>
      <c r="E26" s="66" t="s">
        <v>193</v>
      </c>
      <c r="F26" s="87" t="s">
        <v>5</v>
      </c>
      <c r="G26" s="88">
        <v>46244.708333333336</v>
      </c>
      <c r="H26" s="87" t="s">
        <v>91</v>
      </c>
      <c r="I26" s="87" t="s">
        <v>5</v>
      </c>
      <c r="J26" s="88">
        <v>46244.708333333336</v>
      </c>
      <c r="K26" s="87" t="s">
        <v>91</v>
      </c>
      <c r="L26" s="87" t="s">
        <v>12</v>
      </c>
      <c r="M26" s="88"/>
      <c r="N26" s="87"/>
      <c r="O26" s="87"/>
      <c r="P26" s="86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outlineLevel="1" x14ac:dyDescent="0.25">
      <c r="A27" s="66" t="s">
        <v>194</v>
      </c>
      <c r="B27" s="66" t="s">
        <v>195</v>
      </c>
      <c r="C27" s="66" t="s">
        <v>196</v>
      </c>
      <c r="D27" s="66" t="s">
        <v>197</v>
      </c>
      <c r="E27" s="66" t="s">
        <v>188</v>
      </c>
      <c r="F27" s="87" t="s">
        <v>5</v>
      </c>
      <c r="G27" s="88">
        <v>46244.708333333336</v>
      </c>
      <c r="H27" s="87" t="s">
        <v>91</v>
      </c>
      <c r="I27" s="87" t="s">
        <v>5</v>
      </c>
      <c r="J27" s="88">
        <v>46244.708333333336</v>
      </c>
      <c r="K27" s="87" t="s">
        <v>91</v>
      </c>
      <c r="L27" s="87" t="s">
        <v>12</v>
      </c>
      <c r="M27" s="88"/>
      <c r="N27" s="87"/>
      <c r="O27" s="87"/>
      <c r="P27" s="86"/>
      <c r="Q27" s="7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44" t="s">
        <v>69</v>
      </c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6"/>
      <c r="P28" s="86"/>
      <c r="Q28" s="7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outlineLevel="1" x14ac:dyDescent="0.25">
      <c r="A29" s="66" t="s">
        <v>198</v>
      </c>
      <c r="B29" s="66" t="s">
        <v>199</v>
      </c>
      <c r="C29" s="66" t="s">
        <v>200</v>
      </c>
      <c r="D29" s="66" t="s">
        <v>201</v>
      </c>
      <c r="E29" s="66" t="s">
        <v>202</v>
      </c>
      <c r="F29" s="87" t="s">
        <v>5</v>
      </c>
      <c r="G29" s="88">
        <v>46244.708333333336</v>
      </c>
      <c r="H29" s="87" t="s">
        <v>76</v>
      </c>
      <c r="I29" s="87" t="s">
        <v>5</v>
      </c>
      <c r="J29" s="88">
        <v>46244.708333333336</v>
      </c>
      <c r="K29" s="87" t="s">
        <v>76</v>
      </c>
      <c r="L29" s="87" t="s">
        <v>12</v>
      </c>
      <c r="M29" s="88"/>
      <c r="N29" s="87"/>
      <c r="O29" s="87"/>
      <c r="P29" s="86"/>
      <c r="Q29" s="7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outlineLevel="1" x14ac:dyDescent="0.25">
      <c r="A30" s="66" t="s">
        <v>203</v>
      </c>
      <c r="B30" s="66" t="s">
        <v>204</v>
      </c>
      <c r="C30" s="66" t="s">
        <v>205</v>
      </c>
      <c r="D30" s="66" t="s">
        <v>206</v>
      </c>
      <c r="E30" s="66" t="s">
        <v>202</v>
      </c>
      <c r="F30" s="87" t="s">
        <v>5</v>
      </c>
      <c r="G30" s="88">
        <v>46244.708333333336</v>
      </c>
      <c r="H30" s="87" t="s">
        <v>76</v>
      </c>
      <c r="I30" s="87" t="s">
        <v>5</v>
      </c>
      <c r="J30" s="88">
        <v>46244.708333333336</v>
      </c>
      <c r="K30" s="87" t="s">
        <v>76</v>
      </c>
      <c r="L30" s="87" t="s">
        <v>12</v>
      </c>
      <c r="M30" s="88"/>
      <c r="N30" s="87"/>
      <c r="O30" s="87"/>
      <c r="P30" s="86"/>
      <c r="Q30" s="7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44" t="s">
        <v>207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3"/>
      <c r="P31" s="86"/>
      <c r="Q31" s="7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outlineLevel="1" x14ac:dyDescent="0.25">
      <c r="A32" s="66" t="s">
        <v>208</v>
      </c>
      <c r="B32" s="66" t="s">
        <v>209</v>
      </c>
      <c r="C32" s="66" t="s">
        <v>210</v>
      </c>
      <c r="D32" s="66" t="s">
        <v>211</v>
      </c>
      <c r="E32" s="66" t="s">
        <v>212</v>
      </c>
      <c r="F32" s="87" t="s">
        <v>5</v>
      </c>
      <c r="G32" s="88">
        <v>46244.708333333336</v>
      </c>
      <c r="H32" s="87" t="s">
        <v>91</v>
      </c>
      <c r="I32" s="87" t="s">
        <v>5</v>
      </c>
      <c r="J32" s="88">
        <v>46244.708333333336</v>
      </c>
      <c r="K32" s="87" t="s">
        <v>91</v>
      </c>
      <c r="L32" s="87" t="s">
        <v>12</v>
      </c>
      <c r="M32" s="88"/>
      <c r="N32" s="87"/>
      <c r="O32" s="87"/>
      <c r="P32" s="86"/>
      <c r="Q32" s="7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outlineLevel="1" x14ac:dyDescent="0.25">
      <c r="A33" s="66" t="s">
        <v>213</v>
      </c>
      <c r="B33" s="66" t="s">
        <v>214</v>
      </c>
      <c r="C33" s="66" t="s">
        <v>215</v>
      </c>
      <c r="D33" s="66" t="s">
        <v>216</v>
      </c>
      <c r="E33" s="66" t="s">
        <v>217</v>
      </c>
      <c r="F33" s="87" t="s">
        <v>5</v>
      </c>
      <c r="G33" s="88">
        <v>46244.708333333336</v>
      </c>
      <c r="H33" s="87" t="s">
        <v>91</v>
      </c>
      <c r="I33" s="87" t="s">
        <v>5</v>
      </c>
      <c r="J33" s="88">
        <v>46244.708333333336</v>
      </c>
      <c r="K33" s="87" t="s">
        <v>91</v>
      </c>
      <c r="L33" s="87" t="s">
        <v>12</v>
      </c>
      <c r="M33" s="88"/>
      <c r="N33" s="87"/>
      <c r="O33" s="87"/>
      <c r="P33" s="86"/>
      <c r="Q33" s="7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outlineLevel="1" x14ac:dyDescent="0.25">
      <c r="A34" s="66" t="s">
        <v>218</v>
      </c>
      <c r="B34" s="66" t="s">
        <v>66</v>
      </c>
      <c r="C34" s="66" t="s">
        <v>219</v>
      </c>
      <c r="D34" s="66" t="s">
        <v>220</v>
      </c>
      <c r="E34" s="66" t="s">
        <v>221</v>
      </c>
      <c r="F34" s="87" t="s">
        <v>5</v>
      </c>
      <c r="G34" s="88">
        <v>46244.708333333336</v>
      </c>
      <c r="H34" s="87" t="s">
        <v>76</v>
      </c>
      <c r="I34" s="87" t="s">
        <v>5</v>
      </c>
      <c r="J34" s="88">
        <v>46244.708333333336</v>
      </c>
      <c r="K34" s="87" t="s">
        <v>76</v>
      </c>
      <c r="L34" s="87" t="s">
        <v>12</v>
      </c>
      <c r="M34" s="88"/>
      <c r="N34" s="87"/>
      <c r="O34" s="87"/>
      <c r="P34" s="86"/>
      <c r="Q34" s="7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outlineLevel="1" x14ac:dyDescent="0.25">
      <c r="A35" s="66" t="s">
        <v>222</v>
      </c>
      <c r="B35" s="66" t="s">
        <v>223</v>
      </c>
      <c r="C35" s="66" t="s">
        <v>224</v>
      </c>
      <c r="D35" s="66" t="s">
        <v>225</v>
      </c>
      <c r="E35" s="66" t="s">
        <v>226</v>
      </c>
      <c r="F35" s="87" t="s">
        <v>5</v>
      </c>
      <c r="G35" s="88">
        <v>46244.708333333336</v>
      </c>
      <c r="H35" s="87" t="s">
        <v>76</v>
      </c>
      <c r="I35" s="87" t="s">
        <v>5</v>
      </c>
      <c r="J35" s="88">
        <v>46244.708333333336</v>
      </c>
      <c r="K35" s="87" t="s">
        <v>76</v>
      </c>
      <c r="L35" s="87" t="s">
        <v>12</v>
      </c>
      <c r="M35" s="88"/>
      <c r="N35" s="87"/>
      <c r="O35" s="87"/>
      <c r="P35" s="86"/>
      <c r="Q35" s="7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"/>
      <c r="Q36" s="7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1"/>
      <c r="Q37" s="7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1"/>
      <c r="Q38" s="7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1"/>
      <c r="Q39" s="7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6"/>
      <c r="G40" s="6"/>
      <c r="H40" s="6"/>
      <c r="I40" s="6"/>
      <c r="J40" s="6"/>
      <c r="K40" s="6"/>
      <c r="L40" s="6"/>
      <c r="M40" s="6"/>
      <c r="N40" s="6"/>
      <c r="O40" s="6"/>
      <c r="P40" s="1"/>
      <c r="Q40" s="7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6"/>
      <c r="P41" s="1"/>
      <c r="Q41" s="7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6"/>
      <c r="P42" s="1"/>
      <c r="Q42" s="7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6"/>
      <c r="G43" s="6"/>
      <c r="H43" s="6"/>
      <c r="I43" s="6"/>
      <c r="J43" s="6"/>
      <c r="K43" s="6"/>
      <c r="L43" s="6"/>
      <c r="M43" s="6"/>
      <c r="N43" s="6"/>
      <c r="O43" s="6"/>
      <c r="P43" s="1"/>
      <c r="Q43" s="7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6"/>
      <c r="G44" s="6"/>
      <c r="H44" s="6"/>
      <c r="I44" s="6"/>
      <c r="J44" s="6"/>
      <c r="K44" s="6"/>
      <c r="L44" s="6"/>
      <c r="M44" s="6"/>
      <c r="N44" s="6"/>
      <c r="O44" s="6"/>
      <c r="P44" s="1"/>
      <c r="Q44" s="7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6"/>
      <c r="G45" s="6"/>
      <c r="H45" s="6"/>
      <c r="I45" s="6"/>
      <c r="J45" s="6"/>
      <c r="K45" s="6"/>
      <c r="L45" s="6"/>
      <c r="M45" s="6"/>
      <c r="N45" s="6"/>
      <c r="O45" s="6"/>
      <c r="P45" s="1"/>
      <c r="Q45" s="7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6"/>
      <c r="G46" s="6"/>
      <c r="H46" s="6"/>
      <c r="I46" s="6"/>
      <c r="J46" s="6"/>
      <c r="K46" s="6"/>
      <c r="L46" s="6"/>
      <c r="M46" s="6"/>
      <c r="N46" s="6"/>
      <c r="O46" s="6"/>
      <c r="P46" s="1"/>
      <c r="Q46" s="7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6"/>
      <c r="G47" s="6"/>
      <c r="H47" s="6"/>
      <c r="I47" s="6"/>
      <c r="J47" s="6"/>
      <c r="K47" s="6"/>
      <c r="L47" s="6"/>
      <c r="M47" s="6"/>
      <c r="N47" s="6"/>
      <c r="O47" s="6"/>
      <c r="P47" s="1"/>
      <c r="Q47" s="7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6"/>
      <c r="G48" s="6"/>
      <c r="H48" s="6"/>
      <c r="I48" s="6"/>
      <c r="J48" s="6"/>
      <c r="K48" s="6"/>
      <c r="L48" s="6"/>
      <c r="M48" s="6"/>
      <c r="N48" s="6"/>
      <c r="O48" s="6"/>
      <c r="P48" s="1"/>
      <c r="Q48" s="7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6"/>
      <c r="P49" s="1"/>
      <c r="Q49" s="7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6"/>
      <c r="P50" s="1"/>
      <c r="Q50" s="7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6"/>
      <c r="P51" s="1"/>
      <c r="Q51" s="7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6"/>
      <c r="P52" s="1"/>
      <c r="Q52" s="7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6"/>
      <c r="P53" s="1"/>
      <c r="Q53" s="7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6"/>
      <c r="P54" s="1"/>
      <c r="Q54" s="7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6"/>
      <c r="P55" s="1"/>
      <c r="Q55" s="7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6"/>
      <c r="G56" s="6"/>
      <c r="H56" s="6"/>
      <c r="I56" s="6"/>
      <c r="J56" s="6"/>
      <c r="K56" s="6"/>
      <c r="L56" s="6"/>
      <c r="M56" s="6"/>
      <c r="N56" s="6"/>
      <c r="O56" s="6"/>
      <c r="P56" s="1"/>
      <c r="Q56" s="7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6"/>
      <c r="G57" s="6"/>
      <c r="H57" s="6"/>
      <c r="I57" s="6"/>
      <c r="J57" s="6"/>
      <c r="K57" s="6"/>
      <c r="L57" s="6"/>
      <c r="M57" s="6"/>
      <c r="N57" s="6"/>
      <c r="O57" s="6"/>
      <c r="P57" s="1"/>
      <c r="Q57" s="7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6"/>
      <c r="G58" s="6"/>
      <c r="H58" s="6"/>
      <c r="I58" s="6"/>
      <c r="J58" s="6"/>
      <c r="K58" s="6"/>
      <c r="L58" s="6"/>
      <c r="M58" s="6"/>
      <c r="N58" s="6"/>
      <c r="O58" s="6"/>
      <c r="P58" s="1"/>
      <c r="Q58" s="7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6"/>
      <c r="G59" s="6"/>
      <c r="H59" s="6"/>
      <c r="I59" s="6"/>
      <c r="J59" s="6"/>
      <c r="K59" s="6"/>
      <c r="L59" s="6"/>
      <c r="M59" s="6"/>
      <c r="N59" s="6"/>
      <c r="O59" s="6"/>
      <c r="P59" s="1"/>
      <c r="Q59" s="7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6"/>
      <c r="G60" s="6"/>
      <c r="H60" s="6"/>
      <c r="I60" s="6"/>
      <c r="J60" s="6"/>
      <c r="K60" s="6"/>
      <c r="L60" s="6"/>
      <c r="M60" s="6"/>
      <c r="N60" s="6"/>
      <c r="O60" s="6"/>
      <c r="P60" s="1"/>
      <c r="Q60" s="7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6"/>
      <c r="G61" s="6"/>
      <c r="H61" s="6"/>
      <c r="I61" s="6"/>
      <c r="J61" s="6"/>
      <c r="K61" s="6"/>
      <c r="L61" s="6"/>
      <c r="M61" s="6"/>
      <c r="N61" s="6"/>
      <c r="O61" s="6"/>
      <c r="P61" s="1"/>
      <c r="Q61" s="7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6"/>
      <c r="P62" s="1"/>
      <c r="Q62" s="7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6"/>
      <c r="P63" s="1"/>
      <c r="Q63" s="7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6"/>
      <c r="P64" s="1"/>
      <c r="Q64" s="7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6"/>
      <c r="G65" s="6"/>
      <c r="H65" s="6"/>
      <c r="I65" s="6"/>
      <c r="J65" s="6"/>
      <c r="K65" s="6"/>
      <c r="L65" s="6"/>
      <c r="M65" s="6"/>
      <c r="N65" s="6"/>
      <c r="O65" s="6"/>
      <c r="P65" s="1"/>
      <c r="Q65" s="7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6"/>
      <c r="G66" s="6"/>
      <c r="H66" s="6"/>
      <c r="I66" s="6"/>
      <c r="J66" s="6"/>
      <c r="K66" s="6"/>
      <c r="L66" s="6"/>
      <c r="M66" s="6"/>
      <c r="N66" s="6"/>
      <c r="O66" s="6"/>
      <c r="P66" s="1"/>
      <c r="Q66" s="7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6"/>
      <c r="G67" s="6"/>
      <c r="H67" s="6"/>
      <c r="I67" s="6"/>
      <c r="J67" s="6"/>
      <c r="K67" s="6"/>
      <c r="L67" s="6"/>
      <c r="M67" s="6"/>
      <c r="N67" s="6"/>
      <c r="O67" s="6"/>
      <c r="P67" s="1"/>
      <c r="Q67" s="7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6"/>
      <c r="G68" s="6"/>
      <c r="H68" s="6"/>
      <c r="I68" s="6"/>
      <c r="J68" s="6"/>
      <c r="K68" s="6"/>
      <c r="L68" s="6"/>
      <c r="M68" s="6"/>
      <c r="N68" s="6"/>
      <c r="O68" s="6"/>
      <c r="P68" s="1"/>
      <c r="Q68" s="7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6"/>
      <c r="G69" s="6"/>
      <c r="H69" s="6"/>
      <c r="I69" s="6"/>
      <c r="J69" s="6"/>
      <c r="K69" s="6"/>
      <c r="L69" s="6"/>
      <c r="M69" s="6"/>
      <c r="N69" s="6"/>
      <c r="O69" s="6"/>
      <c r="P69" s="1"/>
      <c r="Q69" s="7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6"/>
      <c r="G70" s="6"/>
      <c r="H70" s="6"/>
      <c r="I70" s="6"/>
      <c r="J70" s="6"/>
      <c r="K70" s="6"/>
      <c r="L70" s="6"/>
      <c r="M70" s="6"/>
      <c r="N70" s="6"/>
      <c r="O70" s="6"/>
      <c r="P70" s="1"/>
      <c r="Q70" s="7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6"/>
      <c r="G71" s="6"/>
      <c r="H71" s="6"/>
      <c r="I71" s="6"/>
      <c r="J71" s="6"/>
      <c r="K71" s="6"/>
      <c r="L71" s="6"/>
      <c r="M71" s="6"/>
      <c r="N71" s="6"/>
      <c r="O71" s="6"/>
      <c r="P71" s="1"/>
      <c r="Q71" s="7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6"/>
      <c r="G72" s="6"/>
      <c r="H72" s="6"/>
      <c r="I72" s="6"/>
      <c r="J72" s="6"/>
      <c r="K72" s="6"/>
      <c r="L72" s="6"/>
      <c r="M72" s="6"/>
      <c r="N72" s="6"/>
      <c r="O72" s="6"/>
      <c r="P72" s="1"/>
      <c r="Q72" s="7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6"/>
      <c r="G73" s="6"/>
      <c r="H73" s="6"/>
      <c r="I73" s="6"/>
      <c r="J73" s="6"/>
      <c r="K73" s="6"/>
      <c r="L73" s="6"/>
      <c r="M73" s="6"/>
      <c r="N73" s="6"/>
      <c r="O73" s="6"/>
      <c r="P73" s="1"/>
      <c r="Q73" s="7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6"/>
      <c r="G74" s="6"/>
      <c r="H74" s="6"/>
      <c r="I74" s="6"/>
      <c r="J74" s="6"/>
      <c r="K74" s="6"/>
      <c r="L74" s="6"/>
      <c r="M74" s="6"/>
      <c r="N74" s="6"/>
      <c r="O74" s="6"/>
      <c r="P74" s="1"/>
      <c r="Q74" s="7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6"/>
      <c r="G75" s="6"/>
      <c r="H75" s="6"/>
      <c r="I75" s="6"/>
      <c r="J75" s="6"/>
      <c r="K75" s="6"/>
      <c r="L75" s="6"/>
      <c r="M75" s="6"/>
      <c r="N75" s="6"/>
      <c r="O75" s="6"/>
      <c r="P75" s="1"/>
      <c r="Q75" s="7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6"/>
      <c r="G76" s="6"/>
      <c r="H76" s="6"/>
      <c r="I76" s="6"/>
      <c r="J76" s="6"/>
      <c r="K76" s="6"/>
      <c r="L76" s="6"/>
      <c r="M76" s="6"/>
      <c r="N76" s="6"/>
      <c r="O76" s="6"/>
      <c r="P76" s="1"/>
      <c r="Q76" s="7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6"/>
      <c r="G77" s="6"/>
      <c r="H77" s="6"/>
      <c r="I77" s="6"/>
      <c r="J77" s="6"/>
      <c r="K77" s="6"/>
      <c r="L77" s="6"/>
      <c r="M77" s="6"/>
      <c r="N77" s="6"/>
      <c r="O77" s="6"/>
      <c r="P77" s="1"/>
      <c r="Q77" s="7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6"/>
      <c r="G78" s="6"/>
      <c r="H78" s="6"/>
      <c r="I78" s="6"/>
      <c r="J78" s="6"/>
      <c r="K78" s="6"/>
      <c r="L78" s="6"/>
      <c r="M78" s="6"/>
      <c r="N78" s="6"/>
      <c r="O78" s="6"/>
      <c r="P78" s="1"/>
      <c r="Q78" s="7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6"/>
      <c r="G79" s="6"/>
      <c r="H79" s="6"/>
      <c r="I79" s="6"/>
      <c r="J79" s="6"/>
      <c r="K79" s="6"/>
      <c r="L79" s="6"/>
      <c r="M79" s="6"/>
      <c r="N79" s="6"/>
      <c r="O79" s="6"/>
      <c r="P79" s="1"/>
      <c r="Q79" s="7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6"/>
      <c r="G80" s="6"/>
      <c r="H80" s="6"/>
      <c r="I80" s="6"/>
      <c r="J80" s="6"/>
      <c r="K80" s="6"/>
      <c r="L80" s="6"/>
      <c r="M80" s="6"/>
      <c r="N80" s="6"/>
      <c r="O80" s="6"/>
      <c r="P80" s="1"/>
      <c r="Q80" s="7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6"/>
      <c r="G81" s="6"/>
      <c r="H81" s="6"/>
      <c r="I81" s="6"/>
      <c r="J81" s="6"/>
      <c r="K81" s="6"/>
      <c r="L81" s="6"/>
      <c r="M81" s="6"/>
      <c r="N81" s="6"/>
      <c r="O81" s="6"/>
      <c r="P81" s="1"/>
      <c r="Q81" s="7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6"/>
      <c r="G82" s="6"/>
      <c r="H82" s="6"/>
      <c r="I82" s="6"/>
      <c r="J82" s="6"/>
      <c r="K82" s="6"/>
      <c r="L82" s="6"/>
      <c r="M82" s="6"/>
      <c r="N82" s="6"/>
      <c r="O82" s="6"/>
      <c r="P82" s="1"/>
      <c r="Q82" s="7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6"/>
      <c r="P83" s="1"/>
      <c r="Q83" s="7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6"/>
      <c r="P84" s="1"/>
      <c r="Q84" s="7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6"/>
      <c r="P85" s="1"/>
      <c r="Q85" s="7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6"/>
      <c r="G86" s="6"/>
      <c r="H86" s="6"/>
      <c r="I86" s="6"/>
      <c r="J86" s="6"/>
      <c r="K86" s="6"/>
      <c r="L86" s="6"/>
      <c r="M86" s="6"/>
      <c r="N86" s="6"/>
      <c r="O86" s="6"/>
      <c r="P86" s="1"/>
      <c r="Q86" s="7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6"/>
      <c r="G87" s="6"/>
      <c r="H87" s="6"/>
      <c r="I87" s="6"/>
      <c r="J87" s="6"/>
      <c r="K87" s="6"/>
      <c r="L87" s="6"/>
      <c r="M87" s="6"/>
      <c r="N87" s="6"/>
      <c r="O87" s="6"/>
      <c r="P87" s="1"/>
      <c r="Q87" s="7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6"/>
      <c r="G88" s="6"/>
      <c r="H88" s="6"/>
      <c r="I88" s="6"/>
      <c r="J88" s="6"/>
      <c r="K88" s="6"/>
      <c r="L88" s="6"/>
      <c r="M88" s="6"/>
      <c r="N88" s="6"/>
      <c r="O88" s="6"/>
      <c r="P88" s="1"/>
      <c r="Q88" s="7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6"/>
      <c r="G89" s="6"/>
      <c r="H89" s="6"/>
      <c r="I89" s="6"/>
      <c r="J89" s="6"/>
      <c r="K89" s="6"/>
      <c r="L89" s="6"/>
      <c r="M89" s="6"/>
      <c r="N89" s="6"/>
      <c r="O89" s="6"/>
      <c r="P89" s="1"/>
      <c r="Q89" s="7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6"/>
      <c r="G90" s="6"/>
      <c r="H90" s="6"/>
      <c r="I90" s="6"/>
      <c r="J90" s="6"/>
      <c r="K90" s="6"/>
      <c r="L90" s="6"/>
      <c r="M90" s="6"/>
      <c r="N90" s="6"/>
      <c r="O90" s="6"/>
      <c r="P90" s="1"/>
      <c r="Q90" s="7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6"/>
      <c r="G91" s="6"/>
      <c r="H91" s="6"/>
      <c r="I91" s="6"/>
      <c r="J91" s="6"/>
      <c r="K91" s="6"/>
      <c r="L91" s="6"/>
      <c r="M91" s="6"/>
      <c r="N91" s="6"/>
      <c r="O91" s="6"/>
      <c r="P91" s="1"/>
      <c r="Q91" s="7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6"/>
      <c r="G92" s="6"/>
      <c r="H92" s="6"/>
      <c r="I92" s="6"/>
      <c r="J92" s="6"/>
      <c r="K92" s="6"/>
      <c r="L92" s="6"/>
      <c r="M92" s="6"/>
      <c r="N92" s="6"/>
      <c r="O92" s="6"/>
      <c r="P92" s="1"/>
      <c r="Q92" s="7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6"/>
      <c r="G93" s="6"/>
      <c r="H93" s="6"/>
      <c r="I93" s="6"/>
      <c r="J93" s="6"/>
      <c r="K93" s="6"/>
      <c r="L93" s="6"/>
      <c r="M93" s="6"/>
      <c r="N93" s="6"/>
      <c r="O93" s="6"/>
      <c r="P93" s="1"/>
      <c r="Q93" s="7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6"/>
      <c r="G94" s="6"/>
      <c r="H94" s="6"/>
      <c r="I94" s="6"/>
      <c r="J94" s="6"/>
      <c r="K94" s="6"/>
      <c r="L94" s="6"/>
      <c r="M94" s="6"/>
      <c r="N94" s="6"/>
      <c r="O94" s="6"/>
      <c r="P94" s="1"/>
      <c r="Q94" s="7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6"/>
      <c r="G95" s="6"/>
      <c r="H95" s="6"/>
      <c r="I95" s="6"/>
      <c r="J95" s="6"/>
      <c r="K95" s="6"/>
      <c r="L95" s="6"/>
      <c r="M95" s="6"/>
      <c r="N95" s="6"/>
      <c r="O95" s="6"/>
      <c r="P95" s="1"/>
      <c r="Q95" s="7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6"/>
      <c r="G96" s="6"/>
      <c r="H96" s="6"/>
      <c r="I96" s="6"/>
      <c r="J96" s="6"/>
      <c r="K96" s="6"/>
      <c r="L96" s="6"/>
      <c r="M96" s="6"/>
      <c r="N96" s="6"/>
      <c r="O96" s="6"/>
      <c r="P96" s="1"/>
      <c r="Q96" s="7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6"/>
      <c r="G97" s="6"/>
      <c r="H97" s="6"/>
      <c r="I97" s="6"/>
      <c r="J97" s="6"/>
      <c r="K97" s="6"/>
      <c r="L97" s="6"/>
      <c r="M97" s="6"/>
      <c r="N97" s="6"/>
      <c r="O97" s="6"/>
      <c r="P97" s="1"/>
      <c r="Q97" s="7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6"/>
      <c r="G98" s="6"/>
      <c r="H98" s="6"/>
      <c r="I98" s="6"/>
      <c r="J98" s="6"/>
      <c r="K98" s="6"/>
      <c r="L98" s="6"/>
      <c r="M98" s="6"/>
      <c r="N98" s="6"/>
      <c r="O98" s="6"/>
      <c r="P98" s="1"/>
      <c r="Q98" s="7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6"/>
      <c r="G99" s="6"/>
      <c r="H99" s="6"/>
      <c r="I99" s="6"/>
      <c r="J99" s="6"/>
      <c r="K99" s="6"/>
      <c r="L99" s="6"/>
      <c r="M99" s="6"/>
      <c r="N99" s="6"/>
      <c r="O99" s="6"/>
      <c r="P99" s="1"/>
      <c r="Q99" s="7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1"/>
      <c r="Q100" s="7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1"/>
      <c r="Q101" s="7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1"/>
      <c r="Q102" s="7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1"/>
      <c r="Q103" s="7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1"/>
      <c r="Q104" s="7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1"/>
      <c r="Q105" s="7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1"/>
      <c r="Q106" s="7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1"/>
      <c r="Q107" s="7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1"/>
      <c r="Q108" s="7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1"/>
      <c r="Q109" s="7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1"/>
      <c r="Q110" s="7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1"/>
      <c r="Q111" s="7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1"/>
      <c r="Q112" s="7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1"/>
      <c r="Q113" s="7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1"/>
      <c r="Q114" s="7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1"/>
      <c r="Q115" s="7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1"/>
      <c r="Q116" s="7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1"/>
      <c r="Q117" s="7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1"/>
      <c r="Q118" s="7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1"/>
      <c r="Q119" s="7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1"/>
      <c r="Q120" s="7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1"/>
      <c r="Q121" s="7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1"/>
      <c r="Q122" s="7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1"/>
      <c r="Q123" s="7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1"/>
      <c r="Q124" s="7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1"/>
      <c r="Q125" s="7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1"/>
      <c r="Q126" s="7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1"/>
      <c r="Q127" s="7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1"/>
      <c r="Q128" s="7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1"/>
      <c r="Q129" s="7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1"/>
      <c r="Q130" s="7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1"/>
      <c r="Q131" s="7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1"/>
      <c r="Q132" s="7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1"/>
      <c r="Q133" s="7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1"/>
      <c r="Q134" s="7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1"/>
      <c r="Q135" s="7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1"/>
      <c r="Q136" s="7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1"/>
      <c r="Q137" s="7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1"/>
      <c r="Q138" s="7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1"/>
      <c r="Q139" s="7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1"/>
      <c r="Q140" s="7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1"/>
      <c r="Q141" s="7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1"/>
      <c r="Q142" s="7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1"/>
      <c r="Q143" s="7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1"/>
      <c r="Q144" s="7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1"/>
      <c r="Q145" s="7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1"/>
      <c r="Q146" s="7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1"/>
      <c r="Q147" s="7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1"/>
      <c r="Q148" s="7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1"/>
      <c r="Q149" s="7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1"/>
      <c r="Q150" s="7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1"/>
      <c r="Q151" s="7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1"/>
      <c r="Q152" s="7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1"/>
      <c r="Q153" s="7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1"/>
      <c r="Q154" s="7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1"/>
      <c r="Q155" s="7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1"/>
      <c r="Q156" s="7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1"/>
      <c r="Q157" s="7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1"/>
      <c r="Q158" s="7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1"/>
      <c r="Q159" s="7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1"/>
      <c r="Q160" s="7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1"/>
      <c r="Q161" s="7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1"/>
      <c r="Q162" s="7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1"/>
      <c r="Q163" s="7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1"/>
      <c r="Q164" s="7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1"/>
      <c r="Q165" s="7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1"/>
      <c r="Q166" s="7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1"/>
      <c r="Q167" s="7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1"/>
      <c r="Q168" s="7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1"/>
      <c r="Q169" s="7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1"/>
      <c r="Q170" s="7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1"/>
      <c r="Q171" s="7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1"/>
      <c r="Q172" s="7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1"/>
      <c r="Q173" s="7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1"/>
      <c r="Q174" s="7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1"/>
      <c r="Q175" s="7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1"/>
      <c r="Q176" s="7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1"/>
      <c r="Q177" s="7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1"/>
      <c r="Q178" s="7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1"/>
      <c r="Q179" s="7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1"/>
      <c r="Q180" s="7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1"/>
      <c r="Q181" s="7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1"/>
      <c r="Q182" s="7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1"/>
      <c r="Q183" s="7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1"/>
      <c r="Q184" s="7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1"/>
      <c r="Q185" s="7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1"/>
      <c r="Q186" s="7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1"/>
      <c r="Q187" s="7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1"/>
      <c r="Q188" s="7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1"/>
      <c r="Q189" s="7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1"/>
      <c r="Q190" s="7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1"/>
      <c r="Q191" s="7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1"/>
      <c r="Q192" s="7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1"/>
      <c r="Q193" s="7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1"/>
      <c r="Q194" s="7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1"/>
      <c r="Q195" s="7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1"/>
      <c r="Q196" s="7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1"/>
      <c r="Q197" s="7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1"/>
      <c r="Q198" s="7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1"/>
      <c r="Q199" s="7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1"/>
      <c r="Q200" s="7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1"/>
      <c r="Q201" s="7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1"/>
      <c r="Q202" s="7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1"/>
      <c r="Q203" s="7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1"/>
      <c r="Q204" s="7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1"/>
      <c r="Q205" s="7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1"/>
      <c r="Q206" s="7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1"/>
      <c r="Q207" s="7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1"/>
      <c r="Q208" s="7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1"/>
      <c r="Q209" s="7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1"/>
      <c r="Q210" s="7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1"/>
      <c r="Q211" s="7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1"/>
      <c r="Q212" s="7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1"/>
      <c r="Q213" s="7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1"/>
      <c r="Q214" s="7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1"/>
      <c r="Q215" s="7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1"/>
      <c r="Q216" s="7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1"/>
      <c r="Q217" s="7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1"/>
      <c r="Q218" s="7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1"/>
      <c r="Q219" s="7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1"/>
      <c r="Q220" s="7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1"/>
      <c r="Q221" s="7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1"/>
      <c r="Q222" s="7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1"/>
      <c r="Q223" s="7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1"/>
      <c r="Q224" s="7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1"/>
      <c r="Q225" s="7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1"/>
      <c r="Q226" s="7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1"/>
      <c r="Q227" s="7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1"/>
      <c r="Q228" s="7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1"/>
      <c r="Q229" s="7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1"/>
      <c r="Q230" s="7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1"/>
      <c r="Q231" s="7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1"/>
      <c r="Q232" s="7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1"/>
      <c r="Q233" s="7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1"/>
      <c r="Q234" s="7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1"/>
      <c r="Q235" s="7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1"/>
      <c r="Q236" s="7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1"/>
      <c r="Q237" s="7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1"/>
      <c r="Q238" s="7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1"/>
      <c r="Q239" s="7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1"/>
      <c r="Q240" s="7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1"/>
      <c r="Q241" s="7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1"/>
      <c r="Q242" s="7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1"/>
      <c r="Q243" s="7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1"/>
      <c r="Q244" s="7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1"/>
      <c r="Q245" s="7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1"/>
      <c r="Q246" s="7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1"/>
      <c r="Q247" s="7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1"/>
      <c r="Q248" s="7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1"/>
      <c r="Q249" s="7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1"/>
      <c r="Q250" s="7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1"/>
      <c r="Q251" s="7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1"/>
      <c r="Q252" s="7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1"/>
      <c r="Q253" s="7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1"/>
      <c r="Q254" s="7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1"/>
      <c r="Q255" s="7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1"/>
      <c r="Q256" s="7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1"/>
      <c r="Q257" s="7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1"/>
      <c r="Q258" s="7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1"/>
      <c r="Q259" s="7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1"/>
      <c r="Q260" s="7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1"/>
      <c r="Q261" s="7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1"/>
      <c r="Q262" s="7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1"/>
      <c r="Q263" s="7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1"/>
      <c r="Q264" s="7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1"/>
      <c r="Q265" s="7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1"/>
      <c r="Q266" s="7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1"/>
      <c r="Q267" s="7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1"/>
      <c r="Q268" s="7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1"/>
      <c r="Q269" s="7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1"/>
      <c r="Q270" s="7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1"/>
      <c r="Q271" s="7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1"/>
      <c r="Q272" s="7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1"/>
      <c r="Q273" s="7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1"/>
      <c r="Q274" s="7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1"/>
      <c r="Q275" s="7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1"/>
      <c r="Q276" s="7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1"/>
      <c r="Q277" s="7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1"/>
      <c r="Q278" s="7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1"/>
      <c r="Q279" s="7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1"/>
      <c r="Q280" s="7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1"/>
      <c r="Q281" s="7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1"/>
      <c r="Q282" s="7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1"/>
      <c r="Q283" s="7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1"/>
      <c r="Q284" s="7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1"/>
      <c r="Q285" s="7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1"/>
      <c r="Q286" s="7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1"/>
      <c r="Q287" s="7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1"/>
      <c r="Q288" s="7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1"/>
      <c r="Q289" s="7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1"/>
      <c r="Q290" s="7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1"/>
      <c r="Q291" s="7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1"/>
      <c r="Q292" s="7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1"/>
      <c r="Q293" s="7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1"/>
      <c r="Q294" s="7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1"/>
      <c r="Q295" s="7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1"/>
      <c r="Q296" s="7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1"/>
      <c r="Q297" s="7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1"/>
      <c r="Q298" s="7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1"/>
      <c r="Q299" s="7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1"/>
      <c r="Q300" s="7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1"/>
      <c r="Q301" s="7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1"/>
      <c r="Q302" s="7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1"/>
      <c r="Q303" s="7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1"/>
      <c r="Q304" s="7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1"/>
      <c r="Q305" s="7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1"/>
      <c r="Q306" s="7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1"/>
      <c r="Q307" s="7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1"/>
      <c r="Q308" s="7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1"/>
      <c r="Q309" s="7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1"/>
      <c r="Q310" s="7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1"/>
      <c r="Q311" s="7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1"/>
      <c r="Q312" s="7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1"/>
      <c r="Q313" s="7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1"/>
      <c r="Q314" s="7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1"/>
      <c r="Q315" s="7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1"/>
      <c r="Q316" s="7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1"/>
      <c r="Q317" s="7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1"/>
      <c r="Q318" s="7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1"/>
      <c r="Q319" s="7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1"/>
      <c r="Q320" s="7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1"/>
      <c r="Q321" s="7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1"/>
      <c r="Q322" s="7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1"/>
      <c r="Q323" s="7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1"/>
      <c r="Q324" s="7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1"/>
      <c r="Q325" s="7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1"/>
      <c r="Q326" s="7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1"/>
      <c r="Q327" s="7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1"/>
      <c r="Q328" s="7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1"/>
      <c r="Q329" s="7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1"/>
      <c r="Q330" s="7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1"/>
      <c r="Q331" s="7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1"/>
      <c r="Q332" s="7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1"/>
      <c r="Q333" s="7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1"/>
      <c r="Q334" s="7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1"/>
      <c r="Q335" s="7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1"/>
      <c r="Q336" s="7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1"/>
      <c r="Q337" s="7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1"/>
      <c r="Q338" s="7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1"/>
      <c r="Q339" s="7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1"/>
      <c r="Q340" s="7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1"/>
      <c r="Q341" s="7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1"/>
      <c r="Q342" s="7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1"/>
      <c r="Q343" s="7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1"/>
      <c r="Q344" s="7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1"/>
      <c r="Q345" s="7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1"/>
      <c r="Q346" s="7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1"/>
      <c r="Q347" s="7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1"/>
      <c r="Q348" s="7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1"/>
      <c r="Q349" s="7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1"/>
      <c r="Q350" s="7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1"/>
      <c r="Q351" s="7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1"/>
      <c r="Q352" s="7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1"/>
      <c r="Q353" s="7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1"/>
      <c r="Q354" s="7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1"/>
      <c r="Q355" s="7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1"/>
      <c r="Q356" s="7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1"/>
      <c r="Q357" s="7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1"/>
      <c r="Q358" s="7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1"/>
      <c r="Q359" s="7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1"/>
      <c r="Q360" s="7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1"/>
      <c r="Q361" s="7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1"/>
      <c r="Q362" s="7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1"/>
      <c r="Q363" s="7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1"/>
      <c r="Q364" s="7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1"/>
      <c r="Q365" s="7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1"/>
      <c r="Q366" s="7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1"/>
      <c r="Q367" s="7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1"/>
      <c r="Q368" s="7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1"/>
      <c r="Q369" s="7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1"/>
      <c r="Q370" s="7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1"/>
      <c r="Q371" s="7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1"/>
      <c r="Q372" s="7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1"/>
      <c r="Q373" s="7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1"/>
      <c r="Q374" s="7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1"/>
      <c r="Q375" s="7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1"/>
      <c r="Q376" s="7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1"/>
      <c r="Q377" s="7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1"/>
      <c r="Q378" s="7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1"/>
      <c r="Q379" s="7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1"/>
      <c r="Q380" s="7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1"/>
      <c r="Q381" s="7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1"/>
      <c r="Q382" s="7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1"/>
      <c r="Q383" s="7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1"/>
      <c r="Q384" s="7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1"/>
      <c r="Q385" s="7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1"/>
      <c r="Q386" s="7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1"/>
      <c r="Q387" s="7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1"/>
      <c r="Q388" s="7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1"/>
      <c r="Q389" s="7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1"/>
      <c r="Q390" s="7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1"/>
      <c r="Q391" s="7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1"/>
      <c r="Q392" s="7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1"/>
      <c r="Q393" s="7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1"/>
      <c r="Q394" s="7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1"/>
      <c r="Q395" s="7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1"/>
      <c r="Q396" s="7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1"/>
      <c r="Q397" s="7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1"/>
      <c r="Q398" s="7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1"/>
      <c r="Q399" s="7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1"/>
      <c r="Q400" s="7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1"/>
      <c r="Q401" s="7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1"/>
      <c r="Q402" s="7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1"/>
      <c r="Q403" s="7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1"/>
      <c r="Q404" s="7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1"/>
      <c r="Q405" s="7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1"/>
      <c r="Q406" s="7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1"/>
      <c r="Q407" s="7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1"/>
      <c r="Q408" s="7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1"/>
      <c r="Q409" s="7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1"/>
      <c r="Q410" s="7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1"/>
      <c r="Q411" s="7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1"/>
      <c r="Q412" s="7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1"/>
      <c r="Q413" s="7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1"/>
      <c r="Q414" s="7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1"/>
      <c r="Q415" s="7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1"/>
      <c r="Q416" s="7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1"/>
      <c r="Q417" s="7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1"/>
      <c r="Q418" s="7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1"/>
      <c r="Q419" s="7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1"/>
      <c r="Q420" s="7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1"/>
      <c r="Q421" s="7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1"/>
      <c r="Q422" s="7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1"/>
      <c r="Q423" s="7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1"/>
      <c r="Q424" s="7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1"/>
      <c r="Q425" s="7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1"/>
      <c r="Q426" s="7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1"/>
      <c r="Q427" s="7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1"/>
      <c r="Q428" s="7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1"/>
      <c r="Q429" s="7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1"/>
      <c r="Q430" s="7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1"/>
      <c r="Q431" s="7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1"/>
      <c r="Q432" s="7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1"/>
      <c r="Q433" s="7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1"/>
      <c r="Q434" s="7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1"/>
      <c r="Q435" s="7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1"/>
      <c r="Q436" s="7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1"/>
      <c r="Q437" s="7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1"/>
      <c r="Q438" s="7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1"/>
      <c r="Q439" s="7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1"/>
      <c r="Q440" s="7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1"/>
      <c r="Q441" s="7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1"/>
      <c r="Q442" s="7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1"/>
      <c r="Q443" s="7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1"/>
      <c r="Q444" s="7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1"/>
      <c r="Q445" s="7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1"/>
      <c r="Q446" s="7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1"/>
      <c r="Q447" s="7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1"/>
      <c r="Q448" s="7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1"/>
      <c r="Q449" s="7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1"/>
      <c r="Q450" s="7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1"/>
      <c r="Q451" s="7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1"/>
      <c r="Q452" s="7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1"/>
      <c r="Q453" s="7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1"/>
      <c r="Q454" s="7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1"/>
      <c r="Q455" s="7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1"/>
      <c r="Q456" s="7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1"/>
      <c r="Q457" s="7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1"/>
      <c r="Q458" s="7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1"/>
      <c r="Q459" s="7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1"/>
      <c r="Q460" s="7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1"/>
      <c r="Q461" s="7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1"/>
      <c r="Q462" s="7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1"/>
      <c r="Q463" s="7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1"/>
      <c r="Q464" s="7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1"/>
      <c r="Q465" s="7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1"/>
      <c r="Q466" s="7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1"/>
      <c r="Q467" s="7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1"/>
      <c r="Q468" s="7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1"/>
      <c r="Q469" s="7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1"/>
      <c r="Q470" s="7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1"/>
      <c r="Q471" s="7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1"/>
      <c r="Q472" s="7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1"/>
      <c r="Q473" s="7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1"/>
      <c r="Q474" s="7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1"/>
      <c r="Q475" s="7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1"/>
      <c r="Q476" s="7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1"/>
      <c r="Q477" s="7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1"/>
      <c r="Q478" s="7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1"/>
      <c r="Q479" s="7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1"/>
      <c r="Q480" s="7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1"/>
      <c r="Q481" s="7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1"/>
      <c r="Q482" s="7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1"/>
      <c r="Q483" s="7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1"/>
      <c r="Q484" s="7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1"/>
      <c r="Q485" s="7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1"/>
      <c r="Q486" s="7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1"/>
      <c r="Q487" s="7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1"/>
      <c r="Q488" s="7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1"/>
      <c r="Q489" s="7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1"/>
      <c r="Q490" s="7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1"/>
      <c r="Q491" s="7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1"/>
      <c r="Q492" s="7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1"/>
      <c r="Q493" s="7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1"/>
      <c r="Q494" s="7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1"/>
      <c r="Q495" s="7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1"/>
      <c r="Q496" s="7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1"/>
      <c r="Q497" s="7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1"/>
      <c r="Q498" s="7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1"/>
      <c r="Q499" s="7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1"/>
      <c r="Q500" s="7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1"/>
      <c r="Q501" s="7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1"/>
      <c r="Q502" s="7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1"/>
      <c r="Q503" s="7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1"/>
      <c r="Q504" s="7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1"/>
      <c r="Q505" s="7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1"/>
      <c r="Q506" s="7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1"/>
      <c r="Q507" s="7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1"/>
      <c r="Q508" s="7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1"/>
      <c r="Q509" s="7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1"/>
      <c r="Q510" s="7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1"/>
      <c r="Q511" s="7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1"/>
      <c r="Q512" s="7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1"/>
      <c r="Q513" s="7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1"/>
      <c r="Q514" s="7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1"/>
      <c r="Q515" s="7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1"/>
      <c r="Q516" s="7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1"/>
      <c r="Q517" s="7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1"/>
      <c r="Q518" s="7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1"/>
      <c r="Q519" s="7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1"/>
      <c r="Q520" s="7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1"/>
      <c r="Q521" s="7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1"/>
      <c r="Q522" s="7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1"/>
      <c r="Q523" s="7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1"/>
      <c r="Q524" s="7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1"/>
      <c r="Q525" s="7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1"/>
      <c r="Q526" s="7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1"/>
      <c r="Q527" s="7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1"/>
      <c r="Q528" s="7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1"/>
      <c r="Q529" s="7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1"/>
      <c r="Q530" s="7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1"/>
      <c r="Q531" s="7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1"/>
      <c r="Q532" s="7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1"/>
      <c r="Q533" s="7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1"/>
      <c r="Q534" s="7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1"/>
      <c r="Q535" s="7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1"/>
      <c r="Q536" s="7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1"/>
      <c r="Q537" s="7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1"/>
      <c r="Q538" s="7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1"/>
      <c r="Q539" s="7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1"/>
      <c r="Q540" s="7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1"/>
      <c r="Q541" s="7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1"/>
      <c r="Q542" s="7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1"/>
      <c r="Q543" s="7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1"/>
      <c r="Q544" s="7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1"/>
      <c r="Q545" s="7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1"/>
      <c r="Q546" s="7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1"/>
      <c r="Q547" s="7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1"/>
      <c r="Q548" s="7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1"/>
      <c r="Q549" s="7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1"/>
      <c r="Q550" s="7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1"/>
      <c r="Q551" s="7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1"/>
      <c r="Q552" s="7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1"/>
      <c r="Q553" s="7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1"/>
      <c r="Q554" s="7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1"/>
      <c r="Q555" s="7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1"/>
      <c r="Q556" s="7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1"/>
      <c r="Q557" s="7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1"/>
      <c r="Q558" s="7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1"/>
      <c r="Q559" s="7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1"/>
      <c r="Q560" s="7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1"/>
      <c r="Q561" s="7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1"/>
      <c r="Q562" s="7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1"/>
      <c r="Q563" s="7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1"/>
      <c r="Q564" s="7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1"/>
      <c r="Q565" s="7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1"/>
      <c r="Q566" s="7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1"/>
      <c r="Q567" s="7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1"/>
      <c r="Q568" s="7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1"/>
      <c r="Q569" s="7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1"/>
      <c r="Q570" s="7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1"/>
      <c r="Q571" s="7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1"/>
      <c r="Q572" s="7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1"/>
      <c r="Q573" s="7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1"/>
      <c r="Q574" s="7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1"/>
      <c r="Q575" s="7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1"/>
      <c r="Q576" s="7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1"/>
      <c r="Q577" s="7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1"/>
      <c r="Q578" s="7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1"/>
      <c r="Q579" s="7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1"/>
      <c r="Q580" s="7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1"/>
      <c r="Q581" s="7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1"/>
      <c r="Q582" s="7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1"/>
      <c r="Q583" s="7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1"/>
      <c r="Q584" s="7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1"/>
      <c r="Q585" s="7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1"/>
      <c r="Q586" s="7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1"/>
      <c r="Q587" s="7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1"/>
      <c r="Q588" s="7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1"/>
      <c r="Q589" s="7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1"/>
      <c r="Q590" s="7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1"/>
      <c r="Q591" s="7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1"/>
      <c r="Q592" s="7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1"/>
      <c r="Q593" s="7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1"/>
      <c r="Q594" s="7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1"/>
      <c r="Q595" s="7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1"/>
      <c r="Q596" s="7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1"/>
      <c r="Q597" s="7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1"/>
      <c r="Q598" s="7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1"/>
      <c r="Q599" s="7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1"/>
      <c r="Q600" s="7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1"/>
      <c r="Q601" s="7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1"/>
      <c r="Q602" s="7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1"/>
      <c r="Q603" s="7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1"/>
      <c r="Q604" s="7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1"/>
      <c r="Q605" s="7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1"/>
      <c r="Q606" s="7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1"/>
      <c r="Q607" s="7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1"/>
      <c r="Q608" s="7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1"/>
      <c r="Q609" s="7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1"/>
      <c r="Q610" s="7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1"/>
      <c r="Q611" s="7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1"/>
      <c r="Q612" s="7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1"/>
      <c r="Q613" s="7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1"/>
      <c r="Q614" s="7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1"/>
      <c r="Q615" s="7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1"/>
      <c r="Q616" s="7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1"/>
      <c r="Q617" s="7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1"/>
      <c r="Q618" s="7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1"/>
      <c r="Q619" s="7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1"/>
      <c r="Q620" s="7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1"/>
      <c r="Q621" s="7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1"/>
      <c r="Q622" s="7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1"/>
      <c r="Q623" s="7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1"/>
      <c r="Q624" s="7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1"/>
      <c r="Q625" s="7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1"/>
      <c r="Q626" s="7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1"/>
      <c r="Q627" s="7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1"/>
      <c r="Q628" s="7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1"/>
      <c r="Q629" s="7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1"/>
      <c r="Q630" s="7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1"/>
      <c r="Q631" s="7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1"/>
      <c r="Q632" s="7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1"/>
      <c r="Q633" s="7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1"/>
      <c r="Q634" s="7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1"/>
      <c r="Q635" s="7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1"/>
      <c r="Q636" s="7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1"/>
      <c r="Q637" s="7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1"/>
      <c r="Q638" s="7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1"/>
      <c r="Q639" s="7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1"/>
      <c r="Q640" s="7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1"/>
      <c r="Q641" s="7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1"/>
      <c r="Q642" s="7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1"/>
      <c r="Q643" s="7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1"/>
      <c r="Q644" s="7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1"/>
      <c r="Q645" s="7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1"/>
      <c r="Q646" s="7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1"/>
      <c r="Q647" s="7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1"/>
      <c r="Q648" s="7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1"/>
      <c r="Q649" s="7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1"/>
      <c r="Q650" s="7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1"/>
      <c r="Q651" s="7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1"/>
      <c r="Q652" s="7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1"/>
      <c r="Q653" s="7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1"/>
      <c r="Q654" s="7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1"/>
      <c r="Q655" s="7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1"/>
      <c r="Q656" s="7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1"/>
      <c r="Q657" s="7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1"/>
      <c r="Q658" s="7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1"/>
      <c r="Q659" s="7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1"/>
      <c r="Q660" s="7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1"/>
      <c r="Q661" s="7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1"/>
      <c r="Q662" s="7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1"/>
      <c r="Q663" s="7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1"/>
      <c r="Q664" s="7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1"/>
      <c r="Q665" s="7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1"/>
      <c r="Q666" s="7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1"/>
      <c r="Q667" s="7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1"/>
      <c r="Q668" s="7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1"/>
      <c r="Q669" s="7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1"/>
      <c r="Q670" s="7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1"/>
      <c r="Q671" s="7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1"/>
      <c r="Q672" s="7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1"/>
      <c r="Q673" s="7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1"/>
      <c r="Q674" s="7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1"/>
      <c r="Q675" s="7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1"/>
      <c r="Q676" s="7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1"/>
      <c r="Q677" s="7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1"/>
      <c r="Q678" s="7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1"/>
      <c r="Q679" s="7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1"/>
      <c r="Q680" s="7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1"/>
      <c r="Q681" s="7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1"/>
      <c r="Q682" s="7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1"/>
      <c r="Q683" s="7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1"/>
      <c r="Q684" s="7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1"/>
      <c r="Q685" s="7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1"/>
      <c r="Q686" s="7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1"/>
      <c r="Q687" s="7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1"/>
      <c r="Q688" s="7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1"/>
      <c r="Q689" s="7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1"/>
      <c r="Q690" s="7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1"/>
      <c r="Q691" s="7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1"/>
      <c r="Q692" s="7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1"/>
      <c r="Q693" s="7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1"/>
      <c r="Q694" s="7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1"/>
      <c r="Q695" s="7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1"/>
      <c r="Q696" s="7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1"/>
      <c r="Q697" s="7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1"/>
      <c r="Q698" s="7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1"/>
      <c r="Q699" s="7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1"/>
      <c r="Q700" s="7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1"/>
      <c r="Q701" s="7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1"/>
      <c r="Q702" s="7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1"/>
      <c r="Q703" s="7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1"/>
      <c r="Q704" s="7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1"/>
      <c r="Q705" s="7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1"/>
      <c r="Q706" s="7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1"/>
      <c r="Q707" s="7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1"/>
      <c r="Q708" s="7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1"/>
      <c r="Q709" s="7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1"/>
      <c r="Q710" s="7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1"/>
      <c r="Q711" s="7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1"/>
      <c r="Q712" s="7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1"/>
      <c r="Q713" s="7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1"/>
      <c r="Q714" s="7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1"/>
      <c r="Q715" s="7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1"/>
      <c r="Q716" s="7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1"/>
      <c r="Q717" s="7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1"/>
      <c r="Q718" s="7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1"/>
      <c r="Q719" s="7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1"/>
      <c r="Q720" s="7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1"/>
      <c r="Q721" s="7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1"/>
      <c r="Q722" s="7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1"/>
      <c r="Q723" s="7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1"/>
      <c r="Q724" s="7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1"/>
      <c r="Q725" s="7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1"/>
      <c r="Q726" s="7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1"/>
      <c r="Q727" s="7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1"/>
      <c r="Q728" s="7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1"/>
      <c r="Q729" s="7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1"/>
      <c r="Q730" s="7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1"/>
      <c r="Q731" s="7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1"/>
      <c r="Q732" s="7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1"/>
      <c r="Q733" s="7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1"/>
      <c r="Q734" s="7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1"/>
      <c r="Q735" s="7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1"/>
      <c r="Q736" s="7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1"/>
      <c r="Q737" s="7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1"/>
      <c r="Q738" s="7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1"/>
      <c r="Q739" s="7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1"/>
      <c r="Q740" s="7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1"/>
      <c r="Q741" s="7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1"/>
      <c r="Q742" s="7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1"/>
      <c r="Q743" s="7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1"/>
      <c r="Q744" s="7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1"/>
      <c r="Q745" s="7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1"/>
      <c r="Q746" s="7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1"/>
      <c r="Q747" s="7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1"/>
      <c r="Q748" s="7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1"/>
      <c r="Q749" s="7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1"/>
      <c r="Q750" s="7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1"/>
      <c r="Q751" s="7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1"/>
      <c r="Q752" s="7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1"/>
      <c r="Q753" s="7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1"/>
      <c r="Q754" s="7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1"/>
      <c r="Q755" s="7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1"/>
      <c r="Q756" s="7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1"/>
      <c r="Q757" s="7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1"/>
      <c r="Q758" s="7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1"/>
      <c r="Q759" s="7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1"/>
      <c r="Q760" s="7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1"/>
      <c r="Q761" s="7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1"/>
      <c r="Q762" s="7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1"/>
      <c r="Q763" s="7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1"/>
      <c r="Q764" s="7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1"/>
      <c r="Q765" s="7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1"/>
      <c r="Q766" s="7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1"/>
      <c r="Q767" s="7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1"/>
      <c r="Q768" s="7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1"/>
      <c r="Q769" s="7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1"/>
      <c r="Q770" s="7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1"/>
      <c r="Q771" s="7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1"/>
      <c r="Q772" s="7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1"/>
      <c r="Q773" s="7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1"/>
      <c r="Q774" s="7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1"/>
      <c r="Q775" s="7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1"/>
      <c r="Q776" s="7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1"/>
      <c r="Q777" s="7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1"/>
      <c r="Q778" s="7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1"/>
      <c r="Q779" s="7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1"/>
      <c r="Q780" s="7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1"/>
      <c r="Q781" s="7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1"/>
      <c r="Q782" s="7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1"/>
      <c r="Q783" s="7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1"/>
      <c r="Q784" s="7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1"/>
      <c r="Q785" s="7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1"/>
      <c r="Q786" s="7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1"/>
      <c r="Q787" s="7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1"/>
      <c r="Q788" s="7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1"/>
      <c r="Q789" s="7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1"/>
      <c r="Q790" s="7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1"/>
      <c r="Q791" s="7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1"/>
      <c r="Q792" s="7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1"/>
      <c r="Q793" s="7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1"/>
      <c r="Q794" s="7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1"/>
      <c r="Q795" s="7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1"/>
      <c r="Q796" s="7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1"/>
      <c r="Q797" s="7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1"/>
      <c r="Q798" s="7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1"/>
      <c r="Q799" s="7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1"/>
      <c r="Q800" s="7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1"/>
      <c r="Q801" s="7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1"/>
      <c r="Q802" s="7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1"/>
      <c r="Q803" s="7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1"/>
      <c r="Q804" s="7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1"/>
      <c r="Q805" s="7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1"/>
      <c r="Q806" s="7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1"/>
      <c r="Q807" s="7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1"/>
      <c r="Q808" s="7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1"/>
      <c r="Q809" s="7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1"/>
      <c r="Q810" s="7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1"/>
      <c r="Q811" s="7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1"/>
      <c r="Q812" s="7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1"/>
      <c r="Q813" s="7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1"/>
      <c r="Q814" s="7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1"/>
      <c r="Q815" s="7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1"/>
      <c r="Q816" s="7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1"/>
      <c r="Q817" s="7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1"/>
      <c r="Q818" s="7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1"/>
      <c r="Q819" s="7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1"/>
      <c r="Q820" s="7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1"/>
      <c r="Q821" s="7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1"/>
      <c r="Q822" s="7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1"/>
      <c r="Q823" s="7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1"/>
      <c r="Q824" s="7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1"/>
      <c r="Q825" s="7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1"/>
      <c r="Q826" s="7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1"/>
      <c r="Q827" s="7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1"/>
      <c r="Q828" s="7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1"/>
      <c r="Q829" s="7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1"/>
      <c r="Q830" s="7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1"/>
      <c r="Q831" s="7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1"/>
      <c r="Q832" s="7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1"/>
      <c r="Q833" s="7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1"/>
      <c r="Q834" s="7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1"/>
      <c r="Q835" s="7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1"/>
      <c r="Q836" s="7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1"/>
      <c r="Q837" s="7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1"/>
      <c r="Q838" s="7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1"/>
      <c r="Q839" s="7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1"/>
      <c r="Q840" s="7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1"/>
      <c r="Q841" s="7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1"/>
      <c r="Q842" s="7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1"/>
      <c r="Q843" s="7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1"/>
      <c r="Q844" s="7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1"/>
      <c r="Q845" s="7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1"/>
      <c r="Q846" s="7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1"/>
      <c r="Q847" s="7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1"/>
      <c r="Q848" s="7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1"/>
      <c r="Q849" s="7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1"/>
      <c r="Q850" s="7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1"/>
      <c r="Q851" s="7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1"/>
      <c r="Q852" s="7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1"/>
      <c r="Q853" s="7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1"/>
      <c r="Q854" s="7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1"/>
      <c r="Q855" s="7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1"/>
      <c r="Q856" s="7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1"/>
      <c r="Q857" s="7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1"/>
      <c r="Q858" s="7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1"/>
      <c r="Q859" s="7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1"/>
      <c r="Q860" s="7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1"/>
      <c r="Q861" s="7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1"/>
      <c r="Q862" s="7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1"/>
      <c r="Q863" s="7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1"/>
      <c r="Q864" s="7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1"/>
      <c r="Q865" s="7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1"/>
      <c r="Q866" s="7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1"/>
      <c r="Q867" s="7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1"/>
      <c r="Q868" s="7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1"/>
      <c r="Q869" s="7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1"/>
      <c r="Q870" s="7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1"/>
      <c r="Q871" s="7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1"/>
      <c r="Q872" s="7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1"/>
      <c r="Q873" s="7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1"/>
      <c r="Q874" s="7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1"/>
      <c r="Q875" s="7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1"/>
      <c r="Q876" s="7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1"/>
      <c r="Q877" s="7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1"/>
      <c r="Q878" s="7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1"/>
      <c r="Q879" s="7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1"/>
      <c r="Q880" s="7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1"/>
      <c r="Q881" s="7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1"/>
      <c r="Q882" s="7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1"/>
      <c r="Q883" s="7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1"/>
      <c r="Q884" s="7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1"/>
      <c r="Q885" s="7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1"/>
      <c r="Q886" s="7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1"/>
      <c r="Q887" s="7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1"/>
      <c r="Q888" s="7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1"/>
      <c r="Q889" s="7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1"/>
      <c r="Q890" s="7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1"/>
      <c r="Q891" s="7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1"/>
      <c r="Q892" s="7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1"/>
      <c r="Q893" s="7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1"/>
      <c r="Q894" s="7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1"/>
      <c r="Q895" s="7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1"/>
      <c r="Q896" s="7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1"/>
      <c r="Q897" s="7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1"/>
      <c r="Q898" s="7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1"/>
      <c r="Q899" s="7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1"/>
      <c r="Q900" s="7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1"/>
      <c r="Q901" s="7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1"/>
      <c r="Q902" s="7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1"/>
      <c r="Q903" s="7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1"/>
      <c r="Q904" s="7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1"/>
      <c r="Q905" s="7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1"/>
      <c r="Q906" s="7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1"/>
      <c r="Q907" s="7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1"/>
      <c r="Q908" s="7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1"/>
      <c r="Q909" s="7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1"/>
      <c r="Q910" s="7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1"/>
      <c r="Q911" s="7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1"/>
      <c r="Q912" s="7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1"/>
      <c r="Q913" s="7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1"/>
      <c r="Q914" s="7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1"/>
      <c r="Q915" s="7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1"/>
      <c r="Q916" s="7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1"/>
      <c r="Q917" s="7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1"/>
      <c r="Q918" s="7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1"/>
      <c r="Q919" s="7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1"/>
      <c r="Q920" s="7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1"/>
      <c r="Q921" s="7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1"/>
      <c r="Q922" s="7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1"/>
      <c r="Q923" s="7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1"/>
      <c r="Q924" s="7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1"/>
      <c r="Q925" s="7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1"/>
      <c r="Q926" s="7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1"/>
      <c r="Q927" s="7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1"/>
      <c r="Q928" s="7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1"/>
      <c r="Q929" s="7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1"/>
      <c r="Q930" s="7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1"/>
      <c r="Q931" s="7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1"/>
      <c r="Q932" s="7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1"/>
      <c r="Q933" s="7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1"/>
      <c r="Q934" s="7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1"/>
      <c r="Q935" s="7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1"/>
      <c r="Q936" s="7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1"/>
      <c r="Q937" s="7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1"/>
      <c r="Q938" s="7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1"/>
      <c r="Q939" s="7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1"/>
      <c r="Q940" s="7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1"/>
      <c r="Q941" s="7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1"/>
      <c r="Q942" s="7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1"/>
      <c r="Q943" s="7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1"/>
      <c r="Q944" s="7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1"/>
      <c r="Q945" s="7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1"/>
      <c r="Q946" s="7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1"/>
      <c r="Q947" s="7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1"/>
      <c r="Q948" s="7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1"/>
      <c r="Q949" s="7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1"/>
      <c r="Q950" s="7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1"/>
      <c r="Q951" s="7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1"/>
      <c r="Q952" s="7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1"/>
      <c r="Q953" s="7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1"/>
      <c r="Q954" s="7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1"/>
      <c r="Q955" s="7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1"/>
      <c r="Q956" s="7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1"/>
      <c r="Q957" s="7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1"/>
      <c r="Q958" s="7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1"/>
      <c r="Q959" s="7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1"/>
      <c r="Q960" s="7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1"/>
      <c r="Q961" s="7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1"/>
      <c r="Q962" s="7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1"/>
      <c r="Q963" s="7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1"/>
      <c r="Q964" s="7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1"/>
      <c r="Q965" s="7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1"/>
      <c r="Q966" s="7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1"/>
      <c r="Q967" s="7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1"/>
      <c r="Q968" s="7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1"/>
      <c r="Q969" s="7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1"/>
      <c r="Q970" s="7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1"/>
      <c r="Q971" s="7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1"/>
      <c r="Q972" s="7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1"/>
      <c r="Q973" s="7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1"/>
      <c r="Q974" s="7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1"/>
      <c r="Q975" s="7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1"/>
      <c r="Q976" s="7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1"/>
      <c r="Q977" s="7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1"/>
      <c r="Q978" s="7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1"/>
      <c r="Q979" s="7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1"/>
      <c r="Q980" s="7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1"/>
      <c r="Q981" s="7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1"/>
      <c r="Q982" s="7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1"/>
      <c r="Q983" s="7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1"/>
      <c r="Q984" s="7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1"/>
      <c r="Q985" s="7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1"/>
      <c r="Q986" s="7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1"/>
      <c r="Q987" s="7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1"/>
      <c r="Q988" s="7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1"/>
      <c r="Q989" s="7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1"/>
      <c r="Q990" s="7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1"/>
      <c r="Q991" s="7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1"/>
      <c r="Q992" s="7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1"/>
      <c r="Q993" s="7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1"/>
      <c r="Q994" s="7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1"/>
      <c r="Q995" s="7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1"/>
      <c r="Q996" s="7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1"/>
      <c r="Q997" s="7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1"/>
      <c r="Q998" s="7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9">
    <mergeCell ref="A31:O31"/>
    <mergeCell ref="A16:O16"/>
    <mergeCell ref="A22:O22"/>
    <mergeCell ref="A28:O28"/>
    <mergeCell ref="B2:E2"/>
    <mergeCell ref="F2:O9"/>
    <mergeCell ref="B3:E3"/>
    <mergeCell ref="B4:E4"/>
    <mergeCell ref="A11:O11"/>
  </mergeCells>
  <dataValidations count="1">
    <dataValidation type="list" allowBlank="1" showErrorMessage="1" sqref="I32:I35 L29:L30 I29:I30 L32:L35 F32:F35 M36:M145 G36:G145 J36:J145 L12:L15 I12:I15 F12:F15 F17:F21 L17:L21 I17:I21 I23:I27 L23:L27 F23:F27 F29:F30" xr:uid="{638FB2AC-02E4-43D6-9C47-3F9A9979EF5E}">
      <formula1>$R$2:$R$5</formula1>
    </dataValidation>
  </dataValidations>
  <pageMargins left="0.74791666666666667" right="0.25" top="0.75" bottom="0.98402777777777772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B4D8-DAB2-48C7-A605-A050144C4219}">
  <sheetPr>
    <outlinePr summaryBelow="0" summaryRight="0"/>
  </sheetPr>
  <dimension ref="A1:Z984"/>
  <sheetViews>
    <sheetView workbookViewId="0">
      <pane ySplit="10" topLeftCell="A11" activePane="bottomLeft" state="frozen"/>
      <selection pane="bottomLeft" activeCell="A21" sqref="A21:XFD21"/>
    </sheetView>
  </sheetViews>
  <sheetFormatPr defaultColWidth="12.6328125" defaultRowHeight="15" customHeight="1" outlineLevelRow="1" outlineLevelCol="1" x14ac:dyDescent="0.2"/>
  <cols>
    <col min="1" max="1" width="17" customWidth="1"/>
    <col min="2" max="2" width="34.453125" customWidth="1"/>
    <col min="3" max="3" width="34.08984375" customWidth="1"/>
    <col min="4" max="4" width="34.6328125" customWidth="1"/>
    <col min="5" max="5" width="28.36328125" customWidth="1"/>
    <col min="6" max="6" width="9.36328125" customWidth="1"/>
    <col min="7" max="7" width="10.6328125" customWidth="1" outlineLevel="1"/>
    <col min="8" max="8" width="7" customWidth="1" outlineLevel="1"/>
    <col min="9" max="9" width="9.36328125" customWidth="1"/>
    <col min="10" max="10" width="10.6328125" customWidth="1" outlineLevel="1"/>
    <col min="11" max="11" width="7" customWidth="1" outlineLevel="1"/>
    <col min="12" max="12" width="9.36328125" customWidth="1"/>
    <col min="13" max="13" width="10.6328125" customWidth="1" outlineLevel="1"/>
    <col min="14" max="14" width="7" customWidth="1" outlineLevel="1"/>
    <col min="15" max="15" width="28.6328125" customWidth="1"/>
    <col min="16" max="16" width="10.08984375" customWidth="1"/>
    <col min="17" max="17" width="8.08984375" customWidth="1"/>
    <col min="18" max="18" width="7.6328125" hidden="1" customWidth="1"/>
    <col min="19" max="26" width="9" customWidth="1"/>
  </cols>
  <sheetData>
    <row r="1" spans="1:26" ht="12.75" customHeight="1" thickBot="1" x14ac:dyDescent="0.3">
      <c r="A1" s="1"/>
      <c r="B1" s="1"/>
      <c r="C1" s="1"/>
      <c r="D1" s="1"/>
      <c r="E1" s="1"/>
      <c r="F1" s="6"/>
      <c r="G1" s="6"/>
      <c r="H1" s="6"/>
      <c r="I1" s="6"/>
      <c r="J1" s="6"/>
      <c r="K1" s="6"/>
      <c r="L1" s="6"/>
      <c r="M1" s="6"/>
      <c r="N1" s="6"/>
      <c r="O1" s="6"/>
      <c r="P1" s="1"/>
      <c r="Q1" s="7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2" t="s">
        <v>2</v>
      </c>
      <c r="B2" s="130" t="s">
        <v>67</v>
      </c>
      <c r="C2" s="131"/>
      <c r="D2" s="131"/>
      <c r="E2" s="132"/>
      <c r="F2" s="133"/>
      <c r="G2" s="134"/>
      <c r="H2" s="134"/>
      <c r="I2" s="134"/>
      <c r="J2" s="134"/>
      <c r="K2" s="134"/>
      <c r="L2" s="134"/>
      <c r="M2" s="134"/>
      <c r="N2" s="134"/>
      <c r="O2" s="135"/>
      <c r="P2" s="2"/>
      <c r="Q2" s="16"/>
      <c r="R2" s="17" t="s">
        <v>5</v>
      </c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5">
      <c r="A3" s="19" t="s">
        <v>7</v>
      </c>
      <c r="B3" s="142" t="s">
        <v>227</v>
      </c>
      <c r="C3" s="112"/>
      <c r="D3" s="112"/>
      <c r="E3" s="143"/>
      <c r="F3" s="136"/>
      <c r="G3" s="137"/>
      <c r="H3" s="137"/>
      <c r="I3" s="137"/>
      <c r="J3" s="137"/>
      <c r="K3" s="137"/>
      <c r="L3" s="137"/>
      <c r="M3" s="137"/>
      <c r="N3" s="137"/>
      <c r="O3" s="138"/>
      <c r="P3" s="2"/>
      <c r="Q3" s="16"/>
      <c r="R3" s="17" t="s">
        <v>8</v>
      </c>
      <c r="S3" s="17"/>
      <c r="T3" s="17"/>
      <c r="U3" s="17"/>
      <c r="V3" s="17"/>
      <c r="W3" s="17"/>
      <c r="X3" s="17"/>
      <c r="Y3" s="17"/>
      <c r="Z3" s="17"/>
    </row>
    <row r="4" spans="1:26" ht="18" customHeight="1" x14ac:dyDescent="0.25">
      <c r="A4" s="19" t="s">
        <v>9</v>
      </c>
      <c r="B4" s="142">
        <f>COUNTIF($A$12:$A$1000,"TC-*")</f>
        <v>8</v>
      </c>
      <c r="C4" s="112"/>
      <c r="D4" s="112"/>
      <c r="E4" s="143"/>
      <c r="F4" s="136"/>
      <c r="G4" s="137"/>
      <c r="H4" s="137"/>
      <c r="I4" s="137"/>
      <c r="J4" s="137"/>
      <c r="K4" s="137"/>
      <c r="L4" s="137"/>
      <c r="M4" s="137"/>
      <c r="N4" s="137"/>
      <c r="O4" s="138"/>
      <c r="P4" s="2"/>
      <c r="Q4" s="16"/>
      <c r="R4" s="17" t="s">
        <v>12</v>
      </c>
      <c r="S4" s="17"/>
      <c r="T4" s="17"/>
      <c r="U4" s="17"/>
      <c r="V4" s="17"/>
      <c r="W4" s="17"/>
      <c r="X4" s="17"/>
      <c r="Y4" s="17"/>
      <c r="Z4" s="17"/>
    </row>
    <row r="5" spans="1:26" ht="19.5" customHeight="1" x14ac:dyDescent="0.25">
      <c r="A5" s="25" t="s">
        <v>13</v>
      </c>
      <c r="B5" s="26" t="s">
        <v>5</v>
      </c>
      <c r="C5" s="26" t="s">
        <v>8</v>
      </c>
      <c r="D5" s="26" t="s">
        <v>12</v>
      </c>
      <c r="E5" s="28" t="s">
        <v>16</v>
      </c>
      <c r="F5" s="136"/>
      <c r="G5" s="137"/>
      <c r="H5" s="137"/>
      <c r="I5" s="137"/>
      <c r="J5" s="137"/>
      <c r="K5" s="137"/>
      <c r="L5" s="137"/>
      <c r="M5" s="137"/>
      <c r="N5" s="137"/>
      <c r="O5" s="138"/>
      <c r="P5" s="29"/>
      <c r="Q5" s="30"/>
      <c r="R5" s="17" t="s">
        <v>16</v>
      </c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25">
      <c r="A6" s="25" t="s">
        <v>20</v>
      </c>
      <c r="B6" s="32">
        <f>COUNTIF($F10:$F982,B5)</f>
        <v>8</v>
      </c>
      <c r="C6" s="32">
        <f>COUNTIF($F10:$F982,C5)</f>
        <v>0</v>
      </c>
      <c r="D6" s="32">
        <f>COUNTIF($F10:$F982,D5)</f>
        <v>0</v>
      </c>
      <c r="E6" s="35">
        <f>COUNTIF($F10:$F982,E5)</f>
        <v>0</v>
      </c>
      <c r="F6" s="136"/>
      <c r="G6" s="137"/>
      <c r="H6" s="137"/>
      <c r="I6" s="137"/>
      <c r="J6" s="137"/>
      <c r="K6" s="137"/>
      <c r="L6" s="137"/>
      <c r="M6" s="137"/>
      <c r="N6" s="137"/>
      <c r="O6" s="138"/>
      <c r="P6" s="29"/>
      <c r="Q6" s="30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25">
      <c r="A7" s="25" t="s">
        <v>23</v>
      </c>
      <c r="B7" s="32">
        <f>COUNTIF($I10:$I998,B5)</f>
        <v>8</v>
      </c>
      <c r="C7" s="32">
        <f>COUNTIF($I10:$I998,C5)</f>
        <v>0</v>
      </c>
      <c r="D7" s="32">
        <f>COUNTIF($I10:$I998,D5)</f>
        <v>0</v>
      </c>
      <c r="E7" s="35">
        <f>COUNTIF($I10:$I998,E5)</f>
        <v>0</v>
      </c>
      <c r="F7" s="136"/>
      <c r="G7" s="137"/>
      <c r="H7" s="137"/>
      <c r="I7" s="137"/>
      <c r="J7" s="137"/>
      <c r="K7" s="137"/>
      <c r="L7" s="137"/>
      <c r="M7" s="137"/>
      <c r="N7" s="137"/>
      <c r="O7" s="138"/>
      <c r="P7" s="29"/>
      <c r="Q7" s="30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thickBot="1" x14ac:dyDescent="0.3">
      <c r="A8" s="44" t="s">
        <v>25</v>
      </c>
      <c r="B8" s="47">
        <f>COUNTIF($L10:$L998,B5)</f>
        <v>0</v>
      </c>
      <c r="C8" s="47">
        <f>COUNTIF($L10:$L998,C5)</f>
        <v>0</v>
      </c>
      <c r="D8" s="47">
        <f>COUNTIF($L10:$L998,D5)</f>
        <v>8</v>
      </c>
      <c r="E8" s="50">
        <f>COUNTIF($L10:$L998,E5)</f>
        <v>0</v>
      </c>
      <c r="F8" s="136"/>
      <c r="G8" s="137"/>
      <c r="H8" s="137"/>
      <c r="I8" s="137"/>
      <c r="J8" s="137"/>
      <c r="K8" s="137"/>
      <c r="L8" s="137"/>
      <c r="M8" s="137"/>
      <c r="N8" s="137"/>
      <c r="O8" s="138"/>
      <c r="P8" s="29"/>
      <c r="Q8" s="30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25">
      <c r="A9" s="29"/>
      <c r="B9" s="29"/>
      <c r="C9" s="29"/>
      <c r="D9" s="29"/>
      <c r="E9" s="29"/>
      <c r="F9" s="139"/>
      <c r="G9" s="140"/>
      <c r="H9" s="140"/>
      <c r="I9" s="140"/>
      <c r="J9" s="140"/>
      <c r="K9" s="140"/>
      <c r="L9" s="140"/>
      <c r="M9" s="140"/>
      <c r="N9" s="140"/>
      <c r="O9" s="141"/>
      <c r="P9" s="29"/>
      <c r="Q9" s="30"/>
      <c r="R9" s="17"/>
      <c r="S9" s="17"/>
      <c r="T9" s="17"/>
      <c r="U9" s="17"/>
      <c r="V9" s="17"/>
      <c r="W9" s="17"/>
      <c r="X9" s="17"/>
      <c r="Y9" s="17"/>
      <c r="Z9" s="17"/>
    </row>
    <row r="10" spans="1:26" ht="25.5" customHeight="1" x14ac:dyDescent="0.25">
      <c r="A10" s="69" t="s">
        <v>38</v>
      </c>
      <c r="B10" s="69" t="s">
        <v>39</v>
      </c>
      <c r="C10" s="69" t="s">
        <v>40</v>
      </c>
      <c r="D10" s="69" t="s">
        <v>41</v>
      </c>
      <c r="E10" s="69" t="s">
        <v>42</v>
      </c>
      <c r="F10" s="69" t="s">
        <v>20</v>
      </c>
      <c r="G10" s="69" t="s">
        <v>43</v>
      </c>
      <c r="H10" s="69" t="s">
        <v>44</v>
      </c>
      <c r="I10" s="69" t="s">
        <v>23</v>
      </c>
      <c r="J10" s="69" t="s">
        <v>43</v>
      </c>
      <c r="K10" s="69" t="s">
        <v>44</v>
      </c>
      <c r="L10" s="69" t="s">
        <v>25</v>
      </c>
      <c r="M10" s="69" t="s">
        <v>43</v>
      </c>
      <c r="N10" s="69" t="s">
        <v>44</v>
      </c>
      <c r="O10" s="69" t="s">
        <v>46</v>
      </c>
      <c r="P10" s="17"/>
      <c r="Q10" s="78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5">
      <c r="A11" s="144" t="s">
        <v>228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3"/>
      <c r="P11" s="81"/>
      <c r="Q11" s="83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83.25" customHeight="1" outlineLevel="1" x14ac:dyDescent="0.2">
      <c r="A12" s="66" t="s">
        <v>229</v>
      </c>
      <c r="B12" s="66" t="s">
        <v>230</v>
      </c>
      <c r="C12" s="66" t="s">
        <v>231</v>
      </c>
      <c r="D12" s="66" t="s">
        <v>232</v>
      </c>
      <c r="E12" s="66" t="s">
        <v>233</v>
      </c>
      <c r="F12" s="87" t="s">
        <v>5</v>
      </c>
      <c r="G12" s="88">
        <v>46244.708333333336</v>
      </c>
      <c r="H12" s="87" t="s">
        <v>91</v>
      </c>
      <c r="I12" s="87" t="s">
        <v>5</v>
      </c>
      <c r="J12" s="88">
        <v>46244.708333333336</v>
      </c>
      <c r="K12" s="87" t="s">
        <v>91</v>
      </c>
      <c r="L12" s="87" t="s">
        <v>12</v>
      </c>
      <c r="M12" s="88"/>
      <c r="N12" s="87"/>
      <c r="O12" s="87"/>
      <c r="P12" s="89"/>
      <c r="Q12" s="90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12.75" customHeight="1" outlineLevel="1" x14ac:dyDescent="0.25">
      <c r="A13" s="66" t="s">
        <v>234</v>
      </c>
      <c r="B13" s="66" t="s">
        <v>235</v>
      </c>
      <c r="C13" s="66" t="s">
        <v>236</v>
      </c>
      <c r="D13" s="66" t="s">
        <v>237</v>
      </c>
      <c r="E13" s="66" t="s">
        <v>238</v>
      </c>
      <c r="F13" s="87" t="s">
        <v>5</v>
      </c>
      <c r="G13" s="88">
        <v>46244.708333333336</v>
      </c>
      <c r="H13" s="87" t="s">
        <v>91</v>
      </c>
      <c r="I13" s="87" t="s">
        <v>5</v>
      </c>
      <c r="J13" s="88">
        <v>46244.708333333336</v>
      </c>
      <c r="K13" s="87" t="s">
        <v>91</v>
      </c>
      <c r="L13" s="87" t="s">
        <v>12</v>
      </c>
      <c r="M13" s="88"/>
      <c r="N13" s="87"/>
      <c r="O13" s="87"/>
      <c r="P13" s="86"/>
      <c r="Q13" s="90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44" t="s">
        <v>239</v>
      </c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6"/>
      <c r="P14" s="86"/>
      <c r="Q14" s="7"/>
      <c r="R14" s="1"/>
      <c r="S14" s="1"/>
      <c r="T14" s="1"/>
      <c r="U14" s="1"/>
      <c r="V14" s="1"/>
      <c r="W14" s="1"/>
      <c r="X14" s="1"/>
      <c r="Y14" s="1"/>
      <c r="Z14" s="1"/>
    </row>
    <row r="15" spans="1:26" ht="60.75" customHeight="1" outlineLevel="1" x14ac:dyDescent="0.25">
      <c r="A15" s="66" t="s">
        <v>240</v>
      </c>
      <c r="B15" s="66" t="s">
        <v>241</v>
      </c>
      <c r="C15" s="66" t="s">
        <v>242</v>
      </c>
      <c r="D15" s="66" t="s">
        <v>243</v>
      </c>
      <c r="E15" s="66" t="s">
        <v>244</v>
      </c>
      <c r="F15" s="87" t="s">
        <v>5</v>
      </c>
      <c r="G15" s="88">
        <v>46244.708333333336</v>
      </c>
      <c r="H15" s="87" t="s">
        <v>91</v>
      </c>
      <c r="I15" s="87" t="s">
        <v>5</v>
      </c>
      <c r="J15" s="88">
        <v>46244.708333333336</v>
      </c>
      <c r="K15" s="87" t="s">
        <v>91</v>
      </c>
      <c r="L15" s="87" t="s">
        <v>12</v>
      </c>
      <c r="M15" s="88"/>
      <c r="N15" s="87"/>
      <c r="O15" s="97"/>
      <c r="P15" s="81"/>
      <c r="Q15" s="83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 outlineLevel="1" x14ac:dyDescent="0.25">
      <c r="A16" s="66" t="s">
        <v>245</v>
      </c>
      <c r="B16" s="66" t="s">
        <v>246</v>
      </c>
      <c r="C16" s="66" t="s">
        <v>247</v>
      </c>
      <c r="D16" s="66" t="s">
        <v>248</v>
      </c>
      <c r="E16" s="66" t="s">
        <v>249</v>
      </c>
      <c r="F16" s="87" t="s">
        <v>5</v>
      </c>
      <c r="G16" s="88">
        <v>46244.708333333336</v>
      </c>
      <c r="H16" s="87" t="s">
        <v>91</v>
      </c>
      <c r="I16" s="87" t="s">
        <v>5</v>
      </c>
      <c r="J16" s="88">
        <v>46244.708333333336</v>
      </c>
      <c r="K16" s="87" t="s">
        <v>91</v>
      </c>
      <c r="L16" s="87" t="s">
        <v>12</v>
      </c>
      <c r="M16" s="88"/>
      <c r="N16" s="87"/>
      <c r="O16" s="87"/>
      <c r="P16" s="86"/>
      <c r="Q16" s="90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outlineLevel="1" x14ac:dyDescent="0.25">
      <c r="A17" s="66" t="s">
        <v>250</v>
      </c>
      <c r="B17" s="66" t="s">
        <v>251</v>
      </c>
      <c r="C17" s="66" t="s">
        <v>252</v>
      </c>
      <c r="D17" s="66" t="s">
        <v>253</v>
      </c>
      <c r="E17" s="66" t="s">
        <v>254</v>
      </c>
      <c r="F17" s="87" t="s">
        <v>5</v>
      </c>
      <c r="G17" s="88">
        <v>46244.708333333336</v>
      </c>
      <c r="H17" s="87" t="s">
        <v>91</v>
      </c>
      <c r="I17" s="87" t="s">
        <v>5</v>
      </c>
      <c r="J17" s="88">
        <v>46244.708333333336</v>
      </c>
      <c r="K17" s="87" t="s">
        <v>91</v>
      </c>
      <c r="L17" s="87" t="s">
        <v>12</v>
      </c>
      <c r="M17" s="88"/>
      <c r="N17" s="87"/>
      <c r="O17" s="87"/>
      <c r="P17" s="86"/>
      <c r="Q17" s="7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44" t="s">
        <v>255</v>
      </c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6"/>
      <c r="P18" s="86"/>
      <c r="Q18" s="7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outlineLevel="1" x14ac:dyDescent="0.25">
      <c r="A19" s="66" t="s">
        <v>256</v>
      </c>
      <c r="B19" s="66" t="s">
        <v>257</v>
      </c>
      <c r="C19" s="66" t="s">
        <v>258</v>
      </c>
      <c r="D19" s="66" t="s">
        <v>259</v>
      </c>
      <c r="E19" s="66" t="s">
        <v>260</v>
      </c>
      <c r="F19" s="87" t="s">
        <v>5</v>
      </c>
      <c r="G19" s="88">
        <v>46244.708333333336</v>
      </c>
      <c r="H19" s="87" t="s">
        <v>91</v>
      </c>
      <c r="I19" s="87" t="s">
        <v>5</v>
      </c>
      <c r="J19" s="88">
        <v>46244.708333333336</v>
      </c>
      <c r="K19" s="87" t="s">
        <v>91</v>
      </c>
      <c r="L19" s="87" t="s">
        <v>12</v>
      </c>
      <c r="M19" s="88"/>
      <c r="N19" s="87"/>
      <c r="O19" s="87"/>
      <c r="P19" s="86"/>
      <c r="Q19" s="90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outlineLevel="1" x14ac:dyDescent="0.25">
      <c r="A20" s="66" t="s">
        <v>261</v>
      </c>
      <c r="B20" s="66" t="s">
        <v>262</v>
      </c>
      <c r="C20" s="66" t="s">
        <v>263</v>
      </c>
      <c r="D20" s="66" t="s">
        <v>264</v>
      </c>
      <c r="E20" s="66" t="s">
        <v>265</v>
      </c>
      <c r="F20" s="87" t="s">
        <v>5</v>
      </c>
      <c r="G20" s="88">
        <v>46244.708333333336</v>
      </c>
      <c r="H20" s="87" t="s">
        <v>91</v>
      </c>
      <c r="I20" s="87" t="s">
        <v>5</v>
      </c>
      <c r="J20" s="88">
        <v>46244.708333333336</v>
      </c>
      <c r="K20" s="87" t="s">
        <v>91</v>
      </c>
      <c r="L20" s="87" t="s">
        <v>12</v>
      </c>
      <c r="M20" s="88"/>
      <c r="N20" s="87"/>
      <c r="O20" s="87"/>
      <c r="P20" s="86"/>
      <c r="Q20" s="7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outlineLevel="1" x14ac:dyDescent="0.25">
      <c r="A21" s="66" t="s">
        <v>266</v>
      </c>
      <c r="B21" s="66" t="s">
        <v>267</v>
      </c>
      <c r="C21" s="66" t="s">
        <v>268</v>
      </c>
      <c r="D21" s="66" t="s">
        <v>269</v>
      </c>
      <c r="E21" s="66" t="s">
        <v>265</v>
      </c>
      <c r="F21" s="87" t="s">
        <v>5</v>
      </c>
      <c r="G21" s="88">
        <v>46244.708333333336</v>
      </c>
      <c r="H21" s="87" t="s">
        <v>91</v>
      </c>
      <c r="I21" s="87" t="s">
        <v>5</v>
      </c>
      <c r="J21" s="88">
        <v>46244.708333333336</v>
      </c>
      <c r="K21" s="87" t="s">
        <v>91</v>
      </c>
      <c r="L21" s="87" t="s">
        <v>12</v>
      </c>
      <c r="M21" s="88"/>
      <c r="N21" s="87"/>
      <c r="O21" s="87"/>
      <c r="P21" s="86"/>
      <c r="Q21" s="7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1"/>
      <c r="D22" s="1"/>
      <c r="E22" s="1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"/>
      <c r="Q22" s="7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6"/>
      <c r="G23" s="6"/>
      <c r="H23" s="6"/>
      <c r="I23" s="6"/>
      <c r="J23" s="6"/>
      <c r="K23" s="6"/>
      <c r="L23" s="6"/>
      <c r="M23" s="6"/>
      <c r="N23" s="6"/>
      <c r="O23" s="6"/>
      <c r="P23" s="1"/>
      <c r="Q23" s="7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6"/>
      <c r="G24" s="6"/>
      <c r="H24" s="6"/>
      <c r="I24" s="6"/>
      <c r="J24" s="6"/>
      <c r="K24" s="6"/>
      <c r="L24" s="6"/>
      <c r="M24" s="6"/>
      <c r="N24" s="6"/>
      <c r="O24" s="6"/>
      <c r="P24" s="1"/>
      <c r="Q24" s="7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6"/>
      <c r="G25" s="6"/>
      <c r="H25" s="6"/>
      <c r="I25" s="6"/>
      <c r="J25" s="6"/>
      <c r="K25" s="6"/>
      <c r="L25" s="6"/>
      <c r="M25" s="6"/>
      <c r="N25" s="6"/>
      <c r="O25" s="6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6"/>
      <c r="G26" s="6"/>
      <c r="H26" s="6"/>
      <c r="I26" s="6"/>
      <c r="J26" s="6"/>
      <c r="K26" s="6"/>
      <c r="L26" s="6"/>
      <c r="M26" s="6"/>
      <c r="N26" s="6"/>
      <c r="O26" s="6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6"/>
      <c r="G27" s="6"/>
      <c r="H27" s="6"/>
      <c r="I27" s="6"/>
      <c r="J27" s="6"/>
      <c r="K27" s="6"/>
      <c r="L27" s="6"/>
      <c r="M27" s="6"/>
      <c r="N27" s="6"/>
      <c r="O27" s="6"/>
      <c r="P27" s="1"/>
      <c r="Q27" s="7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6"/>
      <c r="G28" s="6"/>
      <c r="H28" s="6"/>
      <c r="I28" s="6"/>
      <c r="J28" s="6"/>
      <c r="K28" s="6"/>
      <c r="L28" s="6"/>
      <c r="M28" s="6"/>
      <c r="N28" s="6"/>
      <c r="O28" s="6"/>
      <c r="P28" s="1"/>
      <c r="Q28" s="7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6"/>
      <c r="G29" s="6"/>
      <c r="H29" s="6"/>
      <c r="I29" s="6"/>
      <c r="J29" s="6"/>
      <c r="K29" s="6"/>
      <c r="L29" s="6"/>
      <c r="M29" s="6"/>
      <c r="N29" s="6"/>
      <c r="O29" s="6"/>
      <c r="P29" s="1"/>
      <c r="Q29" s="7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6"/>
      <c r="G30" s="6"/>
      <c r="H30" s="6"/>
      <c r="I30" s="6"/>
      <c r="J30" s="6"/>
      <c r="K30" s="6"/>
      <c r="L30" s="6"/>
      <c r="M30" s="6"/>
      <c r="N30" s="6"/>
      <c r="O30" s="6"/>
      <c r="P30" s="1"/>
      <c r="Q30" s="7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6"/>
      <c r="G31" s="6"/>
      <c r="H31" s="6"/>
      <c r="I31" s="6"/>
      <c r="J31" s="6"/>
      <c r="K31" s="6"/>
      <c r="L31" s="6"/>
      <c r="M31" s="6"/>
      <c r="N31" s="6"/>
      <c r="O31" s="6"/>
      <c r="P31" s="1"/>
      <c r="Q31" s="7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6"/>
      <c r="G32" s="6"/>
      <c r="H32" s="6"/>
      <c r="I32" s="6"/>
      <c r="J32" s="6"/>
      <c r="K32" s="6"/>
      <c r="L32" s="6"/>
      <c r="M32" s="6"/>
      <c r="N32" s="6"/>
      <c r="O32" s="6"/>
      <c r="P32" s="1"/>
      <c r="Q32" s="7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6"/>
      <c r="G33" s="6"/>
      <c r="H33" s="6"/>
      <c r="I33" s="6"/>
      <c r="J33" s="6"/>
      <c r="K33" s="6"/>
      <c r="L33" s="6"/>
      <c r="M33" s="6"/>
      <c r="N33" s="6"/>
      <c r="O33" s="6"/>
      <c r="P33" s="1"/>
      <c r="Q33" s="7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6"/>
      <c r="G34" s="6"/>
      <c r="H34" s="6"/>
      <c r="I34" s="6"/>
      <c r="J34" s="6"/>
      <c r="K34" s="6"/>
      <c r="L34" s="6"/>
      <c r="M34" s="6"/>
      <c r="N34" s="6"/>
      <c r="O34" s="6"/>
      <c r="P34" s="1"/>
      <c r="Q34" s="7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6"/>
      <c r="G35" s="6"/>
      <c r="H35" s="6"/>
      <c r="I35" s="6"/>
      <c r="J35" s="6"/>
      <c r="K35" s="6"/>
      <c r="L35" s="6"/>
      <c r="M35" s="6"/>
      <c r="N35" s="6"/>
      <c r="O35" s="6"/>
      <c r="P35" s="1"/>
      <c r="Q35" s="7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6"/>
      <c r="G36" s="6"/>
      <c r="H36" s="6"/>
      <c r="I36" s="6"/>
      <c r="J36" s="6"/>
      <c r="K36" s="6"/>
      <c r="L36" s="6"/>
      <c r="M36" s="6"/>
      <c r="N36" s="6"/>
      <c r="O36" s="6"/>
      <c r="P36" s="1"/>
      <c r="Q36" s="7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1"/>
      <c r="Q37" s="7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1"/>
      <c r="Q38" s="7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1"/>
      <c r="Q39" s="7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6"/>
      <c r="G40" s="6"/>
      <c r="H40" s="6"/>
      <c r="I40" s="6"/>
      <c r="J40" s="6"/>
      <c r="K40" s="6"/>
      <c r="L40" s="6"/>
      <c r="M40" s="6"/>
      <c r="N40" s="6"/>
      <c r="O40" s="6"/>
      <c r="P40" s="1"/>
      <c r="Q40" s="7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6"/>
      <c r="P41" s="1"/>
      <c r="Q41" s="7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6"/>
      <c r="P42" s="1"/>
      <c r="Q42" s="7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6"/>
      <c r="G43" s="6"/>
      <c r="H43" s="6"/>
      <c r="I43" s="6"/>
      <c r="J43" s="6"/>
      <c r="K43" s="6"/>
      <c r="L43" s="6"/>
      <c r="M43" s="6"/>
      <c r="N43" s="6"/>
      <c r="O43" s="6"/>
      <c r="P43" s="1"/>
      <c r="Q43" s="7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6"/>
      <c r="G44" s="6"/>
      <c r="H44" s="6"/>
      <c r="I44" s="6"/>
      <c r="J44" s="6"/>
      <c r="K44" s="6"/>
      <c r="L44" s="6"/>
      <c r="M44" s="6"/>
      <c r="N44" s="6"/>
      <c r="O44" s="6"/>
      <c r="P44" s="1"/>
      <c r="Q44" s="7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6"/>
      <c r="G45" s="6"/>
      <c r="H45" s="6"/>
      <c r="I45" s="6"/>
      <c r="J45" s="6"/>
      <c r="K45" s="6"/>
      <c r="L45" s="6"/>
      <c r="M45" s="6"/>
      <c r="N45" s="6"/>
      <c r="O45" s="6"/>
      <c r="P45" s="1"/>
      <c r="Q45" s="7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6"/>
      <c r="G46" s="6"/>
      <c r="H46" s="6"/>
      <c r="I46" s="6"/>
      <c r="J46" s="6"/>
      <c r="K46" s="6"/>
      <c r="L46" s="6"/>
      <c r="M46" s="6"/>
      <c r="N46" s="6"/>
      <c r="O46" s="6"/>
      <c r="P46" s="1"/>
      <c r="Q46" s="7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6"/>
      <c r="G47" s="6"/>
      <c r="H47" s="6"/>
      <c r="I47" s="6"/>
      <c r="J47" s="6"/>
      <c r="K47" s="6"/>
      <c r="L47" s="6"/>
      <c r="M47" s="6"/>
      <c r="N47" s="6"/>
      <c r="O47" s="6"/>
      <c r="P47" s="1"/>
      <c r="Q47" s="7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6"/>
      <c r="G48" s="6"/>
      <c r="H48" s="6"/>
      <c r="I48" s="6"/>
      <c r="J48" s="6"/>
      <c r="K48" s="6"/>
      <c r="L48" s="6"/>
      <c r="M48" s="6"/>
      <c r="N48" s="6"/>
      <c r="O48" s="6"/>
      <c r="P48" s="1"/>
      <c r="Q48" s="7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6"/>
      <c r="P49" s="1"/>
      <c r="Q49" s="7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6"/>
      <c r="P50" s="1"/>
      <c r="Q50" s="7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6"/>
      <c r="P51" s="1"/>
      <c r="Q51" s="7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6"/>
      <c r="P52" s="1"/>
      <c r="Q52" s="7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6"/>
      <c r="P53" s="1"/>
      <c r="Q53" s="7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6"/>
      <c r="P54" s="1"/>
      <c r="Q54" s="7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6"/>
      <c r="P55" s="1"/>
      <c r="Q55" s="7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6"/>
      <c r="G56" s="6"/>
      <c r="H56" s="6"/>
      <c r="I56" s="6"/>
      <c r="J56" s="6"/>
      <c r="K56" s="6"/>
      <c r="L56" s="6"/>
      <c r="M56" s="6"/>
      <c r="N56" s="6"/>
      <c r="O56" s="6"/>
      <c r="P56" s="1"/>
      <c r="Q56" s="7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6"/>
      <c r="G57" s="6"/>
      <c r="H57" s="6"/>
      <c r="I57" s="6"/>
      <c r="J57" s="6"/>
      <c r="K57" s="6"/>
      <c r="L57" s="6"/>
      <c r="M57" s="6"/>
      <c r="N57" s="6"/>
      <c r="O57" s="6"/>
      <c r="P57" s="1"/>
      <c r="Q57" s="7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6"/>
      <c r="G58" s="6"/>
      <c r="H58" s="6"/>
      <c r="I58" s="6"/>
      <c r="J58" s="6"/>
      <c r="K58" s="6"/>
      <c r="L58" s="6"/>
      <c r="M58" s="6"/>
      <c r="N58" s="6"/>
      <c r="O58" s="6"/>
      <c r="P58" s="1"/>
      <c r="Q58" s="7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6"/>
      <c r="G59" s="6"/>
      <c r="H59" s="6"/>
      <c r="I59" s="6"/>
      <c r="J59" s="6"/>
      <c r="K59" s="6"/>
      <c r="L59" s="6"/>
      <c r="M59" s="6"/>
      <c r="N59" s="6"/>
      <c r="O59" s="6"/>
      <c r="P59" s="1"/>
      <c r="Q59" s="7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6"/>
      <c r="G60" s="6"/>
      <c r="H60" s="6"/>
      <c r="I60" s="6"/>
      <c r="J60" s="6"/>
      <c r="K60" s="6"/>
      <c r="L60" s="6"/>
      <c r="M60" s="6"/>
      <c r="N60" s="6"/>
      <c r="O60" s="6"/>
      <c r="P60" s="1"/>
      <c r="Q60" s="7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6"/>
      <c r="G61" s="6"/>
      <c r="H61" s="6"/>
      <c r="I61" s="6"/>
      <c r="J61" s="6"/>
      <c r="K61" s="6"/>
      <c r="L61" s="6"/>
      <c r="M61" s="6"/>
      <c r="N61" s="6"/>
      <c r="O61" s="6"/>
      <c r="P61" s="1"/>
      <c r="Q61" s="7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6"/>
      <c r="P62" s="1"/>
      <c r="Q62" s="7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6"/>
      <c r="P63" s="1"/>
      <c r="Q63" s="7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6"/>
      <c r="P64" s="1"/>
      <c r="Q64" s="7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6"/>
      <c r="G65" s="6"/>
      <c r="H65" s="6"/>
      <c r="I65" s="6"/>
      <c r="J65" s="6"/>
      <c r="K65" s="6"/>
      <c r="L65" s="6"/>
      <c r="M65" s="6"/>
      <c r="N65" s="6"/>
      <c r="O65" s="6"/>
      <c r="P65" s="1"/>
      <c r="Q65" s="7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6"/>
      <c r="G66" s="6"/>
      <c r="H66" s="6"/>
      <c r="I66" s="6"/>
      <c r="J66" s="6"/>
      <c r="K66" s="6"/>
      <c r="L66" s="6"/>
      <c r="M66" s="6"/>
      <c r="N66" s="6"/>
      <c r="O66" s="6"/>
      <c r="P66" s="1"/>
      <c r="Q66" s="7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6"/>
      <c r="G67" s="6"/>
      <c r="H67" s="6"/>
      <c r="I67" s="6"/>
      <c r="J67" s="6"/>
      <c r="K67" s="6"/>
      <c r="L67" s="6"/>
      <c r="M67" s="6"/>
      <c r="N67" s="6"/>
      <c r="O67" s="6"/>
      <c r="P67" s="1"/>
      <c r="Q67" s="7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6"/>
      <c r="G68" s="6"/>
      <c r="H68" s="6"/>
      <c r="I68" s="6"/>
      <c r="J68" s="6"/>
      <c r="K68" s="6"/>
      <c r="L68" s="6"/>
      <c r="M68" s="6"/>
      <c r="N68" s="6"/>
      <c r="O68" s="6"/>
      <c r="P68" s="1"/>
      <c r="Q68" s="7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6"/>
      <c r="G69" s="6"/>
      <c r="H69" s="6"/>
      <c r="I69" s="6"/>
      <c r="J69" s="6"/>
      <c r="K69" s="6"/>
      <c r="L69" s="6"/>
      <c r="M69" s="6"/>
      <c r="N69" s="6"/>
      <c r="O69" s="6"/>
      <c r="P69" s="1"/>
      <c r="Q69" s="7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6"/>
      <c r="G70" s="6"/>
      <c r="H70" s="6"/>
      <c r="I70" s="6"/>
      <c r="J70" s="6"/>
      <c r="K70" s="6"/>
      <c r="L70" s="6"/>
      <c r="M70" s="6"/>
      <c r="N70" s="6"/>
      <c r="O70" s="6"/>
      <c r="P70" s="1"/>
      <c r="Q70" s="7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6"/>
      <c r="G71" s="6"/>
      <c r="H71" s="6"/>
      <c r="I71" s="6"/>
      <c r="J71" s="6"/>
      <c r="K71" s="6"/>
      <c r="L71" s="6"/>
      <c r="M71" s="6"/>
      <c r="N71" s="6"/>
      <c r="O71" s="6"/>
      <c r="P71" s="1"/>
      <c r="Q71" s="7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6"/>
      <c r="G72" s="6"/>
      <c r="H72" s="6"/>
      <c r="I72" s="6"/>
      <c r="J72" s="6"/>
      <c r="K72" s="6"/>
      <c r="L72" s="6"/>
      <c r="M72" s="6"/>
      <c r="N72" s="6"/>
      <c r="O72" s="6"/>
      <c r="P72" s="1"/>
      <c r="Q72" s="7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6"/>
      <c r="G73" s="6"/>
      <c r="H73" s="6"/>
      <c r="I73" s="6"/>
      <c r="J73" s="6"/>
      <c r="K73" s="6"/>
      <c r="L73" s="6"/>
      <c r="M73" s="6"/>
      <c r="N73" s="6"/>
      <c r="O73" s="6"/>
      <c r="P73" s="1"/>
      <c r="Q73" s="7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6"/>
      <c r="G74" s="6"/>
      <c r="H74" s="6"/>
      <c r="I74" s="6"/>
      <c r="J74" s="6"/>
      <c r="K74" s="6"/>
      <c r="L74" s="6"/>
      <c r="M74" s="6"/>
      <c r="N74" s="6"/>
      <c r="O74" s="6"/>
      <c r="P74" s="1"/>
      <c r="Q74" s="7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6"/>
      <c r="G75" s="6"/>
      <c r="H75" s="6"/>
      <c r="I75" s="6"/>
      <c r="J75" s="6"/>
      <c r="K75" s="6"/>
      <c r="L75" s="6"/>
      <c r="M75" s="6"/>
      <c r="N75" s="6"/>
      <c r="O75" s="6"/>
      <c r="P75" s="1"/>
      <c r="Q75" s="7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6"/>
      <c r="G76" s="6"/>
      <c r="H76" s="6"/>
      <c r="I76" s="6"/>
      <c r="J76" s="6"/>
      <c r="K76" s="6"/>
      <c r="L76" s="6"/>
      <c r="M76" s="6"/>
      <c r="N76" s="6"/>
      <c r="O76" s="6"/>
      <c r="P76" s="1"/>
      <c r="Q76" s="7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6"/>
      <c r="G77" s="6"/>
      <c r="H77" s="6"/>
      <c r="I77" s="6"/>
      <c r="J77" s="6"/>
      <c r="K77" s="6"/>
      <c r="L77" s="6"/>
      <c r="M77" s="6"/>
      <c r="N77" s="6"/>
      <c r="O77" s="6"/>
      <c r="P77" s="1"/>
      <c r="Q77" s="7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6"/>
      <c r="G78" s="6"/>
      <c r="H78" s="6"/>
      <c r="I78" s="6"/>
      <c r="J78" s="6"/>
      <c r="K78" s="6"/>
      <c r="L78" s="6"/>
      <c r="M78" s="6"/>
      <c r="N78" s="6"/>
      <c r="O78" s="6"/>
      <c r="P78" s="1"/>
      <c r="Q78" s="7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6"/>
      <c r="G79" s="6"/>
      <c r="H79" s="6"/>
      <c r="I79" s="6"/>
      <c r="J79" s="6"/>
      <c r="K79" s="6"/>
      <c r="L79" s="6"/>
      <c r="M79" s="6"/>
      <c r="N79" s="6"/>
      <c r="O79" s="6"/>
      <c r="P79" s="1"/>
      <c r="Q79" s="7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6"/>
      <c r="G80" s="6"/>
      <c r="H80" s="6"/>
      <c r="I80" s="6"/>
      <c r="J80" s="6"/>
      <c r="K80" s="6"/>
      <c r="L80" s="6"/>
      <c r="M80" s="6"/>
      <c r="N80" s="6"/>
      <c r="O80" s="6"/>
      <c r="P80" s="1"/>
      <c r="Q80" s="7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6"/>
      <c r="G81" s="6"/>
      <c r="H81" s="6"/>
      <c r="I81" s="6"/>
      <c r="J81" s="6"/>
      <c r="K81" s="6"/>
      <c r="L81" s="6"/>
      <c r="M81" s="6"/>
      <c r="N81" s="6"/>
      <c r="O81" s="6"/>
      <c r="P81" s="1"/>
      <c r="Q81" s="7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6"/>
      <c r="G82" s="6"/>
      <c r="H82" s="6"/>
      <c r="I82" s="6"/>
      <c r="J82" s="6"/>
      <c r="K82" s="6"/>
      <c r="L82" s="6"/>
      <c r="M82" s="6"/>
      <c r="N82" s="6"/>
      <c r="O82" s="6"/>
      <c r="P82" s="1"/>
      <c r="Q82" s="7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6"/>
      <c r="P83" s="1"/>
      <c r="Q83" s="7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6"/>
      <c r="P84" s="1"/>
      <c r="Q84" s="7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6"/>
      <c r="P85" s="1"/>
      <c r="Q85" s="7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6"/>
      <c r="G86" s="6"/>
      <c r="H86" s="6"/>
      <c r="I86" s="6"/>
      <c r="J86" s="6"/>
      <c r="K86" s="6"/>
      <c r="L86" s="6"/>
      <c r="M86" s="6"/>
      <c r="N86" s="6"/>
      <c r="O86" s="6"/>
      <c r="P86" s="1"/>
      <c r="Q86" s="7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6"/>
      <c r="G87" s="6"/>
      <c r="H87" s="6"/>
      <c r="I87" s="6"/>
      <c r="J87" s="6"/>
      <c r="K87" s="6"/>
      <c r="L87" s="6"/>
      <c r="M87" s="6"/>
      <c r="N87" s="6"/>
      <c r="O87" s="6"/>
      <c r="P87" s="1"/>
      <c r="Q87" s="7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6"/>
      <c r="G88" s="6"/>
      <c r="H88" s="6"/>
      <c r="I88" s="6"/>
      <c r="J88" s="6"/>
      <c r="K88" s="6"/>
      <c r="L88" s="6"/>
      <c r="M88" s="6"/>
      <c r="N88" s="6"/>
      <c r="O88" s="6"/>
      <c r="P88" s="1"/>
      <c r="Q88" s="7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6"/>
      <c r="G89" s="6"/>
      <c r="H89" s="6"/>
      <c r="I89" s="6"/>
      <c r="J89" s="6"/>
      <c r="K89" s="6"/>
      <c r="L89" s="6"/>
      <c r="M89" s="6"/>
      <c r="N89" s="6"/>
      <c r="O89" s="6"/>
      <c r="P89" s="1"/>
      <c r="Q89" s="7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6"/>
      <c r="G90" s="6"/>
      <c r="H90" s="6"/>
      <c r="I90" s="6"/>
      <c r="J90" s="6"/>
      <c r="K90" s="6"/>
      <c r="L90" s="6"/>
      <c r="M90" s="6"/>
      <c r="N90" s="6"/>
      <c r="O90" s="6"/>
      <c r="P90" s="1"/>
      <c r="Q90" s="7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6"/>
      <c r="G91" s="6"/>
      <c r="H91" s="6"/>
      <c r="I91" s="6"/>
      <c r="J91" s="6"/>
      <c r="K91" s="6"/>
      <c r="L91" s="6"/>
      <c r="M91" s="6"/>
      <c r="N91" s="6"/>
      <c r="O91" s="6"/>
      <c r="P91" s="1"/>
      <c r="Q91" s="7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6"/>
      <c r="G92" s="6"/>
      <c r="H92" s="6"/>
      <c r="I92" s="6"/>
      <c r="J92" s="6"/>
      <c r="K92" s="6"/>
      <c r="L92" s="6"/>
      <c r="M92" s="6"/>
      <c r="N92" s="6"/>
      <c r="O92" s="6"/>
      <c r="P92" s="1"/>
      <c r="Q92" s="7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6"/>
      <c r="G93" s="6"/>
      <c r="H93" s="6"/>
      <c r="I93" s="6"/>
      <c r="J93" s="6"/>
      <c r="K93" s="6"/>
      <c r="L93" s="6"/>
      <c r="M93" s="6"/>
      <c r="N93" s="6"/>
      <c r="O93" s="6"/>
      <c r="P93" s="1"/>
      <c r="Q93" s="7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6"/>
      <c r="G94" s="6"/>
      <c r="H94" s="6"/>
      <c r="I94" s="6"/>
      <c r="J94" s="6"/>
      <c r="K94" s="6"/>
      <c r="L94" s="6"/>
      <c r="M94" s="6"/>
      <c r="N94" s="6"/>
      <c r="O94" s="6"/>
      <c r="P94" s="1"/>
      <c r="Q94" s="7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6"/>
      <c r="G95" s="6"/>
      <c r="H95" s="6"/>
      <c r="I95" s="6"/>
      <c r="J95" s="6"/>
      <c r="K95" s="6"/>
      <c r="L95" s="6"/>
      <c r="M95" s="6"/>
      <c r="N95" s="6"/>
      <c r="O95" s="6"/>
      <c r="P95" s="1"/>
      <c r="Q95" s="7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6"/>
      <c r="G96" s="6"/>
      <c r="H96" s="6"/>
      <c r="I96" s="6"/>
      <c r="J96" s="6"/>
      <c r="K96" s="6"/>
      <c r="L96" s="6"/>
      <c r="M96" s="6"/>
      <c r="N96" s="6"/>
      <c r="O96" s="6"/>
      <c r="P96" s="1"/>
      <c r="Q96" s="7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6"/>
      <c r="G97" s="6"/>
      <c r="H97" s="6"/>
      <c r="I97" s="6"/>
      <c r="J97" s="6"/>
      <c r="K97" s="6"/>
      <c r="L97" s="6"/>
      <c r="M97" s="6"/>
      <c r="N97" s="6"/>
      <c r="O97" s="6"/>
      <c r="P97" s="1"/>
      <c r="Q97" s="7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6"/>
      <c r="G98" s="6"/>
      <c r="H98" s="6"/>
      <c r="I98" s="6"/>
      <c r="J98" s="6"/>
      <c r="K98" s="6"/>
      <c r="L98" s="6"/>
      <c r="M98" s="6"/>
      <c r="N98" s="6"/>
      <c r="O98" s="6"/>
      <c r="P98" s="1"/>
      <c r="Q98" s="7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6"/>
      <c r="G99" s="6"/>
      <c r="H99" s="6"/>
      <c r="I99" s="6"/>
      <c r="J99" s="6"/>
      <c r="K99" s="6"/>
      <c r="L99" s="6"/>
      <c r="M99" s="6"/>
      <c r="N99" s="6"/>
      <c r="O99" s="6"/>
      <c r="P99" s="1"/>
      <c r="Q99" s="7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1"/>
      <c r="Q100" s="7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1"/>
      <c r="Q101" s="7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1"/>
      <c r="Q102" s="7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1"/>
      <c r="Q103" s="7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1"/>
      <c r="Q104" s="7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1"/>
      <c r="Q105" s="7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1"/>
      <c r="Q106" s="7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1"/>
      <c r="Q107" s="7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1"/>
      <c r="Q108" s="7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1"/>
      <c r="Q109" s="7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1"/>
      <c r="Q110" s="7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1"/>
      <c r="Q111" s="7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1"/>
      <c r="Q112" s="7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1"/>
      <c r="Q113" s="7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1"/>
      <c r="Q114" s="7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1"/>
      <c r="Q115" s="7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1"/>
      <c r="Q116" s="7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1"/>
      <c r="Q117" s="7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1"/>
      <c r="Q118" s="7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1"/>
      <c r="Q119" s="7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1"/>
      <c r="Q120" s="7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1"/>
      <c r="Q121" s="7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1"/>
      <c r="Q122" s="7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1"/>
      <c r="Q123" s="7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1"/>
      <c r="Q124" s="7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1"/>
      <c r="Q125" s="7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1"/>
      <c r="Q126" s="7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1"/>
      <c r="Q127" s="7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1"/>
      <c r="Q128" s="7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1"/>
      <c r="Q129" s="7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1"/>
      <c r="Q130" s="7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1"/>
      <c r="Q131" s="7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1"/>
      <c r="Q132" s="7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1"/>
      <c r="Q133" s="7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1"/>
      <c r="Q134" s="7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1"/>
      <c r="Q135" s="7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1"/>
      <c r="Q136" s="7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1"/>
      <c r="Q137" s="7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1"/>
      <c r="Q138" s="7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1"/>
      <c r="Q139" s="7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1"/>
      <c r="Q140" s="7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1"/>
      <c r="Q141" s="7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1"/>
      <c r="Q142" s="7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1"/>
      <c r="Q143" s="7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1"/>
      <c r="Q144" s="7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1"/>
      <c r="Q145" s="7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1"/>
      <c r="Q146" s="7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1"/>
      <c r="Q147" s="7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1"/>
      <c r="Q148" s="7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1"/>
      <c r="Q149" s="7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1"/>
      <c r="Q150" s="7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1"/>
      <c r="Q151" s="7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1"/>
      <c r="Q152" s="7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1"/>
      <c r="Q153" s="7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1"/>
      <c r="Q154" s="7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1"/>
      <c r="Q155" s="7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1"/>
      <c r="Q156" s="7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1"/>
      <c r="Q157" s="7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1"/>
      <c r="Q158" s="7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1"/>
      <c r="Q159" s="7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1"/>
      <c r="Q160" s="7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1"/>
      <c r="Q161" s="7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1"/>
      <c r="Q162" s="7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1"/>
      <c r="Q163" s="7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1"/>
      <c r="Q164" s="7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1"/>
      <c r="Q165" s="7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1"/>
      <c r="Q166" s="7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1"/>
      <c r="Q167" s="7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1"/>
      <c r="Q168" s="7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1"/>
      <c r="Q169" s="7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1"/>
      <c r="Q170" s="7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1"/>
      <c r="Q171" s="7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1"/>
      <c r="Q172" s="7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1"/>
      <c r="Q173" s="7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1"/>
      <c r="Q174" s="7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1"/>
      <c r="Q175" s="7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1"/>
      <c r="Q176" s="7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1"/>
      <c r="Q177" s="7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1"/>
      <c r="Q178" s="7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1"/>
      <c r="Q179" s="7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1"/>
      <c r="Q180" s="7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1"/>
      <c r="Q181" s="7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1"/>
      <c r="Q182" s="7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1"/>
      <c r="Q183" s="7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1"/>
      <c r="Q184" s="7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1"/>
      <c r="Q185" s="7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1"/>
      <c r="Q186" s="7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1"/>
      <c r="Q187" s="7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1"/>
      <c r="Q188" s="7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1"/>
      <c r="Q189" s="7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1"/>
      <c r="Q190" s="7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1"/>
      <c r="Q191" s="7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1"/>
      <c r="Q192" s="7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1"/>
      <c r="Q193" s="7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1"/>
      <c r="Q194" s="7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1"/>
      <c r="Q195" s="7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1"/>
      <c r="Q196" s="7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1"/>
      <c r="Q197" s="7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1"/>
      <c r="Q198" s="7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1"/>
      <c r="Q199" s="7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1"/>
      <c r="Q200" s="7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1"/>
      <c r="Q201" s="7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1"/>
      <c r="Q202" s="7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1"/>
      <c r="Q203" s="7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1"/>
      <c r="Q204" s="7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1"/>
      <c r="Q205" s="7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1"/>
      <c r="Q206" s="7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1"/>
      <c r="Q207" s="7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1"/>
      <c r="Q208" s="7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1"/>
      <c r="Q209" s="7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1"/>
      <c r="Q210" s="7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1"/>
      <c r="Q211" s="7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1"/>
      <c r="Q212" s="7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1"/>
      <c r="Q213" s="7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1"/>
      <c r="Q214" s="7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1"/>
      <c r="Q215" s="7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1"/>
      <c r="Q216" s="7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1"/>
      <c r="Q217" s="7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1"/>
      <c r="Q218" s="7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1"/>
      <c r="Q219" s="7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1"/>
      <c r="Q220" s="7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1"/>
      <c r="Q221" s="7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1"/>
      <c r="Q222" s="7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1"/>
      <c r="Q223" s="7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1"/>
      <c r="Q224" s="7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1"/>
      <c r="Q225" s="7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1"/>
      <c r="Q226" s="7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1"/>
      <c r="Q227" s="7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1"/>
      <c r="Q228" s="7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1"/>
      <c r="Q229" s="7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1"/>
      <c r="Q230" s="7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1"/>
      <c r="Q231" s="7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1"/>
      <c r="Q232" s="7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1"/>
      <c r="Q233" s="7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1"/>
      <c r="Q234" s="7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1"/>
      <c r="Q235" s="7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1"/>
      <c r="Q236" s="7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1"/>
      <c r="Q237" s="7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1"/>
      <c r="Q238" s="7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1"/>
      <c r="Q239" s="7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1"/>
      <c r="Q240" s="7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1"/>
      <c r="Q241" s="7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1"/>
      <c r="Q242" s="7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1"/>
      <c r="Q243" s="7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1"/>
      <c r="Q244" s="7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1"/>
      <c r="Q245" s="7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1"/>
      <c r="Q246" s="7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1"/>
      <c r="Q247" s="7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1"/>
      <c r="Q248" s="7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1"/>
      <c r="Q249" s="7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1"/>
      <c r="Q250" s="7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1"/>
      <c r="Q251" s="7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1"/>
      <c r="Q252" s="7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1"/>
      <c r="Q253" s="7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1"/>
      <c r="Q254" s="7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1"/>
      <c r="Q255" s="7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1"/>
      <c r="Q256" s="7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1"/>
      <c r="Q257" s="7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1"/>
      <c r="Q258" s="7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1"/>
      <c r="Q259" s="7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1"/>
      <c r="Q260" s="7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1"/>
      <c r="Q261" s="7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1"/>
      <c r="Q262" s="7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1"/>
      <c r="Q263" s="7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1"/>
      <c r="Q264" s="7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1"/>
      <c r="Q265" s="7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1"/>
      <c r="Q266" s="7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1"/>
      <c r="Q267" s="7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1"/>
      <c r="Q268" s="7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1"/>
      <c r="Q269" s="7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1"/>
      <c r="Q270" s="7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1"/>
      <c r="Q271" s="7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1"/>
      <c r="Q272" s="7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1"/>
      <c r="Q273" s="7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1"/>
      <c r="Q274" s="7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1"/>
      <c r="Q275" s="7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1"/>
      <c r="Q276" s="7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1"/>
      <c r="Q277" s="7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1"/>
      <c r="Q278" s="7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1"/>
      <c r="Q279" s="7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1"/>
      <c r="Q280" s="7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1"/>
      <c r="Q281" s="7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1"/>
      <c r="Q282" s="7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1"/>
      <c r="Q283" s="7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1"/>
      <c r="Q284" s="7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1"/>
      <c r="Q285" s="7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1"/>
      <c r="Q286" s="7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1"/>
      <c r="Q287" s="7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1"/>
      <c r="Q288" s="7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1"/>
      <c r="Q289" s="7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1"/>
      <c r="Q290" s="7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1"/>
      <c r="Q291" s="7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1"/>
      <c r="Q292" s="7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1"/>
      <c r="Q293" s="7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1"/>
      <c r="Q294" s="7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1"/>
      <c r="Q295" s="7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1"/>
      <c r="Q296" s="7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1"/>
      <c r="Q297" s="7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1"/>
      <c r="Q298" s="7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1"/>
      <c r="Q299" s="7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1"/>
      <c r="Q300" s="7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1"/>
      <c r="Q301" s="7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1"/>
      <c r="Q302" s="7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1"/>
      <c r="Q303" s="7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1"/>
      <c r="Q304" s="7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1"/>
      <c r="Q305" s="7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1"/>
      <c r="Q306" s="7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1"/>
      <c r="Q307" s="7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1"/>
      <c r="Q308" s="7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1"/>
      <c r="Q309" s="7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1"/>
      <c r="Q310" s="7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1"/>
      <c r="Q311" s="7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1"/>
      <c r="Q312" s="7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1"/>
      <c r="Q313" s="7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1"/>
      <c r="Q314" s="7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1"/>
      <c r="Q315" s="7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1"/>
      <c r="Q316" s="7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1"/>
      <c r="Q317" s="7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1"/>
      <c r="Q318" s="7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1"/>
      <c r="Q319" s="7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1"/>
      <c r="Q320" s="7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1"/>
      <c r="Q321" s="7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1"/>
      <c r="Q322" s="7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1"/>
      <c r="Q323" s="7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1"/>
      <c r="Q324" s="7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1"/>
      <c r="Q325" s="7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1"/>
      <c r="Q326" s="7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1"/>
      <c r="Q327" s="7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1"/>
      <c r="Q328" s="7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1"/>
      <c r="Q329" s="7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1"/>
      <c r="Q330" s="7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1"/>
      <c r="Q331" s="7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1"/>
      <c r="Q332" s="7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1"/>
      <c r="Q333" s="7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1"/>
      <c r="Q334" s="7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1"/>
      <c r="Q335" s="7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1"/>
      <c r="Q336" s="7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1"/>
      <c r="Q337" s="7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1"/>
      <c r="Q338" s="7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1"/>
      <c r="Q339" s="7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1"/>
      <c r="Q340" s="7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1"/>
      <c r="Q341" s="7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1"/>
      <c r="Q342" s="7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1"/>
      <c r="Q343" s="7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1"/>
      <c r="Q344" s="7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1"/>
      <c r="Q345" s="7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1"/>
      <c r="Q346" s="7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1"/>
      <c r="Q347" s="7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1"/>
      <c r="Q348" s="7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1"/>
      <c r="Q349" s="7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1"/>
      <c r="Q350" s="7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1"/>
      <c r="Q351" s="7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1"/>
      <c r="Q352" s="7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1"/>
      <c r="Q353" s="7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1"/>
      <c r="Q354" s="7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1"/>
      <c r="Q355" s="7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1"/>
      <c r="Q356" s="7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1"/>
      <c r="Q357" s="7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1"/>
      <c r="Q358" s="7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1"/>
      <c r="Q359" s="7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1"/>
      <c r="Q360" s="7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1"/>
      <c r="Q361" s="7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1"/>
      <c r="Q362" s="7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1"/>
      <c r="Q363" s="7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1"/>
      <c r="Q364" s="7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1"/>
      <c r="Q365" s="7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1"/>
      <c r="Q366" s="7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1"/>
      <c r="Q367" s="7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1"/>
      <c r="Q368" s="7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1"/>
      <c r="Q369" s="7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1"/>
      <c r="Q370" s="7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1"/>
      <c r="Q371" s="7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1"/>
      <c r="Q372" s="7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1"/>
      <c r="Q373" s="7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1"/>
      <c r="Q374" s="7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1"/>
      <c r="Q375" s="7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1"/>
      <c r="Q376" s="7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1"/>
      <c r="Q377" s="7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1"/>
      <c r="Q378" s="7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1"/>
      <c r="Q379" s="7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1"/>
      <c r="Q380" s="7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1"/>
      <c r="Q381" s="7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1"/>
      <c r="Q382" s="7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1"/>
      <c r="Q383" s="7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1"/>
      <c r="Q384" s="7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1"/>
      <c r="Q385" s="7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1"/>
      <c r="Q386" s="7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1"/>
      <c r="Q387" s="7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1"/>
      <c r="Q388" s="7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1"/>
      <c r="Q389" s="7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1"/>
      <c r="Q390" s="7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1"/>
      <c r="Q391" s="7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1"/>
      <c r="Q392" s="7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1"/>
      <c r="Q393" s="7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1"/>
      <c r="Q394" s="7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1"/>
      <c r="Q395" s="7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1"/>
      <c r="Q396" s="7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1"/>
      <c r="Q397" s="7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1"/>
      <c r="Q398" s="7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1"/>
      <c r="Q399" s="7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1"/>
      <c r="Q400" s="7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1"/>
      <c r="Q401" s="7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1"/>
      <c r="Q402" s="7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1"/>
      <c r="Q403" s="7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1"/>
      <c r="Q404" s="7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1"/>
      <c r="Q405" s="7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1"/>
      <c r="Q406" s="7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1"/>
      <c r="Q407" s="7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1"/>
      <c r="Q408" s="7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1"/>
      <c r="Q409" s="7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1"/>
      <c r="Q410" s="7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1"/>
      <c r="Q411" s="7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1"/>
      <c r="Q412" s="7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1"/>
      <c r="Q413" s="7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1"/>
      <c r="Q414" s="7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1"/>
      <c r="Q415" s="7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1"/>
      <c r="Q416" s="7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1"/>
      <c r="Q417" s="7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1"/>
      <c r="Q418" s="7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1"/>
      <c r="Q419" s="7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1"/>
      <c r="Q420" s="7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1"/>
      <c r="Q421" s="7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1"/>
      <c r="Q422" s="7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1"/>
      <c r="Q423" s="7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1"/>
      <c r="Q424" s="7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1"/>
      <c r="Q425" s="7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1"/>
      <c r="Q426" s="7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1"/>
      <c r="Q427" s="7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1"/>
      <c r="Q428" s="7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1"/>
      <c r="Q429" s="7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1"/>
      <c r="Q430" s="7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1"/>
      <c r="Q431" s="7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1"/>
      <c r="Q432" s="7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1"/>
      <c r="Q433" s="7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1"/>
      <c r="Q434" s="7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1"/>
      <c r="Q435" s="7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1"/>
      <c r="Q436" s="7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1"/>
      <c r="Q437" s="7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1"/>
      <c r="Q438" s="7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1"/>
      <c r="Q439" s="7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1"/>
      <c r="Q440" s="7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1"/>
      <c r="Q441" s="7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1"/>
      <c r="Q442" s="7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1"/>
      <c r="Q443" s="7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1"/>
      <c r="Q444" s="7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1"/>
      <c r="Q445" s="7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1"/>
      <c r="Q446" s="7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1"/>
      <c r="Q447" s="7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1"/>
      <c r="Q448" s="7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1"/>
      <c r="Q449" s="7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1"/>
      <c r="Q450" s="7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1"/>
      <c r="Q451" s="7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1"/>
      <c r="Q452" s="7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1"/>
      <c r="Q453" s="7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1"/>
      <c r="Q454" s="7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1"/>
      <c r="Q455" s="7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1"/>
      <c r="Q456" s="7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1"/>
      <c r="Q457" s="7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1"/>
      <c r="Q458" s="7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1"/>
      <c r="Q459" s="7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1"/>
      <c r="Q460" s="7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1"/>
      <c r="Q461" s="7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1"/>
      <c r="Q462" s="7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1"/>
      <c r="Q463" s="7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1"/>
      <c r="Q464" s="7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1"/>
      <c r="Q465" s="7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1"/>
      <c r="Q466" s="7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1"/>
      <c r="Q467" s="7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1"/>
      <c r="Q468" s="7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1"/>
      <c r="Q469" s="7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1"/>
      <c r="Q470" s="7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1"/>
      <c r="Q471" s="7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1"/>
      <c r="Q472" s="7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1"/>
      <c r="Q473" s="7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1"/>
      <c r="Q474" s="7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1"/>
      <c r="Q475" s="7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1"/>
      <c r="Q476" s="7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1"/>
      <c r="Q477" s="7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1"/>
      <c r="Q478" s="7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1"/>
      <c r="Q479" s="7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1"/>
      <c r="Q480" s="7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1"/>
      <c r="Q481" s="7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1"/>
      <c r="Q482" s="7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1"/>
      <c r="Q483" s="7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1"/>
      <c r="Q484" s="7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1"/>
      <c r="Q485" s="7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1"/>
      <c r="Q486" s="7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1"/>
      <c r="Q487" s="7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1"/>
      <c r="Q488" s="7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1"/>
      <c r="Q489" s="7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1"/>
      <c r="Q490" s="7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1"/>
      <c r="Q491" s="7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1"/>
      <c r="Q492" s="7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1"/>
      <c r="Q493" s="7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1"/>
      <c r="Q494" s="7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1"/>
      <c r="Q495" s="7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1"/>
      <c r="Q496" s="7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1"/>
      <c r="Q497" s="7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1"/>
      <c r="Q498" s="7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1"/>
      <c r="Q499" s="7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1"/>
      <c r="Q500" s="7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1"/>
      <c r="Q501" s="7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1"/>
      <c r="Q502" s="7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1"/>
      <c r="Q503" s="7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1"/>
      <c r="Q504" s="7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1"/>
      <c r="Q505" s="7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1"/>
      <c r="Q506" s="7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1"/>
      <c r="Q507" s="7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1"/>
      <c r="Q508" s="7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1"/>
      <c r="Q509" s="7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1"/>
      <c r="Q510" s="7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1"/>
      <c r="Q511" s="7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1"/>
      <c r="Q512" s="7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1"/>
      <c r="Q513" s="7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1"/>
      <c r="Q514" s="7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1"/>
      <c r="Q515" s="7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1"/>
      <c r="Q516" s="7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1"/>
      <c r="Q517" s="7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1"/>
      <c r="Q518" s="7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1"/>
      <c r="Q519" s="7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1"/>
      <c r="Q520" s="7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1"/>
      <c r="Q521" s="7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1"/>
      <c r="Q522" s="7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1"/>
      <c r="Q523" s="7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1"/>
      <c r="Q524" s="7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1"/>
      <c r="Q525" s="7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1"/>
      <c r="Q526" s="7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1"/>
      <c r="Q527" s="7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1"/>
      <c r="Q528" s="7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1"/>
      <c r="Q529" s="7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1"/>
      <c r="Q530" s="7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1"/>
      <c r="Q531" s="7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1"/>
      <c r="Q532" s="7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1"/>
      <c r="Q533" s="7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1"/>
      <c r="Q534" s="7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1"/>
      <c r="Q535" s="7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1"/>
      <c r="Q536" s="7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1"/>
      <c r="Q537" s="7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1"/>
      <c r="Q538" s="7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1"/>
      <c r="Q539" s="7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1"/>
      <c r="Q540" s="7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1"/>
      <c r="Q541" s="7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1"/>
      <c r="Q542" s="7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1"/>
      <c r="Q543" s="7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1"/>
      <c r="Q544" s="7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1"/>
      <c r="Q545" s="7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1"/>
      <c r="Q546" s="7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1"/>
      <c r="Q547" s="7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1"/>
      <c r="Q548" s="7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1"/>
      <c r="Q549" s="7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1"/>
      <c r="Q550" s="7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1"/>
      <c r="Q551" s="7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1"/>
      <c r="Q552" s="7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1"/>
      <c r="Q553" s="7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1"/>
      <c r="Q554" s="7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1"/>
      <c r="Q555" s="7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1"/>
      <c r="Q556" s="7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1"/>
      <c r="Q557" s="7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1"/>
      <c r="Q558" s="7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1"/>
      <c r="Q559" s="7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1"/>
      <c r="Q560" s="7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1"/>
      <c r="Q561" s="7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1"/>
      <c r="Q562" s="7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1"/>
      <c r="Q563" s="7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1"/>
      <c r="Q564" s="7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1"/>
      <c r="Q565" s="7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1"/>
      <c r="Q566" s="7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1"/>
      <c r="Q567" s="7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1"/>
      <c r="Q568" s="7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1"/>
      <c r="Q569" s="7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1"/>
      <c r="Q570" s="7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1"/>
      <c r="Q571" s="7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1"/>
      <c r="Q572" s="7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1"/>
      <c r="Q573" s="7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1"/>
      <c r="Q574" s="7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1"/>
      <c r="Q575" s="7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1"/>
      <c r="Q576" s="7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1"/>
      <c r="Q577" s="7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1"/>
      <c r="Q578" s="7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1"/>
      <c r="Q579" s="7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1"/>
      <c r="Q580" s="7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1"/>
      <c r="Q581" s="7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1"/>
      <c r="Q582" s="7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1"/>
      <c r="Q583" s="7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1"/>
      <c r="Q584" s="7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1"/>
      <c r="Q585" s="7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1"/>
      <c r="Q586" s="7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1"/>
      <c r="Q587" s="7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1"/>
      <c r="Q588" s="7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1"/>
      <c r="Q589" s="7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1"/>
      <c r="Q590" s="7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1"/>
      <c r="Q591" s="7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1"/>
      <c r="Q592" s="7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1"/>
      <c r="Q593" s="7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1"/>
      <c r="Q594" s="7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1"/>
      <c r="Q595" s="7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1"/>
      <c r="Q596" s="7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1"/>
      <c r="Q597" s="7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1"/>
      <c r="Q598" s="7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1"/>
      <c r="Q599" s="7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1"/>
      <c r="Q600" s="7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1"/>
      <c r="Q601" s="7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1"/>
      <c r="Q602" s="7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1"/>
      <c r="Q603" s="7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1"/>
      <c r="Q604" s="7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1"/>
      <c r="Q605" s="7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1"/>
      <c r="Q606" s="7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1"/>
      <c r="Q607" s="7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1"/>
      <c r="Q608" s="7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1"/>
      <c r="Q609" s="7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1"/>
      <c r="Q610" s="7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1"/>
      <c r="Q611" s="7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1"/>
      <c r="Q612" s="7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1"/>
      <c r="Q613" s="7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1"/>
      <c r="Q614" s="7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1"/>
      <c r="Q615" s="7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1"/>
      <c r="Q616" s="7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1"/>
      <c r="Q617" s="7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1"/>
      <c r="Q618" s="7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1"/>
      <c r="Q619" s="7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1"/>
      <c r="Q620" s="7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1"/>
      <c r="Q621" s="7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1"/>
      <c r="Q622" s="7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1"/>
      <c r="Q623" s="7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1"/>
      <c r="Q624" s="7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1"/>
      <c r="Q625" s="7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1"/>
      <c r="Q626" s="7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1"/>
      <c r="Q627" s="7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1"/>
      <c r="Q628" s="7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1"/>
      <c r="Q629" s="7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1"/>
      <c r="Q630" s="7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1"/>
      <c r="Q631" s="7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1"/>
      <c r="Q632" s="7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1"/>
      <c r="Q633" s="7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1"/>
      <c r="Q634" s="7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1"/>
      <c r="Q635" s="7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1"/>
      <c r="Q636" s="7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1"/>
      <c r="Q637" s="7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1"/>
      <c r="Q638" s="7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1"/>
      <c r="Q639" s="7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1"/>
      <c r="Q640" s="7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1"/>
      <c r="Q641" s="7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1"/>
      <c r="Q642" s="7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1"/>
      <c r="Q643" s="7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1"/>
      <c r="Q644" s="7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1"/>
      <c r="Q645" s="7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1"/>
      <c r="Q646" s="7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1"/>
      <c r="Q647" s="7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1"/>
      <c r="Q648" s="7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1"/>
      <c r="Q649" s="7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1"/>
      <c r="Q650" s="7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1"/>
      <c r="Q651" s="7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1"/>
      <c r="Q652" s="7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1"/>
      <c r="Q653" s="7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1"/>
      <c r="Q654" s="7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1"/>
      <c r="Q655" s="7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1"/>
      <c r="Q656" s="7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1"/>
      <c r="Q657" s="7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1"/>
      <c r="Q658" s="7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1"/>
      <c r="Q659" s="7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1"/>
      <c r="Q660" s="7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1"/>
      <c r="Q661" s="7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1"/>
      <c r="Q662" s="7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1"/>
      <c r="Q663" s="7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1"/>
      <c r="Q664" s="7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1"/>
      <c r="Q665" s="7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1"/>
      <c r="Q666" s="7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1"/>
      <c r="Q667" s="7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1"/>
      <c r="Q668" s="7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1"/>
      <c r="Q669" s="7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1"/>
      <c r="Q670" s="7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1"/>
      <c r="Q671" s="7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1"/>
      <c r="Q672" s="7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1"/>
      <c r="Q673" s="7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1"/>
      <c r="Q674" s="7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1"/>
      <c r="Q675" s="7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1"/>
      <c r="Q676" s="7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1"/>
      <c r="Q677" s="7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1"/>
      <c r="Q678" s="7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1"/>
      <c r="Q679" s="7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1"/>
      <c r="Q680" s="7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1"/>
      <c r="Q681" s="7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1"/>
      <c r="Q682" s="7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1"/>
      <c r="Q683" s="7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1"/>
      <c r="Q684" s="7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1"/>
      <c r="Q685" s="7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1"/>
      <c r="Q686" s="7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1"/>
      <c r="Q687" s="7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1"/>
      <c r="Q688" s="7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1"/>
      <c r="Q689" s="7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1"/>
      <c r="Q690" s="7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1"/>
      <c r="Q691" s="7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1"/>
      <c r="Q692" s="7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1"/>
      <c r="Q693" s="7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1"/>
      <c r="Q694" s="7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1"/>
      <c r="Q695" s="7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1"/>
      <c r="Q696" s="7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1"/>
      <c r="Q697" s="7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1"/>
      <c r="Q698" s="7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1"/>
      <c r="Q699" s="7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1"/>
      <c r="Q700" s="7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1"/>
      <c r="Q701" s="7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1"/>
      <c r="Q702" s="7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1"/>
      <c r="Q703" s="7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1"/>
      <c r="Q704" s="7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1"/>
      <c r="Q705" s="7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1"/>
      <c r="Q706" s="7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1"/>
      <c r="Q707" s="7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1"/>
      <c r="Q708" s="7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1"/>
      <c r="Q709" s="7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1"/>
      <c r="Q710" s="7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1"/>
      <c r="Q711" s="7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1"/>
      <c r="Q712" s="7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1"/>
      <c r="Q713" s="7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1"/>
      <c r="Q714" s="7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1"/>
      <c r="Q715" s="7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1"/>
      <c r="Q716" s="7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1"/>
      <c r="Q717" s="7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1"/>
      <c r="Q718" s="7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1"/>
      <c r="Q719" s="7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1"/>
      <c r="Q720" s="7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1"/>
      <c r="Q721" s="7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1"/>
      <c r="Q722" s="7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1"/>
      <c r="Q723" s="7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1"/>
      <c r="Q724" s="7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1"/>
      <c r="Q725" s="7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1"/>
      <c r="Q726" s="7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1"/>
      <c r="Q727" s="7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1"/>
      <c r="Q728" s="7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1"/>
      <c r="Q729" s="7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1"/>
      <c r="Q730" s="7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1"/>
      <c r="Q731" s="7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1"/>
      <c r="Q732" s="7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1"/>
      <c r="Q733" s="7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1"/>
      <c r="Q734" s="7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1"/>
      <c r="Q735" s="7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1"/>
      <c r="Q736" s="7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1"/>
      <c r="Q737" s="7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1"/>
      <c r="Q738" s="7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1"/>
      <c r="Q739" s="7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1"/>
      <c r="Q740" s="7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1"/>
      <c r="Q741" s="7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1"/>
      <c r="Q742" s="7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1"/>
      <c r="Q743" s="7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1"/>
      <c r="Q744" s="7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1"/>
      <c r="Q745" s="7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1"/>
      <c r="Q746" s="7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1"/>
      <c r="Q747" s="7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1"/>
      <c r="Q748" s="7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1"/>
      <c r="Q749" s="7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1"/>
      <c r="Q750" s="7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1"/>
      <c r="Q751" s="7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1"/>
      <c r="Q752" s="7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1"/>
      <c r="Q753" s="7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1"/>
      <c r="Q754" s="7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1"/>
      <c r="Q755" s="7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1"/>
      <c r="Q756" s="7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1"/>
      <c r="Q757" s="7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1"/>
      <c r="Q758" s="7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1"/>
      <c r="Q759" s="7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1"/>
      <c r="Q760" s="7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1"/>
      <c r="Q761" s="7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1"/>
      <c r="Q762" s="7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1"/>
      <c r="Q763" s="7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1"/>
      <c r="Q764" s="7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1"/>
      <c r="Q765" s="7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1"/>
      <c r="Q766" s="7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1"/>
      <c r="Q767" s="7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1"/>
      <c r="Q768" s="7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1"/>
      <c r="Q769" s="7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1"/>
      <c r="Q770" s="7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1"/>
      <c r="Q771" s="7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1"/>
      <c r="Q772" s="7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1"/>
      <c r="Q773" s="7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1"/>
      <c r="Q774" s="7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1"/>
      <c r="Q775" s="7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1"/>
      <c r="Q776" s="7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1"/>
      <c r="Q777" s="7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1"/>
      <c r="Q778" s="7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1"/>
      <c r="Q779" s="7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1"/>
      <c r="Q780" s="7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1"/>
      <c r="Q781" s="7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1"/>
      <c r="Q782" s="7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1"/>
      <c r="Q783" s="7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1"/>
      <c r="Q784" s="7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1"/>
      <c r="Q785" s="7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1"/>
      <c r="Q786" s="7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1"/>
      <c r="Q787" s="7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1"/>
      <c r="Q788" s="7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1"/>
      <c r="Q789" s="7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1"/>
      <c r="Q790" s="7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1"/>
      <c r="Q791" s="7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1"/>
      <c r="Q792" s="7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1"/>
      <c r="Q793" s="7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1"/>
      <c r="Q794" s="7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1"/>
      <c r="Q795" s="7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1"/>
      <c r="Q796" s="7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1"/>
      <c r="Q797" s="7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1"/>
      <c r="Q798" s="7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1"/>
      <c r="Q799" s="7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1"/>
      <c r="Q800" s="7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1"/>
      <c r="Q801" s="7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1"/>
      <c r="Q802" s="7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1"/>
      <c r="Q803" s="7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1"/>
      <c r="Q804" s="7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1"/>
      <c r="Q805" s="7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1"/>
      <c r="Q806" s="7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1"/>
      <c r="Q807" s="7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1"/>
      <c r="Q808" s="7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1"/>
      <c r="Q809" s="7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1"/>
      <c r="Q810" s="7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1"/>
      <c r="Q811" s="7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1"/>
      <c r="Q812" s="7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1"/>
      <c r="Q813" s="7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1"/>
      <c r="Q814" s="7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1"/>
      <c r="Q815" s="7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1"/>
      <c r="Q816" s="7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1"/>
      <c r="Q817" s="7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1"/>
      <c r="Q818" s="7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1"/>
      <c r="Q819" s="7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1"/>
      <c r="Q820" s="7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1"/>
      <c r="Q821" s="7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1"/>
      <c r="Q822" s="7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1"/>
      <c r="Q823" s="7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1"/>
      <c r="Q824" s="7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1"/>
      <c r="Q825" s="7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1"/>
      <c r="Q826" s="7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1"/>
      <c r="Q827" s="7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1"/>
      <c r="Q828" s="7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1"/>
      <c r="Q829" s="7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1"/>
      <c r="Q830" s="7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1"/>
      <c r="Q831" s="7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1"/>
      <c r="Q832" s="7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1"/>
      <c r="Q833" s="7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1"/>
      <c r="Q834" s="7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1"/>
      <c r="Q835" s="7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1"/>
      <c r="Q836" s="7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1"/>
      <c r="Q837" s="7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1"/>
      <c r="Q838" s="7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1"/>
      <c r="Q839" s="7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1"/>
      <c r="Q840" s="7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1"/>
      <c r="Q841" s="7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1"/>
      <c r="Q842" s="7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1"/>
      <c r="Q843" s="7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1"/>
      <c r="Q844" s="7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1"/>
      <c r="Q845" s="7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1"/>
      <c r="Q846" s="7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1"/>
      <c r="Q847" s="7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1"/>
      <c r="Q848" s="7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1"/>
      <c r="Q849" s="7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1"/>
      <c r="Q850" s="7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1"/>
      <c r="Q851" s="7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1"/>
      <c r="Q852" s="7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1"/>
      <c r="Q853" s="7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1"/>
      <c r="Q854" s="7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1"/>
      <c r="Q855" s="7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1"/>
      <c r="Q856" s="7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1"/>
      <c r="Q857" s="7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1"/>
      <c r="Q858" s="7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1"/>
      <c r="Q859" s="7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1"/>
      <c r="Q860" s="7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1"/>
      <c r="Q861" s="7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1"/>
      <c r="Q862" s="7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1"/>
      <c r="Q863" s="7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1"/>
      <c r="Q864" s="7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1"/>
      <c r="Q865" s="7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1"/>
      <c r="Q866" s="7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1"/>
      <c r="Q867" s="7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1"/>
      <c r="Q868" s="7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1"/>
      <c r="Q869" s="7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1"/>
      <c r="Q870" s="7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1"/>
      <c r="Q871" s="7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1"/>
      <c r="Q872" s="7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1"/>
      <c r="Q873" s="7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1"/>
      <c r="Q874" s="7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1"/>
      <c r="Q875" s="7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1"/>
      <c r="Q876" s="7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1"/>
      <c r="Q877" s="7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1"/>
      <c r="Q878" s="7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1"/>
      <c r="Q879" s="7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1"/>
      <c r="Q880" s="7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1"/>
      <c r="Q881" s="7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1"/>
      <c r="Q882" s="7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1"/>
      <c r="Q883" s="7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1"/>
      <c r="Q884" s="7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1"/>
      <c r="Q885" s="7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1"/>
      <c r="Q886" s="7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1"/>
      <c r="Q887" s="7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1"/>
      <c r="Q888" s="7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1"/>
      <c r="Q889" s="7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1"/>
      <c r="Q890" s="7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1"/>
      <c r="Q891" s="7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1"/>
      <c r="Q892" s="7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1"/>
      <c r="Q893" s="7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1"/>
      <c r="Q894" s="7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1"/>
      <c r="Q895" s="7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1"/>
      <c r="Q896" s="7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1"/>
      <c r="Q897" s="7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1"/>
      <c r="Q898" s="7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1"/>
      <c r="Q899" s="7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1"/>
      <c r="Q900" s="7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1"/>
      <c r="Q901" s="7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1"/>
      <c r="Q902" s="7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1"/>
      <c r="Q903" s="7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1"/>
      <c r="Q904" s="7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1"/>
      <c r="Q905" s="7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1"/>
      <c r="Q906" s="7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1"/>
      <c r="Q907" s="7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1"/>
      <c r="Q908" s="7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1"/>
      <c r="Q909" s="7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1"/>
      <c r="Q910" s="7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1"/>
      <c r="Q911" s="7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1"/>
      <c r="Q912" s="7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1"/>
      <c r="Q913" s="7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1"/>
      <c r="Q914" s="7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1"/>
      <c r="Q915" s="7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1"/>
      <c r="Q916" s="7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1"/>
      <c r="Q917" s="7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1"/>
      <c r="Q918" s="7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1"/>
      <c r="Q919" s="7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1"/>
      <c r="Q920" s="7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1"/>
      <c r="Q921" s="7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1"/>
      <c r="Q922" s="7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1"/>
      <c r="Q923" s="7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1"/>
      <c r="Q924" s="7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1"/>
      <c r="Q925" s="7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1"/>
      <c r="Q926" s="7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1"/>
      <c r="Q927" s="7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1"/>
      <c r="Q928" s="7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1"/>
      <c r="Q929" s="7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1"/>
      <c r="Q930" s="7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1"/>
      <c r="Q931" s="7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1"/>
      <c r="Q932" s="7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1"/>
      <c r="Q933" s="7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1"/>
      <c r="Q934" s="7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1"/>
      <c r="Q935" s="7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1"/>
      <c r="Q936" s="7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1"/>
      <c r="Q937" s="7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1"/>
      <c r="Q938" s="7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1"/>
      <c r="Q939" s="7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1"/>
      <c r="Q940" s="7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1"/>
      <c r="Q941" s="7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1"/>
      <c r="Q942" s="7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1"/>
      <c r="Q943" s="7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1"/>
      <c r="Q944" s="7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1"/>
      <c r="Q945" s="7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1"/>
      <c r="Q946" s="7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1"/>
      <c r="Q947" s="7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1"/>
      <c r="Q948" s="7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1"/>
      <c r="Q949" s="7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1"/>
      <c r="Q950" s="7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1"/>
      <c r="Q951" s="7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1"/>
      <c r="Q952" s="7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1"/>
      <c r="Q953" s="7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1"/>
      <c r="Q954" s="7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1"/>
      <c r="Q955" s="7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1"/>
      <c r="Q956" s="7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1"/>
      <c r="Q957" s="7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1"/>
      <c r="Q958" s="7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1"/>
      <c r="Q959" s="7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1"/>
      <c r="Q960" s="7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1"/>
      <c r="Q961" s="7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1"/>
      <c r="Q962" s="7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1"/>
      <c r="Q963" s="7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1"/>
      <c r="Q964" s="7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1"/>
      <c r="Q965" s="7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1"/>
      <c r="Q966" s="7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1"/>
      <c r="Q967" s="7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1"/>
      <c r="Q968" s="7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1"/>
      <c r="Q969" s="7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1"/>
      <c r="Q970" s="7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1"/>
      <c r="Q971" s="7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1"/>
      <c r="Q972" s="7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1"/>
      <c r="Q973" s="7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1"/>
      <c r="Q974" s="7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1"/>
      <c r="Q975" s="7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1"/>
      <c r="Q976" s="7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1"/>
      <c r="Q977" s="7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1"/>
      <c r="Q978" s="7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1"/>
      <c r="Q979" s="7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1"/>
      <c r="Q980" s="7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1"/>
      <c r="Q981" s="7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1"/>
      <c r="Q982" s="7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1"/>
      <c r="Q983" s="7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1"/>
      <c r="Q984" s="7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7">
    <mergeCell ref="A14:O14"/>
    <mergeCell ref="A18:O18"/>
    <mergeCell ref="B2:E2"/>
    <mergeCell ref="F2:O9"/>
    <mergeCell ref="B3:E3"/>
    <mergeCell ref="B4:E4"/>
    <mergeCell ref="A11:O11"/>
  </mergeCells>
  <dataValidations count="1">
    <dataValidation type="list" allowBlank="1" showErrorMessage="1" sqref="F19:F21 L19:L21 M22:M131 G22:G131 J22:J131 L12:L13 I12:I13 F12:F13 F15:F17 L15:L17 I15:I17 I19:I21" xr:uid="{15E04EBF-136B-4171-9E56-4D13FA5B1744}">
      <formula1>$R$2:$R$5</formula1>
    </dataValidation>
  </dataValidations>
  <pageMargins left="0.74791666666666667" right="0.25" top="0.75" bottom="0.98402777777777772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1089-A262-45B6-82D3-E98097129199}">
  <sheetPr>
    <outlinePr summaryBelow="0" summaryRight="0"/>
  </sheetPr>
  <dimension ref="A1:Z985"/>
  <sheetViews>
    <sheetView workbookViewId="0">
      <pane ySplit="10" topLeftCell="A11" activePane="bottomLeft" state="frozen"/>
      <selection pane="bottomLeft" activeCell="A21" sqref="A21:XFD21"/>
    </sheetView>
  </sheetViews>
  <sheetFormatPr defaultColWidth="12.6328125" defaultRowHeight="15" customHeight="1" outlineLevelRow="1" outlineLevelCol="1" x14ac:dyDescent="0.2"/>
  <cols>
    <col min="1" max="1" width="17" customWidth="1"/>
    <col min="2" max="2" width="34.453125" customWidth="1"/>
    <col min="3" max="3" width="34.08984375" customWidth="1"/>
    <col min="4" max="4" width="34.6328125" customWidth="1"/>
    <col min="5" max="5" width="28.36328125" customWidth="1"/>
    <col min="6" max="6" width="9.36328125" customWidth="1"/>
    <col min="7" max="7" width="10.6328125" customWidth="1" outlineLevel="1"/>
    <col min="8" max="8" width="7" customWidth="1" outlineLevel="1"/>
    <col min="9" max="9" width="9.36328125" customWidth="1"/>
    <col min="10" max="10" width="10.6328125" customWidth="1" outlineLevel="1"/>
    <col min="11" max="11" width="7" customWidth="1" outlineLevel="1"/>
    <col min="12" max="12" width="9.36328125" customWidth="1"/>
    <col min="13" max="13" width="10.6328125" customWidth="1" outlineLevel="1"/>
    <col min="14" max="14" width="7" customWidth="1" outlineLevel="1"/>
    <col min="15" max="15" width="28.6328125" customWidth="1"/>
    <col min="16" max="16" width="10.08984375" customWidth="1"/>
    <col min="17" max="17" width="8.08984375" customWidth="1"/>
    <col min="18" max="18" width="7.6328125" hidden="1" customWidth="1"/>
    <col min="19" max="26" width="9" customWidth="1"/>
  </cols>
  <sheetData>
    <row r="1" spans="1:26" ht="12.75" customHeight="1" thickBot="1" x14ac:dyDescent="0.3">
      <c r="A1" s="1"/>
      <c r="B1" s="1"/>
      <c r="C1" s="1"/>
      <c r="D1" s="1"/>
      <c r="E1" s="1"/>
      <c r="F1" s="6"/>
      <c r="G1" s="6"/>
      <c r="H1" s="6"/>
      <c r="I1" s="6"/>
      <c r="J1" s="6"/>
      <c r="K1" s="6"/>
      <c r="L1" s="6"/>
      <c r="M1" s="6"/>
      <c r="N1" s="6"/>
      <c r="O1" s="6"/>
      <c r="P1" s="1"/>
      <c r="Q1" s="7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2" t="s">
        <v>2</v>
      </c>
      <c r="B2" s="130" t="s">
        <v>270</v>
      </c>
      <c r="C2" s="131"/>
      <c r="D2" s="131"/>
      <c r="E2" s="132"/>
      <c r="F2" s="133"/>
      <c r="G2" s="134"/>
      <c r="H2" s="134"/>
      <c r="I2" s="134"/>
      <c r="J2" s="134"/>
      <c r="K2" s="134"/>
      <c r="L2" s="134"/>
      <c r="M2" s="134"/>
      <c r="N2" s="134"/>
      <c r="O2" s="135"/>
      <c r="P2" s="2"/>
      <c r="Q2" s="16"/>
      <c r="R2" s="17" t="s">
        <v>5</v>
      </c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5">
      <c r="A3" s="19" t="s">
        <v>7</v>
      </c>
      <c r="B3" s="142" t="s">
        <v>271</v>
      </c>
      <c r="C3" s="112"/>
      <c r="D3" s="112"/>
      <c r="E3" s="143"/>
      <c r="F3" s="136"/>
      <c r="G3" s="137"/>
      <c r="H3" s="137"/>
      <c r="I3" s="137"/>
      <c r="J3" s="137"/>
      <c r="K3" s="137"/>
      <c r="L3" s="137"/>
      <c r="M3" s="137"/>
      <c r="N3" s="137"/>
      <c r="O3" s="138"/>
      <c r="P3" s="2"/>
      <c r="Q3" s="16"/>
      <c r="R3" s="17" t="s">
        <v>8</v>
      </c>
      <c r="S3" s="17"/>
      <c r="T3" s="17"/>
      <c r="U3" s="17"/>
      <c r="V3" s="17"/>
      <c r="W3" s="17"/>
      <c r="X3" s="17"/>
      <c r="Y3" s="17"/>
      <c r="Z3" s="17"/>
    </row>
    <row r="4" spans="1:26" ht="18" customHeight="1" x14ac:dyDescent="0.25">
      <c r="A4" s="19" t="s">
        <v>9</v>
      </c>
      <c r="B4" s="142">
        <f>COUNTIF($A$12:$A$1000,"TC-*")</f>
        <v>9</v>
      </c>
      <c r="C4" s="112"/>
      <c r="D4" s="112"/>
      <c r="E4" s="143"/>
      <c r="F4" s="136"/>
      <c r="G4" s="137"/>
      <c r="H4" s="137"/>
      <c r="I4" s="137"/>
      <c r="J4" s="137"/>
      <c r="K4" s="137"/>
      <c r="L4" s="137"/>
      <c r="M4" s="137"/>
      <c r="N4" s="137"/>
      <c r="O4" s="138"/>
      <c r="P4" s="2"/>
      <c r="Q4" s="16"/>
      <c r="R4" s="17" t="s">
        <v>12</v>
      </c>
      <c r="S4" s="17"/>
      <c r="T4" s="17"/>
      <c r="U4" s="17"/>
      <c r="V4" s="17"/>
      <c r="W4" s="17"/>
      <c r="X4" s="17"/>
      <c r="Y4" s="17"/>
      <c r="Z4" s="17"/>
    </row>
    <row r="5" spans="1:26" ht="19.5" customHeight="1" x14ac:dyDescent="0.25">
      <c r="A5" s="25" t="s">
        <v>13</v>
      </c>
      <c r="B5" s="26" t="s">
        <v>5</v>
      </c>
      <c r="C5" s="26" t="s">
        <v>8</v>
      </c>
      <c r="D5" s="26" t="s">
        <v>12</v>
      </c>
      <c r="E5" s="28" t="s">
        <v>16</v>
      </c>
      <c r="F5" s="136"/>
      <c r="G5" s="137"/>
      <c r="H5" s="137"/>
      <c r="I5" s="137"/>
      <c r="J5" s="137"/>
      <c r="K5" s="137"/>
      <c r="L5" s="137"/>
      <c r="M5" s="137"/>
      <c r="N5" s="137"/>
      <c r="O5" s="138"/>
      <c r="P5" s="29"/>
      <c r="Q5" s="30"/>
      <c r="R5" s="17" t="s">
        <v>16</v>
      </c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25">
      <c r="A6" s="25" t="s">
        <v>20</v>
      </c>
      <c r="B6" s="32">
        <f>COUNTIF($F10:$F983,B5)</f>
        <v>9</v>
      </c>
      <c r="C6" s="32">
        <f>COUNTIF($F10:$F983,C5)</f>
        <v>0</v>
      </c>
      <c r="D6" s="32">
        <f>COUNTIF($F10:$F983,D5)</f>
        <v>0</v>
      </c>
      <c r="E6" s="35">
        <f>COUNTIF($F10:$F983,E5)</f>
        <v>0</v>
      </c>
      <c r="F6" s="136"/>
      <c r="G6" s="137"/>
      <c r="H6" s="137"/>
      <c r="I6" s="137"/>
      <c r="J6" s="137"/>
      <c r="K6" s="137"/>
      <c r="L6" s="137"/>
      <c r="M6" s="137"/>
      <c r="N6" s="137"/>
      <c r="O6" s="138"/>
      <c r="P6" s="29"/>
      <c r="Q6" s="30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25">
      <c r="A7" s="25" t="s">
        <v>23</v>
      </c>
      <c r="B7" s="32">
        <f>COUNTIF($I10:$I998,B5)</f>
        <v>9</v>
      </c>
      <c r="C7" s="32">
        <f>COUNTIF($I10:$I998,C5)</f>
        <v>0</v>
      </c>
      <c r="D7" s="32">
        <f>COUNTIF($I10:$I998,D5)</f>
        <v>0</v>
      </c>
      <c r="E7" s="35">
        <f>COUNTIF($I10:$I998,E5)</f>
        <v>0</v>
      </c>
      <c r="F7" s="136"/>
      <c r="G7" s="137"/>
      <c r="H7" s="137"/>
      <c r="I7" s="137"/>
      <c r="J7" s="137"/>
      <c r="K7" s="137"/>
      <c r="L7" s="137"/>
      <c r="M7" s="137"/>
      <c r="N7" s="137"/>
      <c r="O7" s="138"/>
      <c r="P7" s="29"/>
      <c r="Q7" s="30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thickBot="1" x14ac:dyDescent="0.3">
      <c r="A8" s="44" t="s">
        <v>25</v>
      </c>
      <c r="B8" s="47">
        <f>COUNTIF($L10:$L998,B5)</f>
        <v>0</v>
      </c>
      <c r="C8" s="47">
        <f>COUNTIF($L10:$L998,C5)</f>
        <v>0</v>
      </c>
      <c r="D8" s="47">
        <f>COUNTIF($L10:$L998,D5)</f>
        <v>9</v>
      </c>
      <c r="E8" s="50">
        <f>COUNTIF($L10:$L998,E5)</f>
        <v>0</v>
      </c>
      <c r="F8" s="136"/>
      <c r="G8" s="137"/>
      <c r="H8" s="137"/>
      <c r="I8" s="137"/>
      <c r="J8" s="137"/>
      <c r="K8" s="137"/>
      <c r="L8" s="137"/>
      <c r="M8" s="137"/>
      <c r="N8" s="137"/>
      <c r="O8" s="138"/>
      <c r="P8" s="29"/>
      <c r="Q8" s="30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25">
      <c r="A9" s="29"/>
      <c r="B9" s="29"/>
      <c r="C9" s="29"/>
      <c r="D9" s="29"/>
      <c r="E9" s="29"/>
      <c r="F9" s="139"/>
      <c r="G9" s="140"/>
      <c r="H9" s="140"/>
      <c r="I9" s="140"/>
      <c r="J9" s="140"/>
      <c r="K9" s="140"/>
      <c r="L9" s="140"/>
      <c r="M9" s="140"/>
      <c r="N9" s="140"/>
      <c r="O9" s="141"/>
      <c r="P9" s="29"/>
      <c r="Q9" s="30"/>
      <c r="R9" s="17"/>
      <c r="S9" s="17"/>
      <c r="T9" s="17"/>
      <c r="U9" s="17"/>
      <c r="V9" s="17"/>
      <c r="W9" s="17"/>
      <c r="X9" s="17"/>
      <c r="Y9" s="17"/>
      <c r="Z9" s="17"/>
    </row>
    <row r="10" spans="1:26" ht="25.5" customHeight="1" x14ac:dyDescent="0.25">
      <c r="A10" s="69" t="s">
        <v>38</v>
      </c>
      <c r="B10" s="69" t="s">
        <v>39</v>
      </c>
      <c r="C10" s="69" t="s">
        <v>40</v>
      </c>
      <c r="D10" s="69" t="s">
        <v>41</v>
      </c>
      <c r="E10" s="69" t="s">
        <v>42</v>
      </c>
      <c r="F10" s="69" t="s">
        <v>20</v>
      </c>
      <c r="G10" s="69" t="s">
        <v>43</v>
      </c>
      <c r="H10" s="69" t="s">
        <v>44</v>
      </c>
      <c r="I10" s="69" t="s">
        <v>23</v>
      </c>
      <c r="J10" s="69" t="s">
        <v>43</v>
      </c>
      <c r="K10" s="69" t="s">
        <v>44</v>
      </c>
      <c r="L10" s="69" t="s">
        <v>25</v>
      </c>
      <c r="M10" s="69" t="s">
        <v>43</v>
      </c>
      <c r="N10" s="69" t="s">
        <v>44</v>
      </c>
      <c r="O10" s="69" t="s">
        <v>46</v>
      </c>
      <c r="P10" s="17"/>
      <c r="Q10" s="78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5">
      <c r="A11" s="144" t="s">
        <v>70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3"/>
      <c r="P11" s="81"/>
      <c r="Q11" s="83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83.25" customHeight="1" outlineLevel="1" x14ac:dyDescent="0.2">
      <c r="A12" s="66" t="s">
        <v>272</v>
      </c>
      <c r="B12" s="66" t="s">
        <v>273</v>
      </c>
      <c r="C12" s="66" t="s">
        <v>274</v>
      </c>
      <c r="D12" s="66" t="s">
        <v>275</v>
      </c>
      <c r="E12" s="66" t="s">
        <v>276</v>
      </c>
      <c r="F12" s="87" t="s">
        <v>5</v>
      </c>
      <c r="G12" s="88">
        <v>46244.708333333336</v>
      </c>
      <c r="H12" s="87" t="s">
        <v>76</v>
      </c>
      <c r="I12" s="87" t="s">
        <v>5</v>
      </c>
      <c r="J12" s="88">
        <v>46244.708333333336</v>
      </c>
      <c r="K12" s="87" t="s">
        <v>76</v>
      </c>
      <c r="L12" s="87" t="s">
        <v>12</v>
      </c>
      <c r="M12" s="88"/>
      <c r="N12" s="87"/>
      <c r="O12" s="87"/>
      <c r="P12" s="89"/>
      <c r="Q12" s="90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12.75" customHeight="1" outlineLevel="1" x14ac:dyDescent="0.25">
      <c r="A13" s="66" t="s">
        <v>277</v>
      </c>
      <c r="B13" s="66" t="s">
        <v>278</v>
      </c>
      <c r="C13" s="66" t="s">
        <v>279</v>
      </c>
      <c r="D13" s="66" t="s">
        <v>280</v>
      </c>
      <c r="E13" s="66" t="s">
        <v>281</v>
      </c>
      <c r="F13" s="87" t="s">
        <v>5</v>
      </c>
      <c r="G13" s="88">
        <v>46244.708333333336</v>
      </c>
      <c r="H13" s="87" t="s">
        <v>76</v>
      </c>
      <c r="I13" s="87" t="s">
        <v>5</v>
      </c>
      <c r="J13" s="88">
        <v>46244.708333333336</v>
      </c>
      <c r="K13" s="87" t="s">
        <v>76</v>
      </c>
      <c r="L13" s="87" t="s">
        <v>12</v>
      </c>
      <c r="M13" s="88"/>
      <c r="N13" s="87"/>
      <c r="O13" s="87"/>
      <c r="P13" s="86"/>
      <c r="Q13" s="90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outlineLevel="1" x14ac:dyDescent="0.25">
      <c r="A14" s="66" t="s">
        <v>282</v>
      </c>
      <c r="B14" s="66" t="s">
        <v>283</v>
      </c>
      <c r="C14" s="66" t="s">
        <v>284</v>
      </c>
      <c r="D14" s="66" t="s">
        <v>285</v>
      </c>
      <c r="E14" s="66" t="s">
        <v>212</v>
      </c>
      <c r="F14" s="87" t="s">
        <v>5</v>
      </c>
      <c r="G14" s="88">
        <v>46244.708333333336</v>
      </c>
      <c r="H14" s="87" t="s">
        <v>76</v>
      </c>
      <c r="I14" s="87" t="s">
        <v>5</v>
      </c>
      <c r="J14" s="88">
        <v>46244.708333333336</v>
      </c>
      <c r="K14" s="87" t="s">
        <v>76</v>
      </c>
      <c r="L14" s="87" t="s">
        <v>12</v>
      </c>
      <c r="M14" s="88"/>
      <c r="N14" s="87"/>
      <c r="O14" s="87"/>
      <c r="P14" s="86"/>
      <c r="Q14" s="90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44" t="s">
        <v>286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6"/>
      <c r="P15" s="86"/>
      <c r="Q15" s="7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outlineLevel="1" x14ac:dyDescent="0.25">
      <c r="A16" s="66" t="s">
        <v>287</v>
      </c>
      <c r="B16" s="66" t="s">
        <v>288</v>
      </c>
      <c r="C16" s="66" t="s">
        <v>289</v>
      </c>
      <c r="D16" s="66" t="s">
        <v>290</v>
      </c>
      <c r="E16" s="66" t="s">
        <v>291</v>
      </c>
      <c r="F16" s="87" t="s">
        <v>5</v>
      </c>
      <c r="G16" s="88">
        <v>46244.708333333336</v>
      </c>
      <c r="H16" s="87" t="s">
        <v>91</v>
      </c>
      <c r="I16" s="87" t="s">
        <v>5</v>
      </c>
      <c r="J16" s="88">
        <v>46244.708333333336</v>
      </c>
      <c r="K16" s="87" t="s">
        <v>91</v>
      </c>
      <c r="L16" s="87" t="s">
        <v>12</v>
      </c>
      <c r="M16" s="88"/>
      <c r="N16" s="87"/>
      <c r="O16" s="87"/>
      <c r="P16" s="86"/>
      <c r="Q16" s="90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outlineLevel="1" x14ac:dyDescent="0.25">
      <c r="A17" s="66" t="s">
        <v>292</v>
      </c>
      <c r="B17" s="66" t="s">
        <v>293</v>
      </c>
      <c r="C17" s="66" t="s">
        <v>294</v>
      </c>
      <c r="D17" s="66" t="s">
        <v>295</v>
      </c>
      <c r="E17" s="66" t="s">
        <v>296</v>
      </c>
      <c r="F17" s="87" t="s">
        <v>5</v>
      </c>
      <c r="G17" s="88">
        <v>46244.708333333336</v>
      </c>
      <c r="H17" s="87" t="s">
        <v>91</v>
      </c>
      <c r="I17" s="87" t="s">
        <v>5</v>
      </c>
      <c r="J17" s="88">
        <v>46244.708333333336</v>
      </c>
      <c r="K17" s="87" t="s">
        <v>91</v>
      </c>
      <c r="L17" s="87" t="s">
        <v>12</v>
      </c>
      <c r="M17" s="88"/>
      <c r="N17" s="87"/>
      <c r="O17" s="87"/>
      <c r="P17" s="86"/>
      <c r="Q17" s="7"/>
      <c r="R17" s="1"/>
      <c r="S17" s="1"/>
      <c r="T17" s="1"/>
      <c r="U17" s="1"/>
      <c r="V17" s="1"/>
      <c r="W17" s="1"/>
      <c r="X17" s="1"/>
      <c r="Y17" s="1"/>
      <c r="Z17" s="1"/>
    </row>
    <row r="18" spans="1:26" ht="51" customHeight="1" outlineLevel="1" x14ac:dyDescent="0.25">
      <c r="A18" s="66" t="s">
        <v>297</v>
      </c>
      <c r="B18" s="66" t="s">
        <v>298</v>
      </c>
      <c r="C18" s="66" t="s">
        <v>299</v>
      </c>
      <c r="D18" s="66" t="s">
        <v>300</v>
      </c>
      <c r="E18" s="66" t="s">
        <v>301</v>
      </c>
      <c r="F18" s="87" t="s">
        <v>5</v>
      </c>
      <c r="G18" s="88">
        <v>46244.708333333336</v>
      </c>
      <c r="H18" s="87" t="s">
        <v>91</v>
      </c>
      <c r="I18" s="87" t="s">
        <v>5</v>
      </c>
      <c r="J18" s="88">
        <v>46244.708333333336</v>
      </c>
      <c r="K18" s="87" t="s">
        <v>91</v>
      </c>
      <c r="L18" s="87" t="s">
        <v>12</v>
      </c>
      <c r="M18" s="88"/>
      <c r="N18" s="87"/>
      <c r="O18" s="97"/>
      <c r="P18" s="81"/>
      <c r="Q18" s="83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 outlineLevel="1" x14ac:dyDescent="0.25">
      <c r="A19" s="66" t="s">
        <v>302</v>
      </c>
      <c r="B19" s="66" t="s">
        <v>303</v>
      </c>
      <c r="C19" s="66" t="s">
        <v>304</v>
      </c>
      <c r="D19" s="66" t="s">
        <v>305</v>
      </c>
      <c r="E19" s="66" t="s">
        <v>306</v>
      </c>
      <c r="F19" s="87" t="s">
        <v>5</v>
      </c>
      <c r="G19" s="88">
        <v>46244.708333333336</v>
      </c>
      <c r="H19" s="87" t="s">
        <v>91</v>
      </c>
      <c r="I19" s="87" t="s">
        <v>5</v>
      </c>
      <c r="J19" s="88">
        <v>46244.708333333336</v>
      </c>
      <c r="K19" s="87" t="s">
        <v>91</v>
      </c>
      <c r="L19" s="87" t="s">
        <v>12</v>
      </c>
      <c r="M19" s="88"/>
      <c r="N19" s="87"/>
      <c r="O19" s="87"/>
      <c r="P19" s="86"/>
      <c r="Q19" s="90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44" t="s">
        <v>307</v>
      </c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6"/>
      <c r="P20" s="86"/>
      <c r="Q20" s="7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outlineLevel="1" x14ac:dyDescent="0.25">
      <c r="A21" s="66" t="s">
        <v>308</v>
      </c>
      <c r="B21" s="66" t="s">
        <v>309</v>
      </c>
      <c r="C21" s="66" t="s">
        <v>310</v>
      </c>
      <c r="D21" s="66" t="s">
        <v>311</v>
      </c>
      <c r="E21" s="66" t="s">
        <v>312</v>
      </c>
      <c r="F21" s="87" t="s">
        <v>5</v>
      </c>
      <c r="G21" s="88">
        <v>46244.708333333336</v>
      </c>
      <c r="H21" s="87" t="s">
        <v>76</v>
      </c>
      <c r="I21" s="87" t="s">
        <v>5</v>
      </c>
      <c r="J21" s="88">
        <v>46244.708333333336</v>
      </c>
      <c r="K21" s="87" t="s">
        <v>76</v>
      </c>
      <c r="L21" s="87" t="s">
        <v>12</v>
      </c>
      <c r="M21" s="88"/>
      <c r="N21" s="87"/>
      <c r="O21" s="87"/>
      <c r="P21" s="86"/>
      <c r="Q21" s="7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outlineLevel="1" x14ac:dyDescent="0.25">
      <c r="A22" s="66" t="s">
        <v>313</v>
      </c>
      <c r="B22" s="66" t="s">
        <v>314</v>
      </c>
      <c r="C22" s="66" t="s">
        <v>315</v>
      </c>
      <c r="D22" s="66" t="s">
        <v>316</v>
      </c>
      <c r="E22" s="66" t="s">
        <v>317</v>
      </c>
      <c r="F22" s="87" t="s">
        <v>5</v>
      </c>
      <c r="G22" s="88">
        <v>46244.708333333336</v>
      </c>
      <c r="H22" s="87" t="s">
        <v>76</v>
      </c>
      <c r="I22" s="87" t="s">
        <v>5</v>
      </c>
      <c r="J22" s="88">
        <v>46244.708333333336</v>
      </c>
      <c r="K22" s="87" t="s">
        <v>76</v>
      </c>
      <c r="L22" s="87" t="s">
        <v>12</v>
      </c>
      <c r="M22" s="88"/>
      <c r="N22" s="87"/>
      <c r="O22" s="87"/>
      <c r="P22" s="86"/>
      <c r="Q22" s="7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"/>
      <c r="Q23" s="7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6"/>
      <c r="G24" s="6"/>
      <c r="H24" s="6"/>
      <c r="I24" s="6"/>
      <c r="J24" s="6"/>
      <c r="K24" s="6"/>
      <c r="L24" s="6"/>
      <c r="M24" s="6"/>
      <c r="N24" s="6"/>
      <c r="O24" s="6"/>
      <c r="P24" s="1"/>
      <c r="Q24" s="7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6"/>
      <c r="G25" s="6"/>
      <c r="H25" s="6"/>
      <c r="I25" s="6"/>
      <c r="J25" s="6"/>
      <c r="K25" s="6"/>
      <c r="L25" s="6"/>
      <c r="M25" s="6"/>
      <c r="N25" s="6"/>
      <c r="O25" s="6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6"/>
      <c r="G26" s="6"/>
      <c r="H26" s="6"/>
      <c r="I26" s="6"/>
      <c r="J26" s="6"/>
      <c r="K26" s="6"/>
      <c r="L26" s="6"/>
      <c r="M26" s="6"/>
      <c r="N26" s="6"/>
      <c r="O26" s="6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6"/>
      <c r="G27" s="6"/>
      <c r="H27" s="6"/>
      <c r="I27" s="6"/>
      <c r="J27" s="6"/>
      <c r="K27" s="6"/>
      <c r="L27" s="6"/>
      <c r="M27" s="6"/>
      <c r="N27" s="6"/>
      <c r="O27" s="6"/>
      <c r="P27" s="1"/>
      <c r="Q27" s="7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6"/>
      <c r="G28" s="6"/>
      <c r="H28" s="6"/>
      <c r="I28" s="6"/>
      <c r="J28" s="6"/>
      <c r="K28" s="6"/>
      <c r="L28" s="6"/>
      <c r="M28" s="6"/>
      <c r="N28" s="6"/>
      <c r="O28" s="6"/>
      <c r="P28" s="1"/>
      <c r="Q28" s="7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6"/>
      <c r="G29" s="6"/>
      <c r="H29" s="6"/>
      <c r="I29" s="6"/>
      <c r="J29" s="6"/>
      <c r="K29" s="6"/>
      <c r="L29" s="6"/>
      <c r="M29" s="6"/>
      <c r="N29" s="6"/>
      <c r="O29" s="6"/>
      <c r="P29" s="1"/>
      <c r="Q29" s="7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6"/>
      <c r="G30" s="6"/>
      <c r="H30" s="6"/>
      <c r="I30" s="6"/>
      <c r="J30" s="6"/>
      <c r="K30" s="6"/>
      <c r="L30" s="6"/>
      <c r="M30" s="6"/>
      <c r="N30" s="6"/>
      <c r="O30" s="6"/>
      <c r="P30" s="1"/>
      <c r="Q30" s="7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6"/>
      <c r="G31" s="6"/>
      <c r="H31" s="6"/>
      <c r="I31" s="6"/>
      <c r="J31" s="6"/>
      <c r="K31" s="6"/>
      <c r="L31" s="6"/>
      <c r="M31" s="6"/>
      <c r="N31" s="6"/>
      <c r="O31" s="6"/>
      <c r="P31" s="1"/>
      <c r="Q31" s="7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6"/>
      <c r="G32" s="6"/>
      <c r="H32" s="6"/>
      <c r="I32" s="6"/>
      <c r="J32" s="6"/>
      <c r="K32" s="6"/>
      <c r="L32" s="6"/>
      <c r="M32" s="6"/>
      <c r="N32" s="6"/>
      <c r="O32" s="6"/>
      <c r="P32" s="1"/>
      <c r="Q32" s="7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6"/>
      <c r="G33" s="6"/>
      <c r="H33" s="6"/>
      <c r="I33" s="6"/>
      <c r="J33" s="6"/>
      <c r="K33" s="6"/>
      <c r="L33" s="6"/>
      <c r="M33" s="6"/>
      <c r="N33" s="6"/>
      <c r="O33" s="6"/>
      <c r="P33" s="1"/>
      <c r="Q33" s="7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6"/>
      <c r="G34" s="6"/>
      <c r="H34" s="6"/>
      <c r="I34" s="6"/>
      <c r="J34" s="6"/>
      <c r="K34" s="6"/>
      <c r="L34" s="6"/>
      <c r="M34" s="6"/>
      <c r="N34" s="6"/>
      <c r="O34" s="6"/>
      <c r="P34" s="1"/>
      <c r="Q34" s="7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6"/>
      <c r="G35" s="6"/>
      <c r="H35" s="6"/>
      <c r="I35" s="6"/>
      <c r="J35" s="6"/>
      <c r="K35" s="6"/>
      <c r="L35" s="6"/>
      <c r="M35" s="6"/>
      <c r="N35" s="6"/>
      <c r="O35" s="6"/>
      <c r="P35" s="1"/>
      <c r="Q35" s="7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6"/>
      <c r="G36" s="6"/>
      <c r="H36" s="6"/>
      <c r="I36" s="6"/>
      <c r="J36" s="6"/>
      <c r="K36" s="6"/>
      <c r="L36" s="6"/>
      <c r="M36" s="6"/>
      <c r="N36" s="6"/>
      <c r="O36" s="6"/>
      <c r="P36" s="1"/>
      <c r="Q36" s="7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1"/>
      <c r="Q37" s="7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1"/>
      <c r="Q38" s="7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1"/>
      <c r="Q39" s="7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6"/>
      <c r="G40" s="6"/>
      <c r="H40" s="6"/>
      <c r="I40" s="6"/>
      <c r="J40" s="6"/>
      <c r="K40" s="6"/>
      <c r="L40" s="6"/>
      <c r="M40" s="6"/>
      <c r="N40" s="6"/>
      <c r="O40" s="6"/>
      <c r="P40" s="1"/>
      <c r="Q40" s="7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6"/>
      <c r="P41" s="1"/>
      <c r="Q41" s="7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6"/>
      <c r="P42" s="1"/>
      <c r="Q42" s="7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6"/>
      <c r="G43" s="6"/>
      <c r="H43" s="6"/>
      <c r="I43" s="6"/>
      <c r="J43" s="6"/>
      <c r="K43" s="6"/>
      <c r="L43" s="6"/>
      <c r="M43" s="6"/>
      <c r="N43" s="6"/>
      <c r="O43" s="6"/>
      <c r="P43" s="1"/>
      <c r="Q43" s="7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6"/>
      <c r="G44" s="6"/>
      <c r="H44" s="6"/>
      <c r="I44" s="6"/>
      <c r="J44" s="6"/>
      <c r="K44" s="6"/>
      <c r="L44" s="6"/>
      <c r="M44" s="6"/>
      <c r="N44" s="6"/>
      <c r="O44" s="6"/>
      <c r="P44" s="1"/>
      <c r="Q44" s="7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6"/>
      <c r="G45" s="6"/>
      <c r="H45" s="6"/>
      <c r="I45" s="6"/>
      <c r="J45" s="6"/>
      <c r="K45" s="6"/>
      <c r="L45" s="6"/>
      <c r="M45" s="6"/>
      <c r="N45" s="6"/>
      <c r="O45" s="6"/>
      <c r="P45" s="1"/>
      <c r="Q45" s="7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6"/>
      <c r="G46" s="6"/>
      <c r="H46" s="6"/>
      <c r="I46" s="6"/>
      <c r="J46" s="6"/>
      <c r="K46" s="6"/>
      <c r="L46" s="6"/>
      <c r="M46" s="6"/>
      <c r="N46" s="6"/>
      <c r="O46" s="6"/>
      <c r="P46" s="1"/>
      <c r="Q46" s="7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6"/>
      <c r="G47" s="6"/>
      <c r="H47" s="6"/>
      <c r="I47" s="6"/>
      <c r="J47" s="6"/>
      <c r="K47" s="6"/>
      <c r="L47" s="6"/>
      <c r="M47" s="6"/>
      <c r="N47" s="6"/>
      <c r="O47" s="6"/>
      <c r="P47" s="1"/>
      <c r="Q47" s="7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6"/>
      <c r="G48" s="6"/>
      <c r="H48" s="6"/>
      <c r="I48" s="6"/>
      <c r="J48" s="6"/>
      <c r="K48" s="6"/>
      <c r="L48" s="6"/>
      <c r="M48" s="6"/>
      <c r="N48" s="6"/>
      <c r="O48" s="6"/>
      <c r="P48" s="1"/>
      <c r="Q48" s="7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6"/>
      <c r="P49" s="1"/>
      <c r="Q49" s="7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6"/>
      <c r="P50" s="1"/>
      <c r="Q50" s="7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6"/>
      <c r="P51" s="1"/>
      <c r="Q51" s="7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6"/>
      <c r="P52" s="1"/>
      <c r="Q52" s="7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6"/>
      <c r="P53" s="1"/>
      <c r="Q53" s="7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6"/>
      <c r="P54" s="1"/>
      <c r="Q54" s="7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6"/>
      <c r="P55" s="1"/>
      <c r="Q55" s="7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6"/>
      <c r="G56" s="6"/>
      <c r="H56" s="6"/>
      <c r="I56" s="6"/>
      <c r="J56" s="6"/>
      <c r="K56" s="6"/>
      <c r="L56" s="6"/>
      <c r="M56" s="6"/>
      <c r="N56" s="6"/>
      <c r="O56" s="6"/>
      <c r="P56" s="1"/>
      <c r="Q56" s="7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6"/>
      <c r="G57" s="6"/>
      <c r="H57" s="6"/>
      <c r="I57" s="6"/>
      <c r="J57" s="6"/>
      <c r="K57" s="6"/>
      <c r="L57" s="6"/>
      <c r="M57" s="6"/>
      <c r="N57" s="6"/>
      <c r="O57" s="6"/>
      <c r="P57" s="1"/>
      <c r="Q57" s="7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6"/>
      <c r="G58" s="6"/>
      <c r="H58" s="6"/>
      <c r="I58" s="6"/>
      <c r="J58" s="6"/>
      <c r="K58" s="6"/>
      <c r="L58" s="6"/>
      <c r="M58" s="6"/>
      <c r="N58" s="6"/>
      <c r="O58" s="6"/>
      <c r="P58" s="1"/>
      <c r="Q58" s="7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6"/>
      <c r="G59" s="6"/>
      <c r="H59" s="6"/>
      <c r="I59" s="6"/>
      <c r="J59" s="6"/>
      <c r="K59" s="6"/>
      <c r="L59" s="6"/>
      <c r="M59" s="6"/>
      <c r="N59" s="6"/>
      <c r="O59" s="6"/>
      <c r="P59" s="1"/>
      <c r="Q59" s="7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6"/>
      <c r="G60" s="6"/>
      <c r="H60" s="6"/>
      <c r="I60" s="6"/>
      <c r="J60" s="6"/>
      <c r="K60" s="6"/>
      <c r="L60" s="6"/>
      <c r="M60" s="6"/>
      <c r="N60" s="6"/>
      <c r="O60" s="6"/>
      <c r="P60" s="1"/>
      <c r="Q60" s="7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6"/>
      <c r="G61" s="6"/>
      <c r="H61" s="6"/>
      <c r="I61" s="6"/>
      <c r="J61" s="6"/>
      <c r="K61" s="6"/>
      <c r="L61" s="6"/>
      <c r="M61" s="6"/>
      <c r="N61" s="6"/>
      <c r="O61" s="6"/>
      <c r="P61" s="1"/>
      <c r="Q61" s="7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6"/>
      <c r="P62" s="1"/>
      <c r="Q62" s="7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6"/>
      <c r="P63" s="1"/>
      <c r="Q63" s="7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6"/>
      <c r="P64" s="1"/>
      <c r="Q64" s="7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6"/>
      <c r="G65" s="6"/>
      <c r="H65" s="6"/>
      <c r="I65" s="6"/>
      <c r="J65" s="6"/>
      <c r="K65" s="6"/>
      <c r="L65" s="6"/>
      <c r="M65" s="6"/>
      <c r="N65" s="6"/>
      <c r="O65" s="6"/>
      <c r="P65" s="1"/>
      <c r="Q65" s="7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6"/>
      <c r="G66" s="6"/>
      <c r="H66" s="6"/>
      <c r="I66" s="6"/>
      <c r="J66" s="6"/>
      <c r="K66" s="6"/>
      <c r="L66" s="6"/>
      <c r="M66" s="6"/>
      <c r="N66" s="6"/>
      <c r="O66" s="6"/>
      <c r="P66" s="1"/>
      <c r="Q66" s="7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6"/>
      <c r="G67" s="6"/>
      <c r="H67" s="6"/>
      <c r="I67" s="6"/>
      <c r="J67" s="6"/>
      <c r="K67" s="6"/>
      <c r="L67" s="6"/>
      <c r="M67" s="6"/>
      <c r="N67" s="6"/>
      <c r="O67" s="6"/>
      <c r="P67" s="1"/>
      <c r="Q67" s="7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6"/>
      <c r="G68" s="6"/>
      <c r="H68" s="6"/>
      <c r="I68" s="6"/>
      <c r="J68" s="6"/>
      <c r="K68" s="6"/>
      <c r="L68" s="6"/>
      <c r="M68" s="6"/>
      <c r="N68" s="6"/>
      <c r="O68" s="6"/>
      <c r="P68" s="1"/>
      <c r="Q68" s="7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6"/>
      <c r="G69" s="6"/>
      <c r="H69" s="6"/>
      <c r="I69" s="6"/>
      <c r="J69" s="6"/>
      <c r="K69" s="6"/>
      <c r="L69" s="6"/>
      <c r="M69" s="6"/>
      <c r="N69" s="6"/>
      <c r="O69" s="6"/>
      <c r="P69" s="1"/>
      <c r="Q69" s="7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6"/>
      <c r="G70" s="6"/>
      <c r="H70" s="6"/>
      <c r="I70" s="6"/>
      <c r="J70" s="6"/>
      <c r="K70" s="6"/>
      <c r="L70" s="6"/>
      <c r="M70" s="6"/>
      <c r="N70" s="6"/>
      <c r="O70" s="6"/>
      <c r="P70" s="1"/>
      <c r="Q70" s="7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6"/>
      <c r="G71" s="6"/>
      <c r="H71" s="6"/>
      <c r="I71" s="6"/>
      <c r="J71" s="6"/>
      <c r="K71" s="6"/>
      <c r="L71" s="6"/>
      <c r="M71" s="6"/>
      <c r="N71" s="6"/>
      <c r="O71" s="6"/>
      <c r="P71" s="1"/>
      <c r="Q71" s="7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6"/>
      <c r="G72" s="6"/>
      <c r="H72" s="6"/>
      <c r="I72" s="6"/>
      <c r="J72" s="6"/>
      <c r="K72" s="6"/>
      <c r="L72" s="6"/>
      <c r="M72" s="6"/>
      <c r="N72" s="6"/>
      <c r="O72" s="6"/>
      <c r="P72" s="1"/>
      <c r="Q72" s="7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6"/>
      <c r="G73" s="6"/>
      <c r="H73" s="6"/>
      <c r="I73" s="6"/>
      <c r="J73" s="6"/>
      <c r="K73" s="6"/>
      <c r="L73" s="6"/>
      <c r="M73" s="6"/>
      <c r="N73" s="6"/>
      <c r="O73" s="6"/>
      <c r="P73" s="1"/>
      <c r="Q73" s="7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6"/>
      <c r="G74" s="6"/>
      <c r="H74" s="6"/>
      <c r="I74" s="6"/>
      <c r="J74" s="6"/>
      <c r="K74" s="6"/>
      <c r="L74" s="6"/>
      <c r="M74" s="6"/>
      <c r="N74" s="6"/>
      <c r="O74" s="6"/>
      <c r="P74" s="1"/>
      <c r="Q74" s="7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6"/>
      <c r="G75" s="6"/>
      <c r="H75" s="6"/>
      <c r="I75" s="6"/>
      <c r="J75" s="6"/>
      <c r="K75" s="6"/>
      <c r="L75" s="6"/>
      <c r="M75" s="6"/>
      <c r="N75" s="6"/>
      <c r="O75" s="6"/>
      <c r="P75" s="1"/>
      <c r="Q75" s="7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6"/>
      <c r="G76" s="6"/>
      <c r="H76" s="6"/>
      <c r="I76" s="6"/>
      <c r="J76" s="6"/>
      <c r="K76" s="6"/>
      <c r="L76" s="6"/>
      <c r="M76" s="6"/>
      <c r="N76" s="6"/>
      <c r="O76" s="6"/>
      <c r="P76" s="1"/>
      <c r="Q76" s="7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6"/>
      <c r="G77" s="6"/>
      <c r="H77" s="6"/>
      <c r="I77" s="6"/>
      <c r="J77" s="6"/>
      <c r="K77" s="6"/>
      <c r="L77" s="6"/>
      <c r="M77" s="6"/>
      <c r="N77" s="6"/>
      <c r="O77" s="6"/>
      <c r="P77" s="1"/>
      <c r="Q77" s="7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6"/>
      <c r="G78" s="6"/>
      <c r="H78" s="6"/>
      <c r="I78" s="6"/>
      <c r="J78" s="6"/>
      <c r="K78" s="6"/>
      <c r="L78" s="6"/>
      <c r="M78" s="6"/>
      <c r="N78" s="6"/>
      <c r="O78" s="6"/>
      <c r="P78" s="1"/>
      <c r="Q78" s="7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6"/>
      <c r="G79" s="6"/>
      <c r="H79" s="6"/>
      <c r="I79" s="6"/>
      <c r="J79" s="6"/>
      <c r="K79" s="6"/>
      <c r="L79" s="6"/>
      <c r="M79" s="6"/>
      <c r="N79" s="6"/>
      <c r="O79" s="6"/>
      <c r="P79" s="1"/>
      <c r="Q79" s="7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6"/>
      <c r="G80" s="6"/>
      <c r="H80" s="6"/>
      <c r="I80" s="6"/>
      <c r="J80" s="6"/>
      <c r="K80" s="6"/>
      <c r="L80" s="6"/>
      <c r="M80" s="6"/>
      <c r="N80" s="6"/>
      <c r="O80" s="6"/>
      <c r="P80" s="1"/>
      <c r="Q80" s="7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6"/>
      <c r="G81" s="6"/>
      <c r="H81" s="6"/>
      <c r="I81" s="6"/>
      <c r="J81" s="6"/>
      <c r="K81" s="6"/>
      <c r="L81" s="6"/>
      <c r="M81" s="6"/>
      <c r="N81" s="6"/>
      <c r="O81" s="6"/>
      <c r="P81" s="1"/>
      <c r="Q81" s="7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6"/>
      <c r="G82" s="6"/>
      <c r="H82" s="6"/>
      <c r="I82" s="6"/>
      <c r="J82" s="6"/>
      <c r="K82" s="6"/>
      <c r="L82" s="6"/>
      <c r="M82" s="6"/>
      <c r="N82" s="6"/>
      <c r="O82" s="6"/>
      <c r="P82" s="1"/>
      <c r="Q82" s="7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6"/>
      <c r="P83" s="1"/>
      <c r="Q83" s="7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6"/>
      <c r="P84" s="1"/>
      <c r="Q84" s="7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6"/>
      <c r="P85" s="1"/>
      <c r="Q85" s="7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6"/>
      <c r="G86" s="6"/>
      <c r="H86" s="6"/>
      <c r="I86" s="6"/>
      <c r="J86" s="6"/>
      <c r="K86" s="6"/>
      <c r="L86" s="6"/>
      <c r="M86" s="6"/>
      <c r="N86" s="6"/>
      <c r="O86" s="6"/>
      <c r="P86" s="1"/>
      <c r="Q86" s="7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6"/>
      <c r="G87" s="6"/>
      <c r="H87" s="6"/>
      <c r="I87" s="6"/>
      <c r="J87" s="6"/>
      <c r="K87" s="6"/>
      <c r="L87" s="6"/>
      <c r="M87" s="6"/>
      <c r="N87" s="6"/>
      <c r="O87" s="6"/>
      <c r="P87" s="1"/>
      <c r="Q87" s="7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6"/>
      <c r="G88" s="6"/>
      <c r="H88" s="6"/>
      <c r="I88" s="6"/>
      <c r="J88" s="6"/>
      <c r="K88" s="6"/>
      <c r="L88" s="6"/>
      <c r="M88" s="6"/>
      <c r="N88" s="6"/>
      <c r="O88" s="6"/>
      <c r="P88" s="1"/>
      <c r="Q88" s="7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6"/>
      <c r="G89" s="6"/>
      <c r="H89" s="6"/>
      <c r="I89" s="6"/>
      <c r="J89" s="6"/>
      <c r="K89" s="6"/>
      <c r="L89" s="6"/>
      <c r="M89" s="6"/>
      <c r="N89" s="6"/>
      <c r="O89" s="6"/>
      <c r="P89" s="1"/>
      <c r="Q89" s="7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6"/>
      <c r="G90" s="6"/>
      <c r="H90" s="6"/>
      <c r="I90" s="6"/>
      <c r="J90" s="6"/>
      <c r="K90" s="6"/>
      <c r="L90" s="6"/>
      <c r="M90" s="6"/>
      <c r="N90" s="6"/>
      <c r="O90" s="6"/>
      <c r="P90" s="1"/>
      <c r="Q90" s="7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6"/>
      <c r="G91" s="6"/>
      <c r="H91" s="6"/>
      <c r="I91" s="6"/>
      <c r="J91" s="6"/>
      <c r="K91" s="6"/>
      <c r="L91" s="6"/>
      <c r="M91" s="6"/>
      <c r="N91" s="6"/>
      <c r="O91" s="6"/>
      <c r="P91" s="1"/>
      <c r="Q91" s="7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6"/>
      <c r="G92" s="6"/>
      <c r="H92" s="6"/>
      <c r="I92" s="6"/>
      <c r="J92" s="6"/>
      <c r="K92" s="6"/>
      <c r="L92" s="6"/>
      <c r="M92" s="6"/>
      <c r="N92" s="6"/>
      <c r="O92" s="6"/>
      <c r="P92" s="1"/>
      <c r="Q92" s="7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6"/>
      <c r="G93" s="6"/>
      <c r="H93" s="6"/>
      <c r="I93" s="6"/>
      <c r="J93" s="6"/>
      <c r="K93" s="6"/>
      <c r="L93" s="6"/>
      <c r="M93" s="6"/>
      <c r="N93" s="6"/>
      <c r="O93" s="6"/>
      <c r="P93" s="1"/>
      <c r="Q93" s="7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6"/>
      <c r="G94" s="6"/>
      <c r="H94" s="6"/>
      <c r="I94" s="6"/>
      <c r="J94" s="6"/>
      <c r="K94" s="6"/>
      <c r="L94" s="6"/>
      <c r="M94" s="6"/>
      <c r="N94" s="6"/>
      <c r="O94" s="6"/>
      <c r="P94" s="1"/>
      <c r="Q94" s="7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6"/>
      <c r="G95" s="6"/>
      <c r="H95" s="6"/>
      <c r="I95" s="6"/>
      <c r="J95" s="6"/>
      <c r="K95" s="6"/>
      <c r="L95" s="6"/>
      <c r="M95" s="6"/>
      <c r="N95" s="6"/>
      <c r="O95" s="6"/>
      <c r="P95" s="1"/>
      <c r="Q95" s="7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6"/>
      <c r="G96" s="6"/>
      <c r="H96" s="6"/>
      <c r="I96" s="6"/>
      <c r="J96" s="6"/>
      <c r="K96" s="6"/>
      <c r="L96" s="6"/>
      <c r="M96" s="6"/>
      <c r="N96" s="6"/>
      <c r="O96" s="6"/>
      <c r="P96" s="1"/>
      <c r="Q96" s="7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6"/>
      <c r="G97" s="6"/>
      <c r="H97" s="6"/>
      <c r="I97" s="6"/>
      <c r="J97" s="6"/>
      <c r="K97" s="6"/>
      <c r="L97" s="6"/>
      <c r="M97" s="6"/>
      <c r="N97" s="6"/>
      <c r="O97" s="6"/>
      <c r="P97" s="1"/>
      <c r="Q97" s="7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6"/>
      <c r="G98" s="6"/>
      <c r="H98" s="6"/>
      <c r="I98" s="6"/>
      <c r="J98" s="6"/>
      <c r="K98" s="6"/>
      <c r="L98" s="6"/>
      <c r="M98" s="6"/>
      <c r="N98" s="6"/>
      <c r="O98" s="6"/>
      <c r="P98" s="1"/>
      <c r="Q98" s="7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6"/>
      <c r="G99" s="6"/>
      <c r="H99" s="6"/>
      <c r="I99" s="6"/>
      <c r="J99" s="6"/>
      <c r="K99" s="6"/>
      <c r="L99" s="6"/>
      <c r="M99" s="6"/>
      <c r="N99" s="6"/>
      <c r="O99" s="6"/>
      <c r="P99" s="1"/>
      <c r="Q99" s="7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1"/>
      <c r="Q100" s="7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1"/>
      <c r="Q101" s="7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1"/>
      <c r="Q102" s="7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1"/>
      <c r="Q103" s="7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1"/>
      <c r="Q104" s="7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1"/>
      <c r="Q105" s="7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1"/>
      <c r="Q106" s="7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1"/>
      <c r="Q107" s="7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1"/>
      <c r="Q108" s="7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1"/>
      <c r="Q109" s="7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1"/>
      <c r="Q110" s="7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1"/>
      <c r="Q111" s="7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1"/>
      <c r="Q112" s="7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1"/>
      <c r="Q113" s="7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1"/>
      <c r="Q114" s="7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1"/>
      <c r="Q115" s="7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1"/>
      <c r="Q116" s="7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1"/>
      <c r="Q117" s="7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1"/>
      <c r="Q118" s="7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1"/>
      <c r="Q119" s="7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1"/>
      <c r="Q120" s="7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1"/>
      <c r="Q121" s="7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1"/>
      <c r="Q122" s="7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1"/>
      <c r="Q123" s="7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1"/>
      <c r="Q124" s="7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1"/>
      <c r="Q125" s="7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1"/>
      <c r="Q126" s="7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1"/>
      <c r="Q127" s="7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1"/>
      <c r="Q128" s="7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1"/>
      <c r="Q129" s="7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1"/>
      <c r="Q130" s="7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1"/>
      <c r="Q131" s="7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1"/>
      <c r="Q132" s="7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1"/>
      <c r="Q133" s="7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1"/>
      <c r="Q134" s="7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1"/>
      <c r="Q135" s="7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1"/>
      <c r="Q136" s="7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1"/>
      <c r="Q137" s="7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1"/>
      <c r="Q138" s="7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1"/>
      <c r="Q139" s="7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1"/>
      <c r="Q140" s="7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1"/>
      <c r="Q141" s="7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1"/>
      <c r="Q142" s="7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1"/>
      <c r="Q143" s="7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1"/>
      <c r="Q144" s="7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1"/>
      <c r="Q145" s="7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1"/>
      <c r="Q146" s="7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1"/>
      <c r="Q147" s="7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1"/>
      <c r="Q148" s="7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1"/>
      <c r="Q149" s="7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1"/>
      <c r="Q150" s="7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1"/>
      <c r="Q151" s="7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1"/>
      <c r="Q152" s="7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1"/>
      <c r="Q153" s="7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1"/>
      <c r="Q154" s="7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1"/>
      <c r="Q155" s="7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1"/>
      <c r="Q156" s="7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1"/>
      <c r="Q157" s="7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1"/>
      <c r="Q158" s="7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1"/>
      <c r="Q159" s="7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1"/>
      <c r="Q160" s="7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1"/>
      <c r="Q161" s="7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1"/>
      <c r="Q162" s="7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1"/>
      <c r="Q163" s="7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1"/>
      <c r="Q164" s="7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1"/>
      <c r="Q165" s="7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1"/>
      <c r="Q166" s="7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1"/>
      <c r="Q167" s="7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1"/>
      <c r="Q168" s="7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1"/>
      <c r="Q169" s="7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1"/>
      <c r="Q170" s="7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1"/>
      <c r="Q171" s="7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1"/>
      <c r="Q172" s="7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1"/>
      <c r="Q173" s="7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1"/>
      <c r="Q174" s="7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1"/>
      <c r="Q175" s="7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1"/>
      <c r="Q176" s="7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1"/>
      <c r="Q177" s="7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1"/>
      <c r="Q178" s="7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1"/>
      <c r="Q179" s="7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1"/>
      <c r="Q180" s="7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1"/>
      <c r="Q181" s="7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1"/>
      <c r="Q182" s="7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1"/>
      <c r="Q183" s="7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1"/>
      <c r="Q184" s="7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1"/>
      <c r="Q185" s="7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1"/>
      <c r="Q186" s="7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1"/>
      <c r="Q187" s="7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1"/>
      <c r="Q188" s="7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1"/>
      <c r="Q189" s="7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1"/>
      <c r="Q190" s="7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1"/>
      <c r="Q191" s="7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1"/>
      <c r="Q192" s="7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1"/>
      <c r="Q193" s="7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1"/>
      <c r="Q194" s="7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1"/>
      <c r="Q195" s="7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1"/>
      <c r="Q196" s="7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1"/>
      <c r="Q197" s="7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1"/>
      <c r="Q198" s="7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1"/>
      <c r="Q199" s="7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1"/>
      <c r="Q200" s="7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1"/>
      <c r="Q201" s="7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1"/>
      <c r="Q202" s="7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1"/>
      <c r="Q203" s="7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1"/>
      <c r="Q204" s="7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1"/>
      <c r="Q205" s="7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1"/>
      <c r="Q206" s="7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1"/>
      <c r="Q207" s="7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1"/>
      <c r="Q208" s="7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1"/>
      <c r="Q209" s="7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1"/>
      <c r="Q210" s="7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1"/>
      <c r="Q211" s="7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1"/>
      <c r="Q212" s="7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1"/>
      <c r="Q213" s="7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1"/>
      <c r="Q214" s="7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1"/>
      <c r="Q215" s="7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1"/>
      <c r="Q216" s="7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1"/>
      <c r="Q217" s="7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1"/>
      <c r="Q218" s="7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1"/>
      <c r="Q219" s="7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1"/>
      <c r="Q220" s="7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1"/>
      <c r="Q221" s="7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1"/>
      <c r="Q222" s="7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1"/>
      <c r="Q223" s="7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1"/>
      <c r="Q224" s="7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1"/>
      <c r="Q225" s="7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1"/>
      <c r="Q226" s="7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1"/>
      <c r="Q227" s="7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1"/>
      <c r="Q228" s="7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1"/>
      <c r="Q229" s="7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1"/>
      <c r="Q230" s="7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1"/>
      <c r="Q231" s="7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1"/>
      <c r="Q232" s="7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1"/>
      <c r="Q233" s="7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1"/>
      <c r="Q234" s="7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1"/>
      <c r="Q235" s="7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1"/>
      <c r="Q236" s="7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1"/>
      <c r="Q237" s="7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1"/>
      <c r="Q238" s="7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1"/>
      <c r="Q239" s="7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1"/>
      <c r="Q240" s="7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1"/>
      <c r="Q241" s="7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1"/>
      <c r="Q242" s="7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1"/>
      <c r="Q243" s="7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1"/>
      <c r="Q244" s="7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1"/>
      <c r="Q245" s="7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1"/>
      <c r="Q246" s="7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1"/>
      <c r="Q247" s="7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1"/>
      <c r="Q248" s="7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1"/>
      <c r="Q249" s="7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1"/>
      <c r="Q250" s="7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1"/>
      <c r="Q251" s="7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1"/>
      <c r="Q252" s="7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1"/>
      <c r="Q253" s="7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1"/>
      <c r="Q254" s="7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1"/>
      <c r="Q255" s="7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1"/>
      <c r="Q256" s="7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1"/>
      <c r="Q257" s="7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1"/>
      <c r="Q258" s="7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1"/>
      <c r="Q259" s="7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1"/>
      <c r="Q260" s="7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1"/>
      <c r="Q261" s="7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1"/>
      <c r="Q262" s="7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1"/>
      <c r="Q263" s="7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1"/>
      <c r="Q264" s="7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1"/>
      <c r="Q265" s="7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1"/>
      <c r="Q266" s="7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1"/>
      <c r="Q267" s="7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1"/>
      <c r="Q268" s="7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1"/>
      <c r="Q269" s="7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1"/>
      <c r="Q270" s="7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1"/>
      <c r="Q271" s="7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1"/>
      <c r="Q272" s="7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1"/>
      <c r="Q273" s="7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1"/>
      <c r="Q274" s="7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1"/>
      <c r="Q275" s="7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1"/>
      <c r="Q276" s="7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1"/>
      <c r="Q277" s="7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1"/>
      <c r="Q278" s="7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1"/>
      <c r="Q279" s="7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1"/>
      <c r="Q280" s="7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1"/>
      <c r="Q281" s="7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1"/>
      <c r="Q282" s="7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1"/>
      <c r="Q283" s="7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1"/>
      <c r="Q284" s="7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1"/>
      <c r="Q285" s="7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1"/>
      <c r="Q286" s="7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1"/>
      <c r="Q287" s="7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1"/>
      <c r="Q288" s="7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1"/>
      <c r="Q289" s="7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1"/>
      <c r="Q290" s="7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1"/>
      <c r="Q291" s="7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1"/>
      <c r="Q292" s="7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1"/>
      <c r="Q293" s="7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1"/>
      <c r="Q294" s="7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1"/>
      <c r="Q295" s="7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1"/>
      <c r="Q296" s="7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1"/>
      <c r="Q297" s="7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1"/>
      <c r="Q298" s="7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1"/>
      <c r="Q299" s="7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1"/>
      <c r="Q300" s="7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1"/>
      <c r="Q301" s="7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1"/>
      <c r="Q302" s="7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1"/>
      <c r="Q303" s="7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1"/>
      <c r="Q304" s="7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1"/>
      <c r="Q305" s="7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1"/>
      <c r="Q306" s="7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1"/>
      <c r="Q307" s="7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1"/>
      <c r="Q308" s="7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1"/>
      <c r="Q309" s="7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1"/>
      <c r="Q310" s="7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1"/>
      <c r="Q311" s="7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1"/>
      <c r="Q312" s="7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1"/>
      <c r="Q313" s="7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1"/>
      <c r="Q314" s="7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1"/>
      <c r="Q315" s="7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1"/>
      <c r="Q316" s="7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1"/>
      <c r="Q317" s="7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1"/>
      <c r="Q318" s="7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1"/>
      <c r="Q319" s="7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1"/>
      <c r="Q320" s="7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1"/>
      <c r="Q321" s="7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1"/>
      <c r="Q322" s="7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1"/>
      <c r="Q323" s="7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1"/>
      <c r="Q324" s="7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1"/>
      <c r="Q325" s="7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1"/>
      <c r="Q326" s="7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1"/>
      <c r="Q327" s="7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1"/>
      <c r="Q328" s="7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1"/>
      <c r="Q329" s="7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1"/>
      <c r="Q330" s="7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1"/>
      <c r="Q331" s="7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1"/>
      <c r="Q332" s="7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1"/>
      <c r="Q333" s="7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1"/>
      <c r="Q334" s="7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1"/>
      <c r="Q335" s="7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1"/>
      <c r="Q336" s="7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1"/>
      <c r="Q337" s="7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1"/>
      <c r="Q338" s="7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1"/>
      <c r="Q339" s="7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1"/>
      <c r="Q340" s="7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1"/>
      <c r="Q341" s="7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1"/>
      <c r="Q342" s="7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1"/>
      <c r="Q343" s="7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1"/>
      <c r="Q344" s="7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1"/>
      <c r="Q345" s="7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1"/>
      <c r="Q346" s="7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1"/>
      <c r="Q347" s="7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1"/>
      <c r="Q348" s="7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1"/>
      <c r="Q349" s="7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1"/>
      <c r="Q350" s="7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1"/>
      <c r="Q351" s="7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1"/>
      <c r="Q352" s="7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1"/>
      <c r="Q353" s="7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1"/>
      <c r="Q354" s="7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1"/>
      <c r="Q355" s="7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1"/>
      <c r="Q356" s="7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1"/>
      <c r="Q357" s="7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1"/>
      <c r="Q358" s="7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1"/>
      <c r="Q359" s="7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1"/>
      <c r="Q360" s="7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1"/>
      <c r="Q361" s="7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1"/>
      <c r="Q362" s="7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1"/>
      <c r="Q363" s="7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1"/>
      <c r="Q364" s="7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1"/>
      <c r="Q365" s="7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1"/>
      <c r="Q366" s="7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1"/>
      <c r="Q367" s="7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1"/>
      <c r="Q368" s="7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1"/>
      <c r="Q369" s="7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1"/>
      <c r="Q370" s="7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1"/>
      <c r="Q371" s="7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1"/>
      <c r="Q372" s="7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1"/>
      <c r="Q373" s="7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1"/>
      <c r="Q374" s="7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1"/>
      <c r="Q375" s="7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1"/>
      <c r="Q376" s="7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1"/>
      <c r="Q377" s="7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1"/>
      <c r="Q378" s="7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1"/>
      <c r="Q379" s="7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1"/>
      <c r="Q380" s="7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1"/>
      <c r="Q381" s="7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1"/>
      <c r="Q382" s="7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1"/>
      <c r="Q383" s="7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1"/>
      <c r="Q384" s="7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1"/>
      <c r="Q385" s="7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1"/>
      <c r="Q386" s="7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1"/>
      <c r="Q387" s="7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1"/>
      <c r="Q388" s="7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1"/>
      <c r="Q389" s="7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1"/>
      <c r="Q390" s="7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1"/>
      <c r="Q391" s="7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1"/>
      <c r="Q392" s="7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1"/>
      <c r="Q393" s="7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1"/>
      <c r="Q394" s="7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1"/>
      <c r="Q395" s="7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1"/>
      <c r="Q396" s="7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1"/>
      <c r="Q397" s="7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1"/>
      <c r="Q398" s="7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1"/>
      <c r="Q399" s="7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1"/>
      <c r="Q400" s="7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1"/>
      <c r="Q401" s="7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1"/>
      <c r="Q402" s="7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1"/>
      <c r="Q403" s="7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1"/>
      <c r="Q404" s="7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1"/>
      <c r="Q405" s="7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1"/>
      <c r="Q406" s="7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1"/>
      <c r="Q407" s="7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1"/>
      <c r="Q408" s="7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1"/>
      <c r="Q409" s="7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1"/>
      <c r="Q410" s="7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1"/>
      <c r="Q411" s="7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1"/>
      <c r="Q412" s="7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1"/>
      <c r="Q413" s="7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1"/>
      <c r="Q414" s="7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1"/>
      <c r="Q415" s="7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1"/>
      <c r="Q416" s="7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1"/>
      <c r="Q417" s="7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1"/>
      <c r="Q418" s="7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1"/>
      <c r="Q419" s="7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1"/>
      <c r="Q420" s="7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1"/>
      <c r="Q421" s="7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1"/>
      <c r="Q422" s="7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1"/>
      <c r="Q423" s="7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1"/>
      <c r="Q424" s="7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1"/>
      <c r="Q425" s="7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1"/>
      <c r="Q426" s="7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1"/>
      <c r="Q427" s="7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1"/>
      <c r="Q428" s="7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1"/>
      <c r="Q429" s="7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1"/>
      <c r="Q430" s="7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1"/>
      <c r="Q431" s="7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1"/>
      <c r="Q432" s="7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1"/>
      <c r="Q433" s="7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1"/>
      <c r="Q434" s="7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1"/>
      <c r="Q435" s="7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1"/>
      <c r="Q436" s="7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1"/>
      <c r="Q437" s="7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1"/>
      <c r="Q438" s="7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1"/>
      <c r="Q439" s="7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1"/>
      <c r="Q440" s="7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1"/>
      <c r="Q441" s="7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1"/>
      <c r="Q442" s="7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1"/>
      <c r="Q443" s="7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1"/>
      <c r="Q444" s="7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1"/>
      <c r="Q445" s="7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1"/>
      <c r="Q446" s="7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1"/>
      <c r="Q447" s="7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1"/>
      <c r="Q448" s="7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1"/>
      <c r="Q449" s="7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1"/>
      <c r="Q450" s="7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1"/>
      <c r="Q451" s="7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1"/>
      <c r="Q452" s="7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1"/>
      <c r="Q453" s="7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1"/>
      <c r="Q454" s="7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1"/>
      <c r="Q455" s="7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1"/>
      <c r="Q456" s="7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1"/>
      <c r="Q457" s="7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1"/>
      <c r="Q458" s="7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1"/>
      <c r="Q459" s="7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1"/>
      <c r="Q460" s="7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1"/>
      <c r="Q461" s="7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1"/>
      <c r="Q462" s="7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1"/>
      <c r="Q463" s="7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1"/>
      <c r="Q464" s="7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1"/>
      <c r="Q465" s="7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1"/>
      <c r="Q466" s="7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1"/>
      <c r="Q467" s="7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1"/>
      <c r="Q468" s="7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1"/>
      <c r="Q469" s="7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1"/>
      <c r="Q470" s="7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1"/>
      <c r="Q471" s="7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1"/>
      <c r="Q472" s="7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1"/>
      <c r="Q473" s="7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1"/>
      <c r="Q474" s="7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1"/>
      <c r="Q475" s="7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1"/>
      <c r="Q476" s="7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1"/>
      <c r="Q477" s="7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1"/>
      <c r="Q478" s="7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1"/>
      <c r="Q479" s="7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1"/>
      <c r="Q480" s="7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1"/>
      <c r="Q481" s="7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1"/>
      <c r="Q482" s="7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1"/>
      <c r="Q483" s="7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1"/>
      <c r="Q484" s="7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1"/>
      <c r="Q485" s="7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1"/>
      <c r="Q486" s="7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1"/>
      <c r="Q487" s="7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1"/>
      <c r="Q488" s="7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1"/>
      <c r="Q489" s="7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1"/>
      <c r="Q490" s="7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1"/>
      <c r="Q491" s="7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1"/>
      <c r="Q492" s="7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1"/>
      <c r="Q493" s="7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1"/>
      <c r="Q494" s="7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1"/>
      <c r="Q495" s="7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1"/>
      <c r="Q496" s="7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1"/>
      <c r="Q497" s="7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1"/>
      <c r="Q498" s="7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1"/>
      <c r="Q499" s="7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1"/>
      <c r="Q500" s="7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1"/>
      <c r="Q501" s="7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1"/>
      <c r="Q502" s="7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1"/>
      <c r="Q503" s="7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1"/>
      <c r="Q504" s="7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1"/>
      <c r="Q505" s="7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1"/>
      <c r="Q506" s="7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1"/>
      <c r="Q507" s="7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1"/>
      <c r="Q508" s="7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1"/>
      <c r="Q509" s="7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1"/>
      <c r="Q510" s="7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1"/>
      <c r="Q511" s="7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1"/>
      <c r="Q512" s="7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1"/>
      <c r="Q513" s="7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1"/>
      <c r="Q514" s="7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1"/>
      <c r="Q515" s="7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1"/>
      <c r="Q516" s="7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1"/>
      <c r="Q517" s="7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1"/>
      <c r="Q518" s="7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1"/>
      <c r="Q519" s="7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1"/>
      <c r="Q520" s="7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1"/>
      <c r="Q521" s="7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1"/>
      <c r="Q522" s="7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1"/>
      <c r="Q523" s="7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1"/>
      <c r="Q524" s="7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1"/>
      <c r="Q525" s="7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1"/>
      <c r="Q526" s="7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1"/>
      <c r="Q527" s="7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1"/>
      <c r="Q528" s="7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1"/>
      <c r="Q529" s="7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1"/>
      <c r="Q530" s="7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1"/>
      <c r="Q531" s="7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1"/>
      <c r="Q532" s="7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1"/>
      <c r="Q533" s="7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1"/>
      <c r="Q534" s="7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1"/>
      <c r="Q535" s="7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1"/>
      <c r="Q536" s="7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1"/>
      <c r="Q537" s="7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1"/>
      <c r="Q538" s="7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1"/>
      <c r="Q539" s="7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1"/>
      <c r="Q540" s="7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1"/>
      <c r="Q541" s="7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1"/>
      <c r="Q542" s="7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1"/>
      <c r="Q543" s="7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1"/>
      <c r="Q544" s="7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1"/>
      <c r="Q545" s="7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1"/>
      <c r="Q546" s="7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1"/>
      <c r="Q547" s="7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1"/>
      <c r="Q548" s="7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1"/>
      <c r="Q549" s="7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1"/>
      <c r="Q550" s="7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1"/>
      <c r="Q551" s="7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1"/>
      <c r="Q552" s="7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1"/>
      <c r="Q553" s="7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1"/>
      <c r="Q554" s="7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1"/>
      <c r="Q555" s="7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1"/>
      <c r="Q556" s="7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1"/>
      <c r="Q557" s="7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1"/>
      <c r="Q558" s="7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1"/>
      <c r="Q559" s="7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1"/>
      <c r="Q560" s="7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1"/>
      <c r="Q561" s="7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1"/>
      <c r="Q562" s="7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1"/>
      <c r="Q563" s="7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1"/>
      <c r="Q564" s="7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1"/>
      <c r="Q565" s="7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1"/>
      <c r="Q566" s="7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1"/>
      <c r="Q567" s="7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1"/>
      <c r="Q568" s="7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1"/>
      <c r="Q569" s="7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1"/>
      <c r="Q570" s="7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1"/>
      <c r="Q571" s="7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1"/>
      <c r="Q572" s="7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1"/>
      <c r="Q573" s="7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1"/>
      <c r="Q574" s="7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1"/>
      <c r="Q575" s="7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1"/>
      <c r="Q576" s="7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1"/>
      <c r="Q577" s="7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1"/>
      <c r="Q578" s="7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1"/>
      <c r="Q579" s="7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1"/>
      <c r="Q580" s="7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1"/>
      <c r="Q581" s="7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1"/>
      <c r="Q582" s="7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1"/>
      <c r="Q583" s="7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1"/>
      <c r="Q584" s="7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1"/>
      <c r="Q585" s="7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1"/>
      <c r="Q586" s="7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1"/>
      <c r="Q587" s="7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1"/>
      <c r="Q588" s="7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1"/>
      <c r="Q589" s="7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1"/>
      <c r="Q590" s="7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1"/>
      <c r="Q591" s="7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1"/>
      <c r="Q592" s="7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1"/>
      <c r="Q593" s="7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1"/>
      <c r="Q594" s="7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1"/>
      <c r="Q595" s="7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1"/>
      <c r="Q596" s="7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1"/>
      <c r="Q597" s="7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1"/>
      <c r="Q598" s="7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1"/>
      <c r="Q599" s="7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1"/>
      <c r="Q600" s="7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1"/>
      <c r="Q601" s="7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1"/>
      <c r="Q602" s="7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1"/>
      <c r="Q603" s="7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1"/>
      <c r="Q604" s="7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1"/>
      <c r="Q605" s="7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1"/>
      <c r="Q606" s="7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1"/>
      <c r="Q607" s="7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1"/>
      <c r="Q608" s="7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1"/>
      <c r="Q609" s="7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1"/>
      <c r="Q610" s="7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1"/>
      <c r="Q611" s="7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1"/>
      <c r="Q612" s="7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1"/>
      <c r="Q613" s="7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1"/>
      <c r="Q614" s="7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1"/>
      <c r="Q615" s="7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1"/>
      <c r="Q616" s="7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1"/>
      <c r="Q617" s="7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1"/>
      <c r="Q618" s="7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1"/>
      <c r="Q619" s="7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1"/>
      <c r="Q620" s="7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1"/>
      <c r="Q621" s="7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1"/>
      <c r="Q622" s="7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1"/>
      <c r="Q623" s="7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1"/>
      <c r="Q624" s="7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1"/>
      <c r="Q625" s="7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1"/>
      <c r="Q626" s="7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1"/>
      <c r="Q627" s="7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1"/>
      <c r="Q628" s="7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1"/>
      <c r="Q629" s="7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1"/>
      <c r="Q630" s="7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1"/>
      <c r="Q631" s="7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1"/>
      <c r="Q632" s="7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1"/>
      <c r="Q633" s="7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1"/>
      <c r="Q634" s="7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1"/>
      <c r="Q635" s="7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1"/>
      <c r="Q636" s="7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1"/>
      <c r="Q637" s="7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1"/>
      <c r="Q638" s="7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1"/>
      <c r="Q639" s="7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1"/>
      <c r="Q640" s="7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1"/>
      <c r="Q641" s="7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1"/>
      <c r="Q642" s="7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1"/>
      <c r="Q643" s="7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1"/>
      <c r="Q644" s="7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1"/>
      <c r="Q645" s="7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1"/>
      <c r="Q646" s="7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1"/>
      <c r="Q647" s="7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1"/>
      <c r="Q648" s="7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1"/>
      <c r="Q649" s="7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1"/>
      <c r="Q650" s="7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1"/>
      <c r="Q651" s="7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1"/>
      <c r="Q652" s="7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1"/>
      <c r="Q653" s="7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1"/>
      <c r="Q654" s="7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1"/>
      <c r="Q655" s="7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1"/>
      <c r="Q656" s="7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1"/>
      <c r="Q657" s="7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1"/>
      <c r="Q658" s="7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1"/>
      <c r="Q659" s="7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1"/>
      <c r="Q660" s="7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1"/>
      <c r="Q661" s="7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1"/>
      <c r="Q662" s="7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1"/>
      <c r="Q663" s="7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1"/>
      <c r="Q664" s="7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1"/>
      <c r="Q665" s="7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1"/>
      <c r="Q666" s="7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1"/>
      <c r="Q667" s="7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1"/>
      <c r="Q668" s="7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1"/>
      <c r="Q669" s="7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1"/>
      <c r="Q670" s="7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1"/>
      <c r="Q671" s="7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1"/>
      <c r="Q672" s="7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1"/>
      <c r="Q673" s="7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1"/>
      <c r="Q674" s="7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1"/>
      <c r="Q675" s="7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1"/>
      <c r="Q676" s="7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1"/>
      <c r="Q677" s="7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1"/>
      <c r="Q678" s="7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1"/>
      <c r="Q679" s="7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1"/>
      <c r="Q680" s="7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1"/>
      <c r="Q681" s="7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1"/>
      <c r="Q682" s="7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1"/>
      <c r="Q683" s="7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1"/>
      <c r="Q684" s="7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1"/>
      <c r="Q685" s="7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1"/>
      <c r="Q686" s="7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1"/>
      <c r="Q687" s="7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1"/>
      <c r="Q688" s="7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1"/>
      <c r="Q689" s="7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1"/>
      <c r="Q690" s="7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1"/>
      <c r="Q691" s="7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1"/>
      <c r="Q692" s="7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1"/>
      <c r="Q693" s="7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1"/>
      <c r="Q694" s="7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1"/>
      <c r="Q695" s="7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1"/>
      <c r="Q696" s="7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1"/>
      <c r="Q697" s="7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1"/>
      <c r="Q698" s="7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1"/>
      <c r="Q699" s="7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1"/>
      <c r="Q700" s="7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1"/>
      <c r="Q701" s="7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1"/>
      <c r="Q702" s="7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1"/>
      <c r="Q703" s="7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1"/>
      <c r="Q704" s="7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1"/>
      <c r="Q705" s="7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1"/>
      <c r="Q706" s="7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1"/>
      <c r="Q707" s="7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1"/>
      <c r="Q708" s="7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1"/>
      <c r="Q709" s="7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1"/>
      <c r="Q710" s="7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1"/>
      <c r="Q711" s="7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1"/>
      <c r="Q712" s="7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1"/>
      <c r="Q713" s="7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1"/>
      <c r="Q714" s="7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1"/>
      <c r="Q715" s="7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1"/>
      <c r="Q716" s="7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1"/>
      <c r="Q717" s="7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1"/>
      <c r="Q718" s="7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1"/>
      <c r="Q719" s="7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1"/>
      <c r="Q720" s="7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1"/>
      <c r="Q721" s="7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1"/>
      <c r="Q722" s="7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1"/>
      <c r="Q723" s="7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1"/>
      <c r="Q724" s="7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1"/>
      <c r="Q725" s="7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1"/>
      <c r="Q726" s="7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1"/>
      <c r="Q727" s="7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1"/>
      <c r="Q728" s="7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1"/>
      <c r="Q729" s="7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1"/>
      <c r="Q730" s="7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1"/>
      <c r="Q731" s="7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1"/>
      <c r="Q732" s="7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1"/>
      <c r="Q733" s="7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1"/>
      <c r="Q734" s="7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1"/>
      <c r="Q735" s="7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1"/>
      <c r="Q736" s="7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1"/>
      <c r="Q737" s="7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1"/>
      <c r="Q738" s="7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1"/>
      <c r="Q739" s="7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1"/>
      <c r="Q740" s="7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1"/>
      <c r="Q741" s="7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1"/>
      <c r="Q742" s="7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1"/>
      <c r="Q743" s="7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1"/>
      <c r="Q744" s="7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1"/>
      <c r="Q745" s="7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1"/>
      <c r="Q746" s="7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1"/>
      <c r="Q747" s="7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1"/>
      <c r="Q748" s="7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1"/>
      <c r="Q749" s="7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1"/>
      <c r="Q750" s="7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1"/>
      <c r="Q751" s="7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1"/>
      <c r="Q752" s="7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1"/>
      <c r="Q753" s="7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1"/>
      <c r="Q754" s="7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1"/>
      <c r="Q755" s="7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1"/>
      <c r="Q756" s="7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1"/>
      <c r="Q757" s="7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1"/>
      <c r="Q758" s="7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1"/>
      <c r="Q759" s="7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1"/>
      <c r="Q760" s="7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1"/>
      <c r="Q761" s="7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1"/>
      <c r="Q762" s="7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1"/>
      <c r="Q763" s="7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1"/>
      <c r="Q764" s="7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1"/>
      <c r="Q765" s="7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1"/>
      <c r="Q766" s="7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1"/>
      <c r="Q767" s="7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1"/>
      <c r="Q768" s="7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1"/>
      <c r="Q769" s="7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1"/>
      <c r="Q770" s="7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1"/>
      <c r="Q771" s="7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1"/>
      <c r="Q772" s="7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1"/>
      <c r="Q773" s="7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1"/>
      <c r="Q774" s="7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1"/>
      <c r="Q775" s="7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1"/>
      <c r="Q776" s="7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1"/>
      <c r="Q777" s="7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1"/>
      <c r="Q778" s="7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1"/>
      <c r="Q779" s="7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1"/>
      <c r="Q780" s="7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1"/>
      <c r="Q781" s="7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1"/>
      <c r="Q782" s="7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1"/>
      <c r="Q783" s="7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1"/>
      <c r="Q784" s="7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1"/>
      <c r="Q785" s="7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1"/>
      <c r="Q786" s="7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1"/>
      <c r="Q787" s="7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1"/>
      <c r="Q788" s="7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1"/>
      <c r="Q789" s="7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1"/>
      <c r="Q790" s="7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1"/>
      <c r="Q791" s="7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1"/>
      <c r="Q792" s="7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1"/>
      <c r="Q793" s="7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1"/>
      <c r="Q794" s="7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1"/>
      <c r="Q795" s="7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1"/>
      <c r="Q796" s="7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1"/>
      <c r="Q797" s="7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1"/>
      <c r="Q798" s="7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1"/>
      <c r="Q799" s="7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1"/>
      <c r="Q800" s="7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1"/>
      <c r="Q801" s="7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1"/>
      <c r="Q802" s="7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1"/>
      <c r="Q803" s="7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1"/>
      <c r="Q804" s="7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1"/>
      <c r="Q805" s="7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1"/>
      <c r="Q806" s="7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1"/>
      <c r="Q807" s="7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1"/>
      <c r="Q808" s="7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1"/>
      <c r="Q809" s="7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1"/>
      <c r="Q810" s="7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1"/>
      <c r="Q811" s="7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1"/>
      <c r="Q812" s="7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1"/>
      <c r="Q813" s="7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1"/>
      <c r="Q814" s="7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1"/>
      <c r="Q815" s="7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1"/>
      <c r="Q816" s="7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1"/>
      <c r="Q817" s="7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1"/>
      <c r="Q818" s="7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1"/>
      <c r="Q819" s="7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1"/>
      <c r="Q820" s="7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1"/>
      <c r="Q821" s="7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1"/>
      <c r="Q822" s="7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1"/>
      <c r="Q823" s="7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1"/>
      <c r="Q824" s="7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1"/>
      <c r="Q825" s="7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1"/>
      <c r="Q826" s="7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1"/>
      <c r="Q827" s="7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1"/>
      <c r="Q828" s="7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1"/>
      <c r="Q829" s="7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1"/>
      <c r="Q830" s="7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1"/>
      <c r="Q831" s="7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1"/>
      <c r="Q832" s="7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1"/>
      <c r="Q833" s="7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1"/>
      <c r="Q834" s="7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1"/>
      <c r="Q835" s="7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1"/>
      <c r="Q836" s="7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1"/>
      <c r="Q837" s="7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1"/>
      <c r="Q838" s="7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1"/>
      <c r="Q839" s="7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1"/>
      <c r="Q840" s="7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1"/>
      <c r="Q841" s="7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1"/>
      <c r="Q842" s="7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1"/>
      <c r="Q843" s="7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1"/>
      <c r="Q844" s="7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1"/>
      <c r="Q845" s="7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1"/>
      <c r="Q846" s="7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1"/>
      <c r="Q847" s="7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1"/>
      <c r="Q848" s="7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1"/>
      <c r="Q849" s="7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1"/>
      <c r="Q850" s="7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1"/>
      <c r="Q851" s="7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1"/>
      <c r="Q852" s="7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1"/>
      <c r="Q853" s="7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1"/>
      <c r="Q854" s="7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1"/>
      <c r="Q855" s="7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1"/>
      <c r="Q856" s="7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1"/>
      <c r="Q857" s="7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1"/>
      <c r="Q858" s="7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1"/>
      <c r="Q859" s="7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1"/>
      <c r="Q860" s="7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1"/>
      <c r="Q861" s="7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1"/>
      <c r="Q862" s="7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1"/>
      <c r="Q863" s="7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1"/>
      <c r="Q864" s="7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1"/>
      <c r="Q865" s="7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1"/>
      <c r="Q866" s="7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1"/>
      <c r="Q867" s="7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1"/>
      <c r="Q868" s="7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1"/>
      <c r="Q869" s="7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1"/>
      <c r="Q870" s="7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1"/>
      <c r="Q871" s="7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1"/>
      <c r="Q872" s="7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1"/>
      <c r="Q873" s="7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1"/>
      <c r="Q874" s="7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1"/>
      <c r="Q875" s="7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1"/>
      <c r="Q876" s="7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1"/>
      <c r="Q877" s="7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1"/>
      <c r="Q878" s="7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1"/>
      <c r="Q879" s="7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1"/>
      <c r="Q880" s="7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1"/>
      <c r="Q881" s="7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1"/>
      <c r="Q882" s="7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1"/>
      <c r="Q883" s="7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1"/>
      <c r="Q884" s="7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1"/>
      <c r="Q885" s="7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1"/>
      <c r="Q886" s="7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1"/>
      <c r="Q887" s="7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1"/>
      <c r="Q888" s="7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1"/>
      <c r="Q889" s="7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1"/>
      <c r="Q890" s="7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1"/>
      <c r="Q891" s="7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1"/>
      <c r="Q892" s="7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1"/>
      <c r="Q893" s="7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1"/>
      <c r="Q894" s="7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1"/>
      <c r="Q895" s="7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1"/>
      <c r="Q896" s="7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1"/>
      <c r="Q897" s="7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1"/>
      <c r="Q898" s="7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1"/>
      <c r="Q899" s="7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1"/>
      <c r="Q900" s="7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1"/>
      <c r="Q901" s="7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1"/>
      <c r="Q902" s="7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1"/>
      <c r="Q903" s="7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1"/>
      <c r="Q904" s="7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1"/>
      <c r="Q905" s="7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1"/>
      <c r="Q906" s="7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1"/>
      <c r="Q907" s="7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1"/>
      <c r="Q908" s="7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1"/>
      <c r="Q909" s="7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1"/>
      <c r="Q910" s="7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1"/>
      <c r="Q911" s="7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1"/>
      <c r="Q912" s="7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1"/>
      <c r="Q913" s="7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1"/>
      <c r="Q914" s="7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1"/>
      <c r="Q915" s="7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1"/>
      <c r="Q916" s="7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1"/>
      <c r="Q917" s="7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1"/>
      <c r="Q918" s="7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1"/>
      <c r="Q919" s="7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1"/>
      <c r="Q920" s="7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1"/>
      <c r="Q921" s="7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1"/>
      <c r="Q922" s="7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1"/>
      <c r="Q923" s="7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1"/>
      <c r="Q924" s="7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1"/>
      <c r="Q925" s="7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1"/>
      <c r="Q926" s="7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1"/>
      <c r="Q927" s="7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1"/>
      <c r="Q928" s="7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1"/>
      <c r="Q929" s="7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1"/>
      <c r="Q930" s="7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1"/>
      <c r="Q931" s="7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1"/>
      <c r="Q932" s="7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1"/>
      <c r="Q933" s="7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1"/>
      <c r="Q934" s="7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1"/>
      <c r="Q935" s="7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1"/>
      <c r="Q936" s="7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1"/>
      <c r="Q937" s="7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1"/>
      <c r="Q938" s="7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1"/>
      <c r="Q939" s="7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1"/>
      <c r="Q940" s="7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1"/>
      <c r="Q941" s="7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1"/>
      <c r="Q942" s="7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1"/>
      <c r="Q943" s="7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1"/>
      <c r="Q944" s="7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1"/>
      <c r="Q945" s="7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1"/>
      <c r="Q946" s="7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1"/>
      <c r="Q947" s="7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1"/>
      <c r="Q948" s="7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1"/>
      <c r="Q949" s="7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1"/>
      <c r="Q950" s="7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1"/>
      <c r="Q951" s="7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1"/>
      <c r="Q952" s="7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1"/>
      <c r="Q953" s="7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1"/>
      <c r="Q954" s="7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1"/>
      <c r="Q955" s="7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1"/>
      <c r="Q956" s="7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1"/>
      <c r="Q957" s="7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1"/>
      <c r="Q958" s="7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1"/>
      <c r="Q959" s="7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1"/>
      <c r="Q960" s="7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1"/>
      <c r="Q961" s="7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1"/>
      <c r="Q962" s="7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1"/>
      <c r="Q963" s="7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1"/>
      <c r="Q964" s="7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1"/>
      <c r="Q965" s="7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1"/>
      <c r="Q966" s="7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1"/>
      <c r="Q967" s="7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1"/>
      <c r="Q968" s="7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1"/>
      <c r="Q969" s="7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1"/>
      <c r="Q970" s="7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1"/>
      <c r="Q971" s="7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1"/>
      <c r="Q972" s="7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1"/>
      <c r="Q973" s="7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1"/>
      <c r="Q974" s="7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1"/>
      <c r="Q975" s="7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1"/>
      <c r="Q976" s="7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1"/>
      <c r="Q977" s="7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1"/>
      <c r="Q978" s="7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1"/>
      <c r="Q979" s="7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1"/>
      <c r="Q980" s="7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1"/>
      <c r="Q981" s="7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1"/>
      <c r="Q982" s="7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1"/>
      <c r="Q983" s="7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1"/>
      <c r="Q984" s="7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1"/>
      <c r="Q985" s="7"/>
      <c r="R985" s="1"/>
      <c r="S985" s="1"/>
      <c r="T985" s="1"/>
      <c r="U985" s="1"/>
      <c r="V985" s="1"/>
      <c r="W985" s="1"/>
      <c r="X985" s="1"/>
      <c r="Y985" s="1"/>
      <c r="Z985" s="1"/>
    </row>
  </sheetData>
  <mergeCells count="7">
    <mergeCell ref="A15:O15"/>
    <mergeCell ref="A20:O20"/>
    <mergeCell ref="B2:E2"/>
    <mergeCell ref="F2:O9"/>
    <mergeCell ref="B3:E3"/>
    <mergeCell ref="B4:E4"/>
    <mergeCell ref="A11:O11"/>
  </mergeCells>
  <dataValidations count="1">
    <dataValidation type="list" allowBlank="1" showErrorMessage="1" sqref="L16:L19 F16:F19 F21:F22 I21:I22 L21:L22 M23:M132 G23:G132 J23:J132 L12:L14 I12:I14 F12:F14 I16:I19" xr:uid="{4C954C25-681C-4AC9-B886-0E99EE0E0614}">
      <formula1>$R$2:$R$5</formula1>
    </dataValidation>
  </dataValidations>
  <pageMargins left="0.74791666666666667" right="0.25" top="0.75" bottom="0.98402777777777772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4F07-B25E-4D5E-9E2D-67B77768C4CC}">
  <sheetPr>
    <outlinePr summaryBelow="0" summaryRight="0"/>
  </sheetPr>
  <dimension ref="A1:Z984"/>
  <sheetViews>
    <sheetView workbookViewId="0">
      <pane ySplit="10" topLeftCell="A11" activePane="bottomLeft" state="frozen"/>
      <selection pane="bottomLeft" activeCell="A21" sqref="A21:XFD21"/>
    </sheetView>
  </sheetViews>
  <sheetFormatPr defaultColWidth="12.6328125" defaultRowHeight="15" customHeight="1" outlineLevelRow="1" outlineLevelCol="1" x14ac:dyDescent="0.2"/>
  <cols>
    <col min="1" max="1" width="17" customWidth="1"/>
    <col min="2" max="2" width="34.453125" customWidth="1"/>
    <col min="3" max="3" width="34.08984375" customWidth="1"/>
    <col min="4" max="4" width="34.6328125" customWidth="1"/>
    <col min="5" max="5" width="28.36328125" customWidth="1"/>
    <col min="6" max="6" width="9.36328125" customWidth="1"/>
    <col min="7" max="7" width="10.6328125" customWidth="1" outlineLevel="1"/>
    <col min="8" max="8" width="7" customWidth="1" outlineLevel="1"/>
    <col min="9" max="9" width="9.36328125" customWidth="1"/>
    <col min="10" max="10" width="10.6328125" customWidth="1" outlineLevel="1"/>
    <col min="11" max="11" width="7" customWidth="1" outlineLevel="1"/>
    <col min="12" max="12" width="9.36328125" customWidth="1"/>
    <col min="13" max="13" width="10.6328125" customWidth="1" outlineLevel="1"/>
    <col min="14" max="14" width="7" customWidth="1" outlineLevel="1"/>
    <col min="15" max="15" width="28.6328125" customWidth="1"/>
    <col min="16" max="16" width="10.08984375" customWidth="1"/>
    <col min="17" max="17" width="8.08984375" customWidth="1"/>
    <col min="18" max="18" width="7.6328125" hidden="1" customWidth="1"/>
    <col min="19" max="26" width="9" customWidth="1"/>
  </cols>
  <sheetData>
    <row r="1" spans="1:26" ht="12.75" customHeight="1" thickBot="1" x14ac:dyDescent="0.3">
      <c r="A1" s="1"/>
      <c r="B1" s="1"/>
      <c r="C1" s="1"/>
      <c r="D1" s="1"/>
      <c r="E1" s="1"/>
      <c r="F1" s="6"/>
      <c r="G1" s="6"/>
      <c r="H1" s="6"/>
      <c r="I1" s="6"/>
      <c r="J1" s="6"/>
      <c r="K1" s="6"/>
      <c r="L1" s="6"/>
      <c r="M1" s="6"/>
      <c r="N1" s="6"/>
      <c r="O1" s="6"/>
      <c r="P1" s="1"/>
      <c r="Q1" s="7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2" t="s">
        <v>2</v>
      </c>
      <c r="B2" s="130" t="s">
        <v>318</v>
      </c>
      <c r="C2" s="131"/>
      <c r="D2" s="131"/>
      <c r="E2" s="132"/>
      <c r="F2" s="133"/>
      <c r="G2" s="134"/>
      <c r="H2" s="134"/>
      <c r="I2" s="134"/>
      <c r="J2" s="134"/>
      <c r="K2" s="134"/>
      <c r="L2" s="134"/>
      <c r="M2" s="134"/>
      <c r="N2" s="134"/>
      <c r="O2" s="135"/>
      <c r="P2" s="2"/>
      <c r="Q2" s="16"/>
      <c r="R2" s="17" t="s">
        <v>5</v>
      </c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5">
      <c r="A3" s="19" t="s">
        <v>7</v>
      </c>
      <c r="B3" s="142" t="s">
        <v>319</v>
      </c>
      <c r="C3" s="112"/>
      <c r="D3" s="112"/>
      <c r="E3" s="143"/>
      <c r="F3" s="136"/>
      <c r="G3" s="137"/>
      <c r="H3" s="137"/>
      <c r="I3" s="137"/>
      <c r="J3" s="137"/>
      <c r="K3" s="137"/>
      <c r="L3" s="137"/>
      <c r="M3" s="137"/>
      <c r="N3" s="137"/>
      <c r="O3" s="138"/>
      <c r="P3" s="2"/>
      <c r="Q3" s="16"/>
      <c r="R3" s="17" t="s">
        <v>8</v>
      </c>
      <c r="S3" s="17"/>
      <c r="T3" s="17"/>
      <c r="U3" s="17"/>
      <c r="V3" s="17"/>
      <c r="W3" s="17"/>
      <c r="X3" s="17"/>
      <c r="Y3" s="17"/>
      <c r="Z3" s="17"/>
    </row>
    <row r="4" spans="1:26" ht="18" customHeight="1" x14ac:dyDescent="0.25">
      <c r="A4" s="19" t="s">
        <v>9</v>
      </c>
      <c r="B4" s="142">
        <f>COUNTIF($A$12:$A$1000,"TC-*")</f>
        <v>8</v>
      </c>
      <c r="C4" s="112"/>
      <c r="D4" s="112"/>
      <c r="E4" s="143"/>
      <c r="F4" s="136"/>
      <c r="G4" s="137"/>
      <c r="H4" s="137"/>
      <c r="I4" s="137"/>
      <c r="J4" s="137"/>
      <c r="K4" s="137"/>
      <c r="L4" s="137"/>
      <c r="M4" s="137"/>
      <c r="N4" s="137"/>
      <c r="O4" s="138"/>
      <c r="P4" s="2"/>
      <c r="Q4" s="16"/>
      <c r="R4" s="17" t="s">
        <v>12</v>
      </c>
      <c r="S4" s="17"/>
      <c r="T4" s="17"/>
      <c r="U4" s="17"/>
      <c r="V4" s="17"/>
      <c r="W4" s="17"/>
      <c r="X4" s="17"/>
      <c r="Y4" s="17"/>
      <c r="Z4" s="17"/>
    </row>
    <row r="5" spans="1:26" ht="19.5" customHeight="1" x14ac:dyDescent="0.25">
      <c r="A5" s="25" t="s">
        <v>13</v>
      </c>
      <c r="B5" s="26" t="s">
        <v>5</v>
      </c>
      <c r="C5" s="26" t="s">
        <v>8</v>
      </c>
      <c r="D5" s="26" t="s">
        <v>12</v>
      </c>
      <c r="E5" s="28" t="s">
        <v>16</v>
      </c>
      <c r="F5" s="136"/>
      <c r="G5" s="137"/>
      <c r="H5" s="137"/>
      <c r="I5" s="137"/>
      <c r="J5" s="137"/>
      <c r="K5" s="137"/>
      <c r="L5" s="137"/>
      <c r="M5" s="137"/>
      <c r="N5" s="137"/>
      <c r="O5" s="138"/>
      <c r="P5" s="29"/>
      <c r="Q5" s="30"/>
      <c r="R5" s="17" t="s">
        <v>16</v>
      </c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25">
      <c r="A6" s="25" t="s">
        <v>20</v>
      </c>
      <c r="B6" s="32">
        <f>COUNTIF($F10:$F982,B5)</f>
        <v>8</v>
      </c>
      <c r="C6" s="32">
        <f>COUNTIF($F10:$F982,C5)</f>
        <v>0</v>
      </c>
      <c r="D6" s="32">
        <f>COUNTIF($F10:$F982,D5)</f>
        <v>0</v>
      </c>
      <c r="E6" s="35">
        <f>COUNTIF($F10:$F982,E5)</f>
        <v>0</v>
      </c>
      <c r="F6" s="136"/>
      <c r="G6" s="137"/>
      <c r="H6" s="137"/>
      <c r="I6" s="137"/>
      <c r="J6" s="137"/>
      <c r="K6" s="137"/>
      <c r="L6" s="137"/>
      <c r="M6" s="137"/>
      <c r="N6" s="137"/>
      <c r="O6" s="138"/>
      <c r="P6" s="29"/>
      <c r="Q6" s="30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25">
      <c r="A7" s="25" t="s">
        <v>23</v>
      </c>
      <c r="B7" s="32">
        <f>COUNTIF($I10:$I998,B5)</f>
        <v>8</v>
      </c>
      <c r="C7" s="32">
        <f>COUNTIF($I10:$I998,C5)</f>
        <v>0</v>
      </c>
      <c r="D7" s="32">
        <f>COUNTIF($I10:$I998,D5)</f>
        <v>0</v>
      </c>
      <c r="E7" s="35">
        <f>COUNTIF($I10:$I998,E5)</f>
        <v>0</v>
      </c>
      <c r="F7" s="136"/>
      <c r="G7" s="137"/>
      <c r="H7" s="137"/>
      <c r="I7" s="137"/>
      <c r="J7" s="137"/>
      <c r="K7" s="137"/>
      <c r="L7" s="137"/>
      <c r="M7" s="137"/>
      <c r="N7" s="137"/>
      <c r="O7" s="138"/>
      <c r="P7" s="29"/>
      <c r="Q7" s="30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thickBot="1" x14ac:dyDescent="0.3">
      <c r="A8" s="44" t="s">
        <v>25</v>
      </c>
      <c r="B8" s="47">
        <f>COUNTIF($L10:$L998,B5)</f>
        <v>0</v>
      </c>
      <c r="C8" s="47">
        <f>COUNTIF($L10:$L998,C5)</f>
        <v>0</v>
      </c>
      <c r="D8" s="47">
        <f>COUNTIF($L10:$L998,D5)</f>
        <v>8</v>
      </c>
      <c r="E8" s="50">
        <f>COUNTIF($L10:$L998,E5)</f>
        <v>0</v>
      </c>
      <c r="F8" s="136"/>
      <c r="G8" s="137"/>
      <c r="H8" s="137"/>
      <c r="I8" s="137"/>
      <c r="J8" s="137"/>
      <c r="K8" s="137"/>
      <c r="L8" s="137"/>
      <c r="M8" s="137"/>
      <c r="N8" s="137"/>
      <c r="O8" s="138"/>
      <c r="P8" s="29"/>
      <c r="Q8" s="30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25">
      <c r="A9" s="29"/>
      <c r="B9" s="29"/>
      <c r="C9" s="29"/>
      <c r="D9" s="29"/>
      <c r="E9" s="29"/>
      <c r="F9" s="139"/>
      <c r="G9" s="140"/>
      <c r="H9" s="140"/>
      <c r="I9" s="140"/>
      <c r="J9" s="140"/>
      <c r="K9" s="140"/>
      <c r="L9" s="140"/>
      <c r="M9" s="140"/>
      <c r="N9" s="140"/>
      <c r="O9" s="141"/>
      <c r="P9" s="29"/>
      <c r="Q9" s="30"/>
      <c r="R9" s="17"/>
      <c r="S9" s="17"/>
      <c r="T9" s="17"/>
      <c r="U9" s="17"/>
      <c r="V9" s="17"/>
      <c r="W9" s="17"/>
      <c r="X9" s="17"/>
      <c r="Y9" s="17"/>
      <c r="Z9" s="17"/>
    </row>
    <row r="10" spans="1:26" ht="25.5" customHeight="1" x14ac:dyDescent="0.25">
      <c r="A10" s="69" t="s">
        <v>38</v>
      </c>
      <c r="B10" s="69" t="s">
        <v>39</v>
      </c>
      <c r="C10" s="69" t="s">
        <v>40</v>
      </c>
      <c r="D10" s="69" t="s">
        <v>41</v>
      </c>
      <c r="E10" s="69" t="s">
        <v>42</v>
      </c>
      <c r="F10" s="69" t="s">
        <v>20</v>
      </c>
      <c r="G10" s="69" t="s">
        <v>43</v>
      </c>
      <c r="H10" s="69" t="s">
        <v>44</v>
      </c>
      <c r="I10" s="69" t="s">
        <v>23</v>
      </c>
      <c r="J10" s="69" t="s">
        <v>43</v>
      </c>
      <c r="K10" s="69" t="s">
        <v>44</v>
      </c>
      <c r="L10" s="69" t="s">
        <v>25</v>
      </c>
      <c r="M10" s="69" t="s">
        <v>43</v>
      </c>
      <c r="N10" s="69" t="s">
        <v>44</v>
      </c>
      <c r="O10" s="69" t="s">
        <v>46</v>
      </c>
      <c r="P10" s="17"/>
      <c r="Q10" s="78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5">
      <c r="A11" s="144" t="s">
        <v>320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3"/>
      <c r="P11" s="81"/>
      <c r="Q11" s="83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83.25" customHeight="1" outlineLevel="1" x14ac:dyDescent="0.2">
      <c r="A12" s="66" t="s">
        <v>321</v>
      </c>
      <c r="B12" s="66" t="s">
        <v>68</v>
      </c>
      <c r="C12" s="66" t="s">
        <v>322</v>
      </c>
      <c r="D12" s="66" t="s">
        <v>323</v>
      </c>
      <c r="E12" s="66" t="s">
        <v>324</v>
      </c>
      <c r="F12" s="87" t="s">
        <v>5</v>
      </c>
      <c r="G12" s="88">
        <v>46244.708333333336</v>
      </c>
      <c r="H12" s="87" t="s">
        <v>76</v>
      </c>
      <c r="I12" s="87" t="s">
        <v>5</v>
      </c>
      <c r="J12" s="88">
        <v>46244.708333333336</v>
      </c>
      <c r="K12" s="87" t="s">
        <v>76</v>
      </c>
      <c r="L12" s="87" t="s">
        <v>12</v>
      </c>
      <c r="M12" s="88"/>
      <c r="N12" s="87"/>
      <c r="O12" s="87"/>
      <c r="P12" s="89"/>
      <c r="Q12" s="90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12.75" customHeight="1" outlineLevel="1" x14ac:dyDescent="0.25">
      <c r="A13" s="66" t="s">
        <v>325</v>
      </c>
      <c r="B13" s="66" t="s">
        <v>326</v>
      </c>
      <c r="C13" s="66" t="s">
        <v>327</v>
      </c>
      <c r="D13" s="66" t="s">
        <v>328</v>
      </c>
      <c r="E13" s="66" t="s">
        <v>329</v>
      </c>
      <c r="F13" s="87" t="s">
        <v>5</v>
      </c>
      <c r="G13" s="88">
        <v>46244.708333333336</v>
      </c>
      <c r="H13" s="87" t="s">
        <v>76</v>
      </c>
      <c r="I13" s="87" t="s">
        <v>5</v>
      </c>
      <c r="J13" s="88">
        <v>46244.708333333336</v>
      </c>
      <c r="K13" s="87" t="s">
        <v>76</v>
      </c>
      <c r="L13" s="87" t="s">
        <v>12</v>
      </c>
      <c r="M13" s="88"/>
      <c r="N13" s="87"/>
      <c r="O13" s="87"/>
      <c r="P13" s="86"/>
      <c r="Q13" s="90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outlineLevel="1" x14ac:dyDescent="0.25">
      <c r="A14" s="66" t="s">
        <v>330</v>
      </c>
      <c r="B14" s="66" t="s">
        <v>331</v>
      </c>
      <c r="C14" s="66" t="s">
        <v>332</v>
      </c>
      <c r="D14" s="66" t="s">
        <v>333</v>
      </c>
      <c r="E14" s="66" t="s">
        <v>334</v>
      </c>
      <c r="F14" s="87" t="s">
        <v>5</v>
      </c>
      <c r="G14" s="88">
        <v>46244.708333333336</v>
      </c>
      <c r="H14" s="87" t="s">
        <v>91</v>
      </c>
      <c r="I14" s="87" t="s">
        <v>5</v>
      </c>
      <c r="J14" s="88">
        <v>46244.708333333336</v>
      </c>
      <c r="K14" s="87" t="s">
        <v>91</v>
      </c>
      <c r="L14" s="87" t="s">
        <v>12</v>
      </c>
      <c r="M14" s="88"/>
      <c r="N14" s="87"/>
      <c r="O14" s="87"/>
      <c r="P14" s="86"/>
      <c r="Q14" s="90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44" t="s">
        <v>335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6"/>
      <c r="P15" s="86"/>
      <c r="Q15" s="7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outlineLevel="1" x14ac:dyDescent="0.25">
      <c r="A16" s="66" t="s">
        <v>336</v>
      </c>
      <c r="B16" s="66" t="s">
        <v>337</v>
      </c>
      <c r="C16" s="66" t="s">
        <v>338</v>
      </c>
      <c r="D16" s="66" t="s">
        <v>339</v>
      </c>
      <c r="E16" s="66" t="s">
        <v>340</v>
      </c>
      <c r="F16" s="87" t="s">
        <v>5</v>
      </c>
      <c r="G16" s="88">
        <v>46244.708333333336</v>
      </c>
      <c r="H16" s="87" t="s">
        <v>76</v>
      </c>
      <c r="I16" s="87" t="s">
        <v>5</v>
      </c>
      <c r="J16" s="88">
        <v>46244.708333333336</v>
      </c>
      <c r="K16" s="87" t="s">
        <v>76</v>
      </c>
      <c r="L16" s="87" t="s">
        <v>12</v>
      </c>
      <c r="M16" s="88"/>
      <c r="N16" s="87"/>
      <c r="O16" s="87"/>
      <c r="P16" s="86"/>
      <c r="Q16" s="90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outlineLevel="1" x14ac:dyDescent="0.25">
      <c r="A17" s="66" t="s">
        <v>341</v>
      </c>
      <c r="B17" s="66" t="s">
        <v>342</v>
      </c>
      <c r="C17" s="66" t="s">
        <v>343</v>
      </c>
      <c r="D17" s="66" t="s">
        <v>344</v>
      </c>
      <c r="E17" s="66" t="s">
        <v>345</v>
      </c>
      <c r="F17" s="87" t="s">
        <v>5</v>
      </c>
      <c r="G17" s="88">
        <v>46244.708333333336</v>
      </c>
      <c r="H17" s="87" t="s">
        <v>76</v>
      </c>
      <c r="I17" s="87" t="s">
        <v>5</v>
      </c>
      <c r="J17" s="88">
        <v>46244.708333333336</v>
      </c>
      <c r="K17" s="87" t="s">
        <v>76</v>
      </c>
      <c r="L17" s="87" t="s">
        <v>12</v>
      </c>
      <c r="M17" s="88"/>
      <c r="N17" s="87"/>
      <c r="O17" s="87"/>
      <c r="P17" s="86"/>
      <c r="Q17" s="7"/>
      <c r="R17" s="1"/>
      <c r="S17" s="1"/>
      <c r="T17" s="1"/>
      <c r="U17" s="1"/>
      <c r="V17" s="1"/>
      <c r="W17" s="1"/>
      <c r="X17" s="1"/>
      <c r="Y17" s="1"/>
      <c r="Z17" s="1"/>
    </row>
    <row r="18" spans="1:26" ht="51" customHeight="1" outlineLevel="1" x14ac:dyDescent="0.25">
      <c r="A18" s="66" t="s">
        <v>346</v>
      </c>
      <c r="B18" s="66" t="s">
        <v>347</v>
      </c>
      <c r="C18" s="66" t="s">
        <v>348</v>
      </c>
      <c r="D18" s="66" t="s">
        <v>349</v>
      </c>
      <c r="E18" s="66" t="s">
        <v>350</v>
      </c>
      <c r="F18" s="87" t="s">
        <v>5</v>
      </c>
      <c r="G18" s="88">
        <v>46244.708333333336</v>
      </c>
      <c r="H18" s="87" t="s">
        <v>76</v>
      </c>
      <c r="I18" s="87" t="s">
        <v>5</v>
      </c>
      <c r="J18" s="88">
        <v>46244.708333333336</v>
      </c>
      <c r="K18" s="87" t="s">
        <v>76</v>
      </c>
      <c r="L18" s="87" t="s">
        <v>12</v>
      </c>
      <c r="M18" s="88"/>
      <c r="N18" s="87"/>
      <c r="O18" s="97"/>
      <c r="P18" s="81"/>
      <c r="Q18" s="83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 x14ac:dyDescent="0.25">
      <c r="A19" s="144" t="s">
        <v>351</v>
      </c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6"/>
      <c r="P19" s="86"/>
      <c r="Q19" s="7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outlineLevel="1" x14ac:dyDescent="0.25">
      <c r="A20" s="66" t="s">
        <v>352</v>
      </c>
      <c r="B20" s="66" t="s">
        <v>353</v>
      </c>
      <c r="C20" s="66" t="s">
        <v>354</v>
      </c>
      <c r="D20" s="66" t="s">
        <v>355</v>
      </c>
      <c r="E20" s="66" t="s">
        <v>356</v>
      </c>
      <c r="F20" s="87" t="s">
        <v>5</v>
      </c>
      <c r="G20" s="88">
        <v>46244.708333333336</v>
      </c>
      <c r="H20" s="87" t="s">
        <v>91</v>
      </c>
      <c r="I20" s="87" t="s">
        <v>5</v>
      </c>
      <c r="J20" s="88">
        <v>46244.708333333336</v>
      </c>
      <c r="K20" s="87" t="s">
        <v>91</v>
      </c>
      <c r="L20" s="87" t="s">
        <v>12</v>
      </c>
      <c r="M20" s="88"/>
      <c r="N20" s="87"/>
      <c r="O20" s="87"/>
      <c r="P20" s="86"/>
      <c r="Q20" s="7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outlineLevel="1" x14ac:dyDescent="0.25">
      <c r="A21" s="66" t="s">
        <v>357</v>
      </c>
      <c r="B21" s="66" t="s">
        <v>358</v>
      </c>
      <c r="C21" s="66" t="s">
        <v>359</v>
      </c>
      <c r="D21" s="66" t="s">
        <v>360</v>
      </c>
      <c r="E21" s="66" t="s">
        <v>361</v>
      </c>
      <c r="F21" s="87" t="s">
        <v>5</v>
      </c>
      <c r="G21" s="88">
        <v>46244.708333333336</v>
      </c>
      <c r="H21" s="87" t="s">
        <v>91</v>
      </c>
      <c r="I21" s="87" t="s">
        <v>5</v>
      </c>
      <c r="J21" s="88">
        <v>46244.708333333336</v>
      </c>
      <c r="K21" s="87" t="s">
        <v>91</v>
      </c>
      <c r="L21" s="87" t="s">
        <v>12</v>
      </c>
      <c r="M21" s="88"/>
      <c r="N21" s="87"/>
      <c r="O21" s="87"/>
      <c r="P21" s="86"/>
      <c r="Q21" s="7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1"/>
      <c r="D22" s="1"/>
      <c r="E22" s="1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"/>
      <c r="Q22" s="7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6"/>
      <c r="G23" s="6"/>
      <c r="H23" s="6"/>
      <c r="I23" s="6"/>
      <c r="J23" s="6"/>
      <c r="K23" s="6"/>
      <c r="L23" s="6"/>
      <c r="M23" s="6"/>
      <c r="N23" s="6"/>
      <c r="O23" s="6"/>
      <c r="P23" s="1"/>
      <c r="Q23" s="7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6"/>
      <c r="G24" s="6"/>
      <c r="H24" s="6"/>
      <c r="I24" s="6"/>
      <c r="J24" s="6"/>
      <c r="K24" s="6"/>
      <c r="L24" s="6"/>
      <c r="M24" s="6"/>
      <c r="N24" s="6"/>
      <c r="O24" s="6"/>
      <c r="P24" s="1"/>
      <c r="Q24" s="7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6"/>
      <c r="G25" s="6"/>
      <c r="H25" s="6"/>
      <c r="I25" s="6"/>
      <c r="J25" s="6"/>
      <c r="K25" s="6"/>
      <c r="L25" s="6"/>
      <c r="M25" s="6"/>
      <c r="N25" s="6"/>
      <c r="O25" s="6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6"/>
      <c r="G26" s="6"/>
      <c r="H26" s="6"/>
      <c r="I26" s="6"/>
      <c r="J26" s="6"/>
      <c r="K26" s="6"/>
      <c r="L26" s="6"/>
      <c r="M26" s="6"/>
      <c r="N26" s="6"/>
      <c r="O26" s="6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6"/>
      <c r="G27" s="6"/>
      <c r="H27" s="6"/>
      <c r="I27" s="6"/>
      <c r="J27" s="6"/>
      <c r="K27" s="6"/>
      <c r="L27" s="6"/>
      <c r="M27" s="6"/>
      <c r="N27" s="6"/>
      <c r="O27" s="6"/>
      <c r="P27" s="1"/>
      <c r="Q27" s="7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6"/>
      <c r="G28" s="6"/>
      <c r="H28" s="6"/>
      <c r="I28" s="6"/>
      <c r="J28" s="6"/>
      <c r="K28" s="6"/>
      <c r="L28" s="6"/>
      <c r="M28" s="6"/>
      <c r="N28" s="6"/>
      <c r="O28" s="6"/>
      <c r="P28" s="1"/>
      <c r="Q28" s="7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6"/>
      <c r="G29" s="6"/>
      <c r="H29" s="6"/>
      <c r="I29" s="6"/>
      <c r="J29" s="6"/>
      <c r="K29" s="6"/>
      <c r="L29" s="6"/>
      <c r="M29" s="6"/>
      <c r="N29" s="6"/>
      <c r="O29" s="6"/>
      <c r="P29" s="1"/>
      <c r="Q29" s="7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6"/>
      <c r="G30" s="6"/>
      <c r="H30" s="6"/>
      <c r="I30" s="6"/>
      <c r="J30" s="6"/>
      <c r="K30" s="6"/>
      <c r="L30" s="6"/>
      <c r="M30" s="6"/>
      <c r="N30" s="6"/>
      <c r="O30" s="6"/>
      <c r="P30" s="1"/>
      <c r="Q30" s="7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6"/>
      <c r="G31" s="6"/>
      <c r="H31" s="6"/>
      <c r="I31" s="6"/>
      <c r="J31" s="6"/>
      <c r="K31" s="6"/>
      <c r="L31" s="6"/>
      <c r="M31" s="6"/>
      <c r="N31" s="6"/>
      <c r="O31" s="6"/>
      <c r="P31" s="1"/>
      <c r="Q31" s="7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6"/>
      <c r="G32" s="6"/>
      <c r="H32" s="6"/>
      <c r="I32" s="6"/>
      <c r="J32" s="6"/>
      <c r="K32" s="6"/>
      <c r="L32" s="6"/>
      <c r="M32" s="6"/>
      <c r="N32" s="6"/>
      <c r="O32" s="6"/>
      <c r="P32" s="1"/>
      <c r="Q32" s="7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6"/>
      <c r="G33" s="6"/>
      <c r="H33" s="6"/>
      <c r="I33" s="6"/>
      <c r="J33" s="6"/>
      <c r="K33" s="6"/>
      <c r="L33" s="6"/>
      <c r="M33" s="6"/>
      <c r="N33" s="6"/>
      <c r="O33" s="6"/>
      <c r="P33" s="1"/>
      <c r="Q33" s="7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6"/>
      <c r="G34" s="6"/>
      <c r="H34" s="6"/>
      <c r="I34" s="6"/>
      <c r="J34" s="6"/>
      <c r="K34" s="6"/>
      <c r="L34" s="6"/>
      <c r="M34" s="6"/>
      <c r="N34" s="6"/>
      <c r="O34" s="6"/>
      <c r="P34" s="1"/>
      <c r="Q34" s="7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6"/>
      <c r="G35" s="6"/>
      <c r="H35" s="6"/>
      <c r="I35" s="6"/>
      <c r="J35" s="6"/>
      <c r="K35" s="6"/>
      <c r="L35" s="6"/>
      <c r="M35" s="6"/>
      <c r="N35" s="6"/>
      <c r="O35" s="6"/>
      <c r="P35" s="1"/>
      <c r="Q35" s="7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6"/>
      <c r="G36" s="6"/>
      <c r="H36" s="6"/>
      <c r="I36" s="6"/>
      <c r="J36" s="6"/>
      <c r="K36" s="6"/>
      <c r="L36" s="6"/>
      <c r="M36" s="6"/>
      <c r="N36" s="6"/>
      <c r="O36" s="6"/>
      <c r="P36" s="1"/>
      <c r="Q36" s="7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1"/>
      <c r="Q37" s="7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1"/>
      <c r="Q38" s="7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1"/>
      <c r="Q39" s="7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6"/>
      <c r="G40" s="6"/>
      <c r="H40" s="6"/>
      <c r="I40" s="6"/>
      <c r="J40" s="6"/>
      <c r="K40" s="6"/>
      <c r="L40" s="6"/>
      <c r="M40" s="6"/>
      <c r="N40" s="6"/>
      <c r="O40" s="6"/>
      <c r="P40" s="1"/>
      <c r="Q40" s="7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6"/>
      <c r="P41" s="1"/>
      <c r="Q41" s="7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6"/>
      <c r="P42" s="1"/>
      <c r="Q42" s="7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6"/>
      <c r="G43" s="6"/>
      <c r="H43" s="6"/>
      <c r="I43" s="6"/>
      <c r="J43" s="6"/>
      <c r="K43" s="6"/>
      <c r="L43" s="6"/>
      <c r="M43" s="6"/>
      <c r="N43" s="6"/>
      <c r="O43" s="6"/>
      <c r="P43" s="1"/>
      <c r="Q43" s="7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6"/>
      <c r="G44" s="6"/>
      <c r="H44" s="6"/>
      <c r="I44" s="6"/>
      <c r="J44" s="6"/>
      <c r="K44" s="6"/>
      <c r="L44" s="6"/>
      <c r="M44" s="6"/>
      <c r="N44" s="6"/>
      <c r="O44" s="6"/>
      <c r="P44" s="1"/>
      <c r="Q44" s="7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6"/>
      <c r="G45" s="6"/>
      <c r="H45" s="6"/>
      <c r="I45" s="6"/>
      <c r="J45" s="6"/>
      <c r="K45" s="6"/>
      <c r="L45" s="6"/>
      <c r="M45" s="6"/>
      <c r="N45" s="6"/>
      <c r="O45" s="6"/>
      <c r="P45" s="1"/>
      <c r="Q45" s="7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6"/>
      <c r="G46" s="6"/>
      <c r="H46" s="6"/>
      <c r="I46" s="6"/>
      <c r="J46" s="6"/>
      <c r="K46" s="6"/>
      <c r="L46" s="6"/>
      <c r="M46" s="6"/>
      <c r="N46" s="6"/>
      <c r="O46" s="6"/>
      <c r="P46" s="1"/>
      <c r="Q46" s="7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6"/>
      <c r="G47" s="6"/>
      <c r="H47" s="6"/>
      <c r="I47" s="6"/>
      <c r="J47" s="6"/>
      <c r="K47" s="6"/>
      <c r="L47" s="6"/>
      <c r="M47" s="6"/>
      <c r="N47" s="6"/>
      <c r="O47" s="6"/>
      <c r="P47" s="1"/>
      <c r="Q47" s="7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6"/>
      <c r="G48" s="6"/>
      <c r="H48" s="6"/>
      <c r="I48" s="6"/>
      <c r="J48" s="6"/>
      <c r="K48" s="6"/>
      <c r="L48" s="6"/>
      <c r="M48" s="6"/>
      <c r="N48" s="6"/>
      <c r="O48" s="6"/>
      <c r="P48" s="1"/>
      <c r="Q48" s="7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6"/>
      <c r="P49" s="1"/>
      <c r="Q49" s="7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6"/>
      <c r="P50" s="1"/>
      <c r="Q50" s="7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6"/>
      <c r="P51" s="1"/>
      <c r="Q51" s="7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6"/>
      <c r="P52" s="1"/>
      <c r="Q52" s="7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6"/>
      <c r="P53" s="1"/>
      <c r="Q53" s="7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6"/>
      <c r="P54" s="1"/>
      <c r="Q54" s="7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6"/>
      <c r="P55" s="1"/>
      <c r="Q55" s="7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6"/>
      <c r="G56" s="6"/>
      <c r="H56" s="6"/>
      <c r="I56" s="6"/>
      <c r="J56" s="6"/>
      <c r="K56" s="6"/>
      <c r="L56" s="6"/>
      <c r="M56" s="6"/>
      <c r="N56" s="6"/>
      <c r="O56" s="6"/>
      <c r="P56" s="1"/>
      <c r="Q56" s="7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6"/>
      <c r="G57" s="6"/>
      <c r="H57" s="6"/>
      <c r="I57" s="6"/>
      <c r="J57" s="6"/>
      <c r="K57" s="6"/>
      <c r="L57" s="6"/>
      <c r="M57" s="6"/>
      <c r="N57" s="6"/>
      <c r="O57" s="6"/>
      <c r="P57" s="1"/>
      <c r="Q57" s="7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6"/>
      <c r="G58" s="6"/>
      <c r="H58" s="6"/>
      <c r="I58" s="6"/>
      <c r="J58" s="6"/>
      <c r="K58" s="6"/>
      <c r="L58" s="6"/>
      <c r="M58" s="6"/>
      <c r="N58" s="6"/>
      <c r="O58" s="6"/>
      <c r="P58" s="1"/>
      <c r="Q58" s="7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6"/>
      <c r="G59" s="6"/>
      <c r="H59" s="6"/>
      <c r="I59" s="6"/>
      <c r="J59" s="6"/>
      <c r="K59" s="6"/>
      <c r="L59" s="6"/>
      <c r="M59" s="6"/>
      <c r="N59" s="6"/>
      <c r="O59" s="6"/>
      <c r="P59" s="1"/>
      <c r="Q59" s="7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6"/>
      <c r="G60" s="6"/>
      <c r="H60" s="6"/>
      <c r="I60" s="6"/>
      <c r="J60" s="6"/>
      <c r="K60" s="6"/>
      <c r="L60" s="6"/>
      <c r="M60" s="6"/>
      <c r="N60" s="6"/>
      <c r="O60" s="6"/>
      <c r="P60" s="1"/>
      <c r="Q60" s="7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6"/>
      <c r="G61" s="6"/>
      <c r="H61" s="6"/>
      <c r="I61" s="6"/>
      <c r="J61" s="6"/>
      <c r="K61" s="6"/>
      <c r="L61" s="6"/>
      <c r="M61" s="6"/>
      <c r="N61" s="6"/>
      <c r="O61" s="6"/>
      <c r="P61" s="1"/>
      <c r="Q61" s="7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6"/>
      <c r="P62" s="1"/>
      <c r="Q62" s="7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6"/>
      <c r="P63" s="1"/>
      <c r="Q63" s="7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6"/>
      <c r="P64" s="1"/>
      <c r="Q64" s="7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6"/>
      <c r="G65" s="6"/>
      <c r="H65" s="6"/>
      <c r="I65" s="6"/>
      <c r="J65" s="6"/>
      <c r="K65" s="6"/>
      <c r="L65" s="6"/>
      <c r="M65" s="6"/>
      <c r="N65" s="6"/>
      <c r="O65" s="6"/>
      <c r="P65" s="1"/>
      <c r="Q65" s="7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6"/>
      <c r="G66" s="6"/>
      <c r="H66" s="6"/>
      <c r="I66" s="6"/>
      <c r="J66" s="6"/>
      <c r="K66" s="6"/>
      <c r="L66" s="6"/>
      <c r="M66" s="6"/>
      <c r="N66" s="6"/>
      <c r="O66" s="6"/>
      <c r="P66" s="1"/>
      <c r="Q66" s="7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6"/>
      <c r="G67" s="6"/>
      <c r="H67" s="6"/>
      <c r="I67" s="6"/>
      <c r="J67" s="6"/>
      <c r="K67" s="6"/>
      <c r="L67" s="6"/>
      <c r="M67" s="6"/>
      <c r="N67" s="6"/>
      <c r="O67" s="6"/>
      <c r="P67" s="1"/>
      <c r="Q67" s="7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6"/>
      <c r="G68" s="6"/>
      <c r="H68" s="6"/>
      <c r="I68" s="6"/>
      <c r="J68" s="6"/>
      <c r="K68" s="6"/>
      <c r="L68" s="6"/>
      <c r="M68" s="6"/>
      <c r="N68" s="6"/>
      <c r="O68" s="6"/>
      <c r="P68" s="1"/>
      <c r="Q68" s="7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6"/>
      <c r="G69" s="6"/>
      <c r="H69" s="6"/>
      <c r="I69" s="6"/>
      <c r="J69" s="6"/>
      <c r="K69" s="6"/>
      <c r="L69" s="6"/>
      <c r="M69" s="6"/>
      <c r="N69" s="6"/>
      <c r="O69" s="6"/>
      <c r="P69" s="1"/>
      <c r="Q69" s="7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6"/>
      <c r="G70" s="6"/>
      <c r="H70" s="6"/>
      <c r="I70" s="6"/>
      <c r="J70" s="6"/>
      <c r="K70" s="6"/>
      <c r="L70" s="6"/>
      <c r="M70" s="6"/>
      <c r="N70" s="6"/>
      <c r="O70" s="6"/>
      <c r="P70" s="1"/>
      <c r="Q70" s="7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6"/>
      <c r="G71" s="6"/>
      <c r="H71" s="6"/>
      <c r="I71" s="6"/>
      <c r="J71" s="6"/>
      <c r="K71" s="6"/>
      <c r="L71" s="6"/>
      <c r="M71" s="6"/>
      <c r="N71" s="6"/>
      <c r="O71" s="6"/>
      <c r="P71" s="1"/>
      <c r="Q71" s="7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6"/>
      <c r="G72" s="6"/>
      <c r="H72" s="6"/>
      <c r="I72" s="6"/>
      <c r="J72" s="6"/>
      <c r="K72" s="6"/>
      <c r="L72" s="6"/>
      <c r="M72" s="6"/>
      <c r="N72" s="6"/>
      <c r="O72" s="6"/>
      <c r="P72" s="1"/>
      <c r="Q72" s="7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6"/>
      <c r="G73" s="6"/>
      <c r="H73" s="6"/>
      <c r="I73" s="6"/>
      <c r="J73" s="6"/>
      <c r="K73" s="6"/>
      <c r="L73" s="6"/>
      <c r="M73" s="6"/>
      <c r="N73" s="6"/>
      <c r="O73" s="6"/>
      <c r="P73" s="1"/>
      <c r="Q73" s="7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6"/>
      <c r="G74" s="6"/>
      <c r="H74" s="6"/>
      <c r="I74" s="6"/>
      <c r="J74" s="6"/>
      <c r="K74" s="6"/>
      <c r="L74" s="6"/>
      <c r="M74" s="6"/>
      <c r="N74" s="6"/>
      <c r="O74" s="6"/>
      <c r="P74" s="1"/>
      <c r="Q74" s="7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6"/>
      <c r="G75" s="6"/>
      <c r="H75" s="6"/>
      <c r="I75" s="6"/>
      <c r="J75" s="6"/>
      <c r="K75" s="6"/>
      <c r="L75" s="6"/>
      <c r="M75" s="6"/>
      <c r="N75" s="6"/>
      <c r="O75" s="6"/>
      <c r="P75" s="1"/>
      <c r="Q75" s="7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6"/>
      <c r="G76" s="6"/>
      <c r="H76" s="6"/>
      <c r="I76" s="6"/>
      <c r="J76" s="6"/>
      <c r="K76" s="6"/>
      <c r="L76" s="6"/>
      <c r="M76" s="6"/>
      <c r="N76" s="6"/>
      <c r="O76" s="6"/>
      <c r="P76" s="1"/>
      <c r="Q76" s="7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6"/>
      <c r="G77" s="6"/>
      <c r="H77" s="6"/>
      <c r="I77" s="6"/>
      <c r="J77" s="6"/>
      <c r="K77" s="6"/>
      <c r="L77" s="6"/>
      <c r="M77" s="6"/>
      <c r="N77" s="6"/>
      <c r="O77" s="6"/>
      <c r="P77" s="1"/>
      <c r="Q77" s="7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6"/>
      <c r="G78" s="6"/>
      <c r="H78" s="6"/>
      <c r="I78" s="6"/>
      <c r="J78" s="6"/>
      <c r="K78" s="6"/>
      <c r="L78" s="6"/>
      <c r="M78" s="6"/>
      <c r="N78" s="6"/>
      <c r="O78" s="6"/>
      <c r="P78" s="1"/>
      <c r="Q78" s="7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6"/>
      <c r="G79" s="6"/>
      <c r="H79" s="6"/>
      <c r="I79" s="6"/>
      <c r="J79" s="6"/>
      <c r="K79" s="6"/>
      <c r="L79" s="6"/>
      <c r="M79" s="6"/>
      <c r="N79" s="6"/>
      <c r="O79" s="6"/>
      <c r="P79" s="1"/>
      <c r="Q79" s="7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6"/>
      <c r="G80" s="6"/>
      <c r="H80" s="6"/>
      <c r="I80" s="6"/>
      <c r="J80" s="6"/>
      <c r="K80" s="6"/>
      <c r="L80" s="6"/>
      <c r="M80" s="6"/>
      <c r="N80" s="6"/>
      <c r="O80" s="6"/>
      <c r="P80" s="1"/>
      <c r="Q80" s="7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6"/>
      <c r="G81" s="6"/>
      <c r="H81" s="6"/>
      <c r="I81" s="6"/>
      <c r="J81" s="6"/>
      <c r="K81" s="6"/>
      <c r="L81" s="6"/>
      <c r="M81" s="6"/>
      <c r="N81" s="6"/>
      <c r="O81" s="6"/>
      <c r="P81" s="1"/>
      <c r="Q81" s="7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6"/>
      <c r="G82" s="6"/>
      <c r="H82" s="6"/>
      <c r="I82" s="6"/>
      <c r="J82" s="6"/>
      <c r="K82" s="6"/>
      <c r="L82" s="6"/>
      <c r="M82" s="6"/>
      <c r="N82" s="6"/>
      <c r="O82" s="6"/>
      <c r="P82" s="1"/>
      <c r="Q82" s="7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6"/>
      <c r="P83" s="1"/>
      <c r="Q83" s="7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6"/>
      <c r="P84" s="1"/>
      <c r="Q84" s="7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6"/>
      <c r="P85" s="1"/>
      <c r="Q85" s="7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6"/>
      <c r="G86" s="6"/>
      <c r="H86" s="6"/>
      <c r="I86" s="6"/>
      <c r="J86" s="6"/>
      <c r="K86" s="6"/>
      <c r="L86" s="6"/>
      <c r="M86" s="6"/>
      <c r="N86" s="6"/>
      <c r="O86" s="6"/>
      <c r="P86" s="1"/>
      <c r="Q86" s="7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6"/>
      <c r="G87" s="6"/>
      <c r="H87" s="6"/>
      <c r="I87" s="6"/>
      <c r="J87" s="6"/>
      <c r="K87" s="6"/>
      <c r="L87" s="6"/>
      <c r="M87" s="6"/>
      <c r="N87" s="6"/>
      <c r="O87" s="6"/>
      <c r="P87" s="1"/>
      <c r="Q87" s="7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6"/>
      <c r="G88" s="6"/>
      <c r="H88" s="6"/>
      <c r="I88" s="6"/>
      <c r="J88" s="6"/>
      <c r="K88" s="6"/>
      <c r="L88" s="6"/>
      <c r="M88" s="6"/>
      <c r="N88" s="6"/>
      <c r="O88" s="6"/>
      <c r="P88" s="1"/>
      <c r="Q88" s="7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6"/>
      <c r="G89" s="6"/>
      <c r="H89" s="6"/>
      <c r="I89" s="6"/>
      <c r="J89" s="6"/>
      <c r="K89" s="6"/>
      <c r="L89" s="6"/>
      <c r="M89" s="6"/>
      <c r="N89" s="6"/>
      <c r="O89" s="6"/>
      <c r="P89" s="1"/>
      <c r="Q89" s="7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6"/>
      <c r="G90" s="6"/>
      <c r="H90" s="6"/>
      <c r="I90" s="6"/>
      <c r="J90" s="6"/>
      <c r="K90" s="6"/>
      <c r="L90" s="6"/>
      <c r="M90" s="6"/>
      <c r="N90" s="6"/>
      <c r="O90" s="6"/>
      <c r="P90" s="1"/>
      <c r="Q90" s="7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6"/>
      <c r="G91" s="6"/>
      <c r="H91" s="6"/>
      <c r="I91" s="6"/>
      <c r="J91" s="6"/>
      <c r="K91" s="6"/>
      <c r="L91" s="6"/>
      <c r="M91" s="6"/>
      <c r="N91" s="6"/>
      <c r="O91" s="6"/>
      <c r="P91" s="1"/>
      <c r="Q91" s="7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6"/>
      <c r="G92" s="6"/>
      <c r="H92" s="6"/>
      <c r="I92" s="6"/>
      <c r="J92" s="6"/>
      <c r="K92" s="6"/>
      <c r="L92" s="6"/>
      <c r="M92" s="6"/>
      <c r="N92" s="6"/>
      <c r="O92" s="6"/>
      <c r="P92" s="1"/>
      <c r="Q92" s="7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6"/>
      <c r="G93" s="6"/>
      <c r="H93" s="6"/>
      <c r="I93" s="6"/>
      <c r="J93" s="6"/>
      <c r="K93" s="6"/>
      <c r="L93" s="6"/>
      <c r="M93" s="6"/>
      <c r="N93" s="6"/>
      <c r="O93" s="6"/>
      <c r="P93" s="1"/>
      <c r="Q93" s="7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6"/>
      <c r="G94" s="6"/>
      <c r="H94" s="6"/>
      <c r="I94" s="6"/>
      <c r="J94" s="6"/>
      <c r="K94" s="6"/>
      <c r="L94" s="6"/>
      <c r="M94" s="6"/>
      <c r="N94" s="6"/>
      <c r="O94" s="6"/>
      <c r="P94" s="1"/>
      <c r="Q94" s="7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6"/>
      <c r="G95" s="6"/>
      <c r="H95" s="6"/>
      <c r="I95" s="6"/>
      <c r="J95" s="6"/>
      <c r="K95" s="6"/>
      <c r="L95" s="6"/>
      <c r="M95" s="6"/>
      <c r="N95" s="6"/>
      <c r="O95" s="6"/>
      <c r="P95" s="1"/>
      <c r="Q95" s="7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6"/>
      <c r="G96" s="6"/>
      <c r="H96" s="6"/>
      <c r="I96" s="6"/>
      <c r="J96" s="6"/>
      <c r="K96" s="6"/>
      <c r="L96" s="6"/>
      <c r="M96" s="6"/>
      <c r="N96" s="6"/>
      <c r="O96" s="6"/>
      <c r="P96" s="1"/>
      <c r="Q96" s="7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6"/>
      <c r="G97" s="6"/>
      <c r="H97" s="6"/>
      <c r="I97" s="6"/>
      <c r="J97" s="6"/>
      <c r="K97" s="6"/>
      <c r="L97" s="6"/>
      <c r="M97" s="6"/>
      <c r="N97" s="6"/>
      <c r="O97" s="6"/>
      <c r="P97" s="1"/>
      <c r="Q97" s="7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6"/>
      <c r="G98" s="6"/>
      <c r="H98" s="6"/>
      <c r="I98" s="6"/>
      <c r="J98" s="6"/>
      <c r="K98" s="6"/>
      <c r="L98" s="6"/>
      <c r="M98" s="6"/>
      <c r="N98" s="6"/>
      <c r="O98" s="6"/>
      <c r="P98" s="1"/>
      <c r="Q98" s="7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6"/>
      <c r="G99" s="6"/>
      <c r="H99" s="6"/>
      <c r="I99" s="6"/>
      <c r="J99" s="6"/>
      <c r="K99" s="6"/>
      <c r="L99" s="6"/>
      <c r="M99" s="6"/>
      <c r="N99" s="6"/>
      <c r="O99" s="6"/>
      <c r="P99" s="1"/>
      <c r="Q99" s="7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1"/>
      <c r="Q100" s="7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1"/>
      <c r="Q101" s="7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1"/>
      <c r="Q102" s="7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1"/>
      <c r="Q103" s="7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1"/>
      <c r="Q104" s="7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1"/>
      <c r="Q105" s="7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1"/>
      <c r="Q106" s="7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1"/>
      <c r="Q107" s="7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1"/>
      <c r="Q108" s="7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1"/>
      <c r="Q109" s="7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1"/>
      <c r="Q110" s="7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1"/>
      <c r="Q111" s="7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1"/>
      <c r="Q112" s="7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1"/>
      <c r="Q113" s="7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1"/>
      <c r="Q114" s="7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1"/>
      <c r="Q115" s="7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1"/>
      <c r="Q116" s="7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1"/>
      <c r="Q117" s="7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1"/>
      <c r="Q118" s="7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1"/>
      <c r="Q119" s="7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1"/>
      <c r="Q120" s="7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1"/>
      <c r="Q121" s="7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1"/>
      <c r="Q122" s="7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1"/>
      <c r="Q123" s="7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1"/>
      <c r="Q124" s="7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1"/>
      <c r="Q125" s="7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1"/>
      <c r="Q126" s="7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1"/>
      <c r="Q127" s="7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1"/>
      <c r="Q128" s="7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1"/>
      <c r="Q129" s="7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1"/>
      <c r="Q130" s="7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1"/>
      <c r="Q131" s="7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1"/>
      <c r="Q132" s="7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1"/>
      <c r="Q133" s="7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1"/>
      <c r="Q134" s="7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1"/>
      <c r="Q135" s="7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1"/>
      <c r="Q136" s="7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1"/>
      <c r="Q137" s="7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1"/>
      <c r="Q138" s="7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1"/>
      <c r="Q139" s="7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1"/>
      <c r="Q140" s="7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1"/>
      <c r="Q141" s="7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1"/>
      <c r="Q142" s="7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1"/>
      <c r="Q143" s="7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1"/>
      <c r="Q144" s="7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1"/>
      <c r="Q145" s="7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1"/>
      <c r="Q146" s="7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1"/>
      <c r="Q147" s="7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1"/>
      <c r="Q148" s="7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1"/>
      <c r="Q149" s="7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1"/>
      <c r="Q150" s="7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1"/>
      <c r="Q151" s="7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1"/>
      <c r="Q152" s="7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1"/>
      <c r="Q153" s="7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1"/>
      <c r="Q154" s="7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1"/>
      <c r="Q155" s="7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1"/>
      <c r="Q156" s="7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1"/>
      <c r="Q157" s="7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1"/>
      <c r="Q158" s="7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1"/>
      <c r="Q159" s="7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1"/>
      <c r="Q160" s="7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1"/>
      <c r="Q161" s="7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1"/>
      <c r="Q162" s="7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1"/>
      <c r="Q163" s="7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1"/>
      <c r="Q164" s="7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1"/>
      <c r="Q165" s="7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1"/>
      <c r="Q166" s="7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1"/>
      <c r="Q167" s="7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1"/>
      <c r="Q168" s="7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1"/>
      <c r="Q169" s="7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1"/>
      <c r="Q170" s="7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1"/>
      <c r="Q171" s="7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1"/>
      <c r="Q172" s="7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1"/>
      <c r="Q173" s="7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1"/>
      <c r="Q174" s="7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1"/>
      <c r="Q175" s="7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1"/>
      <c r="Q176" s="7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1"/>
      <c r="Q177" s="7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1"/>
      <c r="Q178" s="7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1"/>
      <c r="Q179" s="7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1"/>
      <c r="Q180" s="7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1"/>
      <c r="Q181" s="7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1"/>
      <c r="Q182" s="7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1"/>
      <c r="Q183" s="7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1"/>
      <c r="Q184" s="7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1"/>
      <c r="Q185" s="7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1"/>
      <c r="Q186" s="7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1"/>
      <c r="Q187" s="7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1"/>
      <c r="Q188" s="7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1"/>
      <c r="Q189" s="7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1"/>
      <c r="Q190" s="7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1"/>
      <c r="Q191" s="7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1"/>
      <c r="Q192" s="7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1"/>
      <c r="Q193" s="7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1"/>
      <c r="Q194" s="7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1"/>
      <c r="Q195" s="7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1"/>
      <c r="Q196" s="7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1"/>
      <c r="Q197" s="7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1"/>
      <c r="Q198" s="7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1"/>
      <c r="Q199" s="7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1"/>
      <c r="Q200" s="7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1"/>
      <c r="Q201" s="7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1"/>
      <c r="Q202" s="7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1"/>
      <c r="Q203" s="7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1"/>
      <c r="Q204" s="7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1"/>
      <c r="Q205" s="7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1"/>
      <c r="Q206" s="7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1"/>
      <c r="Q207" s="7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1"/>
      <c r="Q208" s="7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1"/>
      <c r="Q209" s="7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1"/>
      <c r="Q210" s="7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1"/>
      <c r="Q211" s="7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1"/>
      <c r="Q212" s="7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1"/>
      <c r="Q213" s="7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1"/>
      <c r="Q214" s="7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1"/>
      <c r="Q215" s="7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1"/>
      <c r="Q216" s="7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1"/>
      <c r="Q217" s="7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1"/>
      <c r="Q218" s="7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1"/>
      <c r="Q219" s="7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1"/>
      <c r="Q220" s="7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1"/>
      <c r="Q221" s="7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1"/>
      <c r="Q222" s="7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1"/>
      <c r="Q223" s="7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1"/>
      <c r="Q224" s="7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1"/>
      <c r="Q225" s="7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1"/>
      <c r="Q226" s="7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1"/>
      <c r="Q227" s="7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1"/>
      <c r="Q228" s="7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1"/>
      <c r="Q229" s="7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1"/>
      <c r="Q230" s="7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1"/>
      <c r="Q231" s="7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1"/>
      <c r="Q232" s="7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1"/>
      <c r="Q233" s="7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1"/>
      <c r="Q234" s="7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1"/>
      <c r="Q235" s="7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1"/>
      <c r="Q236" s="7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1"/>
      <c r="Q237" s="7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1"/>
      <c r="Q238" s="7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1"/>
      <c r="Q239" s="7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1"/>
      <c r="Q240" s="7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1"/>
      <c r="Q241" s="7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1"/>
      <c r="Q242" s="7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1"/>
      <c r="Q243" s="7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1"/>
      <c r="Q244" s="7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1"/>
      <c r="Q245" s="7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1"/>
      <c r="Q246" s="7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1"/>
      <c r="Q247" s="7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1"/>
      <c r="Q248" s="7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1"/>
      <c r="Q249" s="7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1"/>
      <c r="Q250" s="7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1"/>
      <c r="Q251" s="7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1"/>
      <c r="Q252" s="7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1"/>
      <c r="Q253" s="7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1"/>
      <c r="Q254" s="7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1"/>
      <c r="Q255" s="7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1"/>
      <c r="Q256" s="7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1"/>
      <c r="Q257" s="7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1"/>
      <c r="Q258" s="7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1"/>
      <c r="Q259" s="7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1"/>
      <c r="Q260" s="7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1"/>
      <c r="Q261" s="7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1"/>
      <c r="Q262" s="7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1"/>
      <c r="Q263" s="7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1"/>
      <c r="Q264" s="7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1"/>
      <c r="Q265" s="7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1"/>
      <c r="Q266" s="7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1"/>
      <c r="Q267" s="7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1"/>
      <c r="Q268" s="7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1"/>
      <c r="Q269" s="7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1"/>
      <c r="Q270" s="7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1"/>
      <c r="Q271" s="7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1"/>
      <c r="Q272" s="7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1"/>
      <c r="Q273" s="7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1"/>
      <c r="Q274" s="7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1"/>
      <c r="Q275" s="7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1"/>
      <c r="Q276" s="7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1"/>
      <c r="Q277" s="7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1"/>
      <c r="Q278" s="7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1"/>
      <c r="Q279" s="7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1"/>
      <c r="Q280" s="7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1"/>
      <c r="Q281" s="7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1"/>
      <c r="Q282" s="7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1"/>
      <c r="Q283" s="7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1"/>
      <c r="Q284" s="7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1"/>
      <c r="Q285" s="7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1"/>
      <c r="Q286" s="7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1"/>
      <c r="Q287" s="7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1"/>
      <c r="Q288" s="7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1"/>
      <c r="Q289" s="7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1"/>
      <c r="Q290" s="7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1"/>
      <c r="Q291" s="7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1"/>
      <c r="Q292" s="7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1"/>
      <c r="Q293" s="7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1"/>
      <c r="Q294" s="7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1"/>
      <c r="Q295" s="7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1"/>
      <c r="Q296" s="7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1"/>
      <c r="Q297" s="7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1"/>
      <c r="Q298" s="7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1"/>
      <c r="Q299" s="7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1"/>
      <c r="Q300" s="7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1"/>
      <c r="Q301" s="7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1"/>
      <c r="Q302" s="7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1"/>
      <c r="Q303" s="7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1"/>
      <c r="Q304" s="7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1"/>
      <c r="Q305" s="7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1"/>
      <c r="Q306" s="7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1"/>
      <c r="Q307" s="7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1"/>
      <c r="Q308" s="7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1"/>
      <c r="Q309" s="7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1"/>
      <c r="Q310" s="7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1"/>
      <c r="Q311" s="7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1"/>
      <c r="Q312" s="7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1"/>
      <c r="Q313" s="7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1"/>
      <c r="Q314" s="7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1"/>
      <c r="Q315" s="7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1"/>
      <c r="Q316" s="7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1"/>
      <c r="Q317" s="7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1"/>
      <c r="Q318" s="7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1"/>
      <c r="Q319" s="7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1"/>
      <c r="Q320" s="7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1"/>
      <c r="Q321" s="7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1"/>
      <c r="Q322" s="7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1"/>
      <c r="Q323" s="7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1"/>
      <c r="Q324" s="7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1"/>
      <c r="Q325" s="7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1"/>
      <c r="Q326" s="7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1"/>
      <c r="Q327" s="7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1"/>
      <c r="Q328" s="7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1"/>
      <c r="Q329" s="7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1"/>
      <c r="Q330" s="7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1"/>
      <c r="Q331" s="7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1"/>
      <c r="Q332" s="7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1"/>
      <c r="Q333" s="7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1"/>
      <c r="Q334" s="7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1"/>
      <c r="Q335" s="7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1"/>
      <c r="Q336" s="7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1"/>
      <c r="Q337" s="7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1"/>
      <c r="Q338" s="7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1"/>
      <c r="Q339" s="7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1"/>
      <c r="Q340" s="7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1"/>
      <c r="Q341" s="7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1"/>
      <c r="Q342" s="7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1"/>
      <c r="Q343" s="7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1"/>
      <c r="Q344" s="7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1"/>
      <c r="Q345" s="7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1"/>
      <c r="Q346" s="7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1"/>
      <c r="Q347" s="7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1"/>
      <c r="Q348" s="7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1"/>
      <c r="Q349" s="7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1"/>
      <c r="Q350" s="7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1"/>
      <c r="Q351" s="7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1"/>
      <c r="Q352" s="7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1"/>
      <c r="Q353" s="7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1"/>
      <c r="Q354" s="7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1"/>
      <c r="Q355" s="7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1"/>
      <c r="Q356" s="7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1"/>
      <c r="Q357" s="7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1"/>
      <c r="Q358" s="7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1"/>
      <c r="Q359" s="7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1"/>
      <c r="Q360" s="7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1"/>
      <c r="Q361" s="7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1"/>
      <c r="Q362" s="7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1"/>
      <c r="Q363" s="7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1"/>
      <c r="Q364" s="7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1"/>
      <c r="Q365" s="7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1"/>
      <c r="Q366" s="7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1"/>
      <c r="Q367" s="7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1"/>
      <c r="Q368" s="7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1"/>
      <c r="Q369" s="7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1"/>
      <c r="Q370" s="7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1"/>
      <c r="Q371" s="7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1"/>
      <c r="Q372" s="7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1"/>
      <c r="Q373" s="7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1"/>
      <c r="Q374" s="7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1"/>
      <c r="Q375" s="7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1"/>
      <c r="Q376" s="7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1"/>
      <c r="Q377" s="7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1"/>
      <c r="Q378" s="7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1"/>
      <c r="Q379" s="7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1"/>
      <c r="Q380" s="7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1"/>
      <c r="Q381" s="7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1"/>
      <c r="Q382" s="7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1"/>
      <c r="Q383" s="7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1"/>
      <c r="Q384" s="7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1"/>
      <c r="Q385" s="7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1"/>
      <c r="Q386" s="7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1"/>
      <c r="Q387" s="7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1"/>
      <c r="Q388" s="7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1"/>
      <c r="Q389" s="7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1"/>
      <c r="Q390" s="7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1"/>
      <c r="Q391" s="7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1"/>
      <c r="Q392" s="7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1"/>
      <c r="Q393" s="7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1"/>
      <c r="Q394" s="7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1"/>
      <c r="Q395" s="7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1"/>
      <c r="Q396" s="7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1"/>
      <c r="Q397" s="7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1"/>
      <c r="Q398" s="7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1"/>
      <c r="Q399" s="7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1"/>
      <c r="Q400" s="7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1"/>
      <c r="Q401" s="7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1"/>
      <c r="Q402" s="7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1"/>
      <c r="Q403" s="7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1"/>
      <c r="Q404" s="7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1"/>
      <c r="Q405" s="7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1"/>
      <c r="Q406" s="7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1"/>
      <c r="Q407" s="7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1"/>
      <c r="Q408" s="7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1"/>
      <c r="Q409" s="7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1"/>
      <c r="Q410" s="7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1"/>
      <c r="Q411" s="7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1"/>
      <c r="Q412" s="7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1"/>
      <c r="Q413" s="7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1"/>
      <c r="Q414" s="7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1"/>
      <c r="Q415" s="7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1"/>
      <c r="Q416" s="7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1"/>
      <c r="Q417" s="7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1"/>
      <c r="Q418" s="7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1"/>
      <c r="Q419" s="7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1"/>
      <c r="Q420" s="7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1"/>
      <c r="Q421" s="7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1"/>
      <c r="Q422" s="7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1"/>
      <c r="Q423" s="7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1"/>
      <c r="Q424" s="7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1"/>
      <c r="Q425" s="7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1"/>
      <c r="Q426" s="7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1"/>
      <c r="Q427" s="7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1"/>
      <c r="Q428" s="7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1"/>
      <c r="Q429" s="7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1"/>
      <c r="Q430" s="7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1"/>
      <c r="Q431" s="7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1"/>
      <c r="Q432" s="7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1"/>
      <c r="Q433" s="7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1"/>
      <c r="Q434" s="7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1"/>
      <c r="Q435" s="7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1"/>
      <c r="Q436" s="7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1"/>
      <c r="Q437" s="7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1"/>
      <c r="Q438" s="7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1"/>
      <c r="Q439" s="7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1"/>
      <c r="Q440" s="7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1"/>
      <c r="Q441" s="7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1"/>
      <c r="Q442" s="7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1"/>
      <c r="Q443" s="7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1"/>
      <c r="Q444" s="7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1"/>
      <c r="Q445" s="7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1"/>
      <c r="Q446" s="7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1"/>
      <c r="Q447" s="7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1"/>
      <c r="Q448" s="7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1"/>
      <c r="Q449" s="7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1"/>
      <c r="Q450" s="7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1"/>
      <c r="Q451" s="7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1"/>
      <c r="Q452" s="7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1"/>
      <c r="Q453" s="7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1"/>
      <c r="Q454" s="7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1"/>
      <c r="Q455" s="7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1"/>
      <c r="Q456" s="7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1"/>
      <c r="Q457" s="7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1"/>
      <c r="Q458" s="7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1"/>
      <c r="Q459" s="7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1"/>
      <c r="Q460" s="7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1"/>
      <c r="Q461" s="7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1"/>
      <c r="Q462" s="7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1"/>
      <c r="Q463" s="7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1"/>
      <c r="Q464" s="7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1"/>
      <c r="Q465" s="7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1"/>
      <c r="Q466" s="7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1"/>
      <c r="Q467" s="7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1"/>
      <c r="Q468" s="7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1"/>
      <c r="Q469" s="7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1"/>
      <c r="Q470" s="7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1"/>
      <c r="Q471" s="7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1"/>
      <c r="Q472" s="7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1"/>
      <c r="Q473" s="7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1"/>
      <c r="Q474" s="7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1"/>
      <c r="Q475" s="7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1"/>
      <c r="Q476" s="7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1"/>
      <c r="Q477" s="7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1"/>
      <c r="Q478" s="7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1"/>
      <c r="Q479" s="7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1"/>
      <c r="Q480" s="7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1"/>
      <c r="Q481" s="7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1"/>
      <c r="Q482" s="7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1"/>
      <c r="Q483" s="7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1"/>
      <c r="Q484" s="7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1"/>
      <c r="Q485" s="7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1"/>
      <c r="Q486" s="7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1"/>
      <c r="Q487" s="7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1"/>
      <c r="Q488" s="7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1"/>
      <c r="Q489" s="7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1"/>
      <c r="Q490" s="7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1"/>
      <c r="Q491" s="7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1"/>
      <c r="Q492" s="7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1"/>
      <c r="Q493" s="7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1"/>
      <c r="Q494" s="7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1"/>
      <c r="Q495" s="7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1"/>
      <c r="Q496" s="7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1"/>
      <c r="Q497" s="7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1"/>
      <c r="Q498" s="7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1"/>
      <c r="Q499" s="7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1"/>
      <c r="Q500" s="7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1"/>
      <c r="Q501" s="7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1"/>
      <c r="Q502" s="7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1"/>
      <c r="Q503" s="7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1"/>
      <c r="Q504" s="7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1"/>
      <c r="Q505" s="7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1"/>
      <c r="Q506" s="7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1"/>
      <c r="Q507" s="7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1"/>
      <c r="Q508" s="7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1"/>
      <c r="Q509" s="7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1"/>
      <c r="Q510" s="7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1"/>
      <c r="Q511" s="7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1"/>
      <c r="Q512" s="7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1"/>
      <c r="Q513" s="7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1"/>
      <c r="Q514" s="7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1"/>
      <c r="Q515" s="7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1"/>
      <c r="Q516" s="7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1"/>
      <c r="Q517" s="7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1"/>
      <c r="Q518" s="7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1"/>
      <c r="Q519" s="7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1"/>
      <c r="Q520" s="7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1"/>
      <c r="Q521" s="7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1"/>
      <c r="Q522" s="7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1"/>
      <c r="Q523" s="7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1"/>
      <c r="Q524" s="7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1"/>
      <c r="Q525" s="7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1"/>
      <c r="Q526" s="7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1"/>
      <c r="Q527" s="7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1"/>
      <c r="Q528" s="7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1"/>
      <c r="Q529" s="7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1"/>
      <c r="Q530" s="7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1"/>
      <c r="Q531" s="7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1"/>
      <c r="Q532" s="7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1"/>
      <c r="Q533" s="7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1"/>
      <c r="Q534" s="7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1"/>
      <c r="Q535" s="7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1"/>
      <c r="Q536" s="7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1"/>
      <c r="Q537" s="7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1"/>
      <c r="Q538" s="7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1"/>
      <c r="Q539" s="7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1"/>
      <c r="Q540" s="7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1"/>
      <c r="Q541" s="7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1"/>
      <c r="Q542" s="7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1"/>
      <c r="Q543" s="7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1"/>
      <c r="Q544" s="7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1"/>
      <c r="Q545" s="7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1"/>
      <c r="Q546" s="7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1"/>
      <c r="Q547" s="7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1"/>
      <c r="Q548" s="7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1"/>
      <c r="Q549" s="7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1"/>
      <c r="Q550" s="7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1"/>
      <c r="Q551" s="7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1"/>
      <c r="Q552" s="7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1"/>
      <c r="Q553" s="7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1"/>
      <c r="Q554" s="7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1"/>
      <c r="Q555" s="7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1"/>
      <c r="Q556" s="7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1"/>
      <c r="Q557" s="7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1"/>
      <c r="Q558" s="7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1"/>
      <c r="Q559" s="7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1"/>
      <c r="Q560" s="7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1"/>
      <c r="Q561" s="7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1"/>
      <c r="Q562" s="7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1"/>
      <c r="Q563" s="7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1"/>
      <c r="Q564" s="7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1"/>
      <c r="Q565" s="7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1"/>
      <c r="Q566" s="7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1"/>
      <c r="Q567" s="7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1"/>
      <c r="Q568" s="7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1"/>
      <c r="Q569" s="7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1"/>
      <c r="Q570" s="7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1"/>
      <c r="Q571" s="7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1"/>
      <c r="Q572" s="7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1"/>
      <c r="Q573" s="7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1"/>
      <c r="Q574" s="7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1"/>
      <c r="Q575" s="7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1"/>
      <c r="Q576" s="7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1"/>
      <c r="Q577" s="7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1"/>
      <c r="Q578" s="7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1"/>
      <c r="Q579" s="7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1"/>
      <c r="Q580" s="7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1"/>
      <c r="Q581" s="7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1"/>
      <c r="Q582" s="7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1"/>
      <c r="Q583" s="7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1"/>
      <c r="Q584" s="7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1"/>
      <c r="Q585" s="7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1"/>
      <c r="Q586" s="7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1"/>
      <c r="Q587" s="7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1"/>
      <c r="Q588" s="7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1"/>
      <c r="Q589" s="7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1"/>
      <c r="Q590" s="7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1"/>
      <c r="Q591" s="7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1"/>
      <c r="Q592" s="7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1"/>
      <c r="Q593" s="7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1"/>
      <c r="Q594" s="7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1"/>
      <c r="Q595" s="7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1"/>
      <c r="Q596" s="7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1"/>
      <c r="Q597" s="7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1"/>
      <c r="Q598" s="7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1"/>
      <c r="Q599" s="7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1"/>
      <c r="Q600" s="7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1"/>
      <c r="Q601" s="7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1"/>
      <c r="Q602" s="7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1"/>
      <c r="Q603" s="7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1"/>
      <c r="Q604" s="7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1"/>
      <c r="Q605" s="7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1"/>
      <c r="Q606" s="7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1"/>
      <c r="Q607" s="7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1"/>
      <c r="Q608" s="7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1"/>
      <c r="Q609" s="7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1"/>
      <c r="Q610" s="7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1"/>
      <c r="Q611" s="7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1"/>
      <c r="Q612" s="7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1"/>
      <c r="Q613" s="7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1"/>
      <c r="Q614" s="7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1"/>
      <c r="Q615" s="7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1"/>
      <c r="Q616" s="7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1"/>
      <c r="Q617" s="7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1"/>
      <c r="Q618" s="7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1"/>
      <c r="Q619" s="7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1"/>
      <c r="Q620" s="7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1"/>
      <c r="Q621" s="7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1"/>
      <c r="Q622" s="7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1"/>
      <c r="Q623" s="7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1"/>
      <c r="Q624" s="7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1"/>
      <c r="Q625" s="7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1"/>
      <c r="Q626" s="7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1"/>
      <c r="Q627" s="7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1"/>
      <c r="Q628" s="7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1"/>
      <c r="Q629" s="7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1"/>
      <c r="Q630" s="7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1"/>
      <c r="Q631" s="7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1"/>
      <c r="Q632" s="7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1"/>
      <c r="Q633" s="7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1"/>
      <c r="Q634" s="7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1"/>
      <c r="Q635" s="7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1"/>
      <c r="Q636" s="7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1"/>
      <c r="Q637" s="7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1"/>
      <c r="Q638" s="7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1"/>
      <c r="Q639" s="7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1"/>
      <c r="Q640" s="7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1"/>
      <c r="Q641" s="7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1"/>
      <c r="Q642" s="7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1"/>
      <c r="Q643" s="7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1"/>
      <c r="Q644" s="7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1"/>
      <c r="Q645" s="7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1"/>
      <c r="Q646" s="7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1"/>
      <c r="Q647" s="7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1"/>
      <c r="Q648" s="7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1"/>
      <c r="Q649" s="7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1"/>
      <c r="Q650" s="7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1"/>
      <c r="Q651" s="7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1"/>
      <c r="Q652" s="7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1"/>
      <c r="Q653" s="7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1"/>
      <c r="Q654" s="7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1"/>
      <c r="Q655" s="7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1"/>
      <c r="Q656" s="7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1"/>
      <c r="Q657" s="7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1"/>
      <c r="Q658" s="7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1"/>
      <c r="Q659" s="7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1"/>
      <c r="Q660" s="7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1"/>
      <c r="Q661" s="7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1"/>
      <c r="Q662" s="7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1"/>
      <c r="Q663" s="7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1"/>
      <c r="Q664" s="7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1"/>
      <c r="Q665" s="7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1"/>
      <c r="Q666" s="7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1"/>
      <c r="Q667" s="7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1"/>
      <c r="Q668" s="7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1"/>
      <c r="Q669" s="7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1"/>
      <c r="Q670" s="7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1"/>
      <c r="Q671" s="7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1"/>
      <c r="Q672" s="7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1"/>
      <c r="Q673" s="7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1"/>
      <c r="Q674" s="7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1"/>
      <c r="Q675" s="7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1"/>
      <c r="Q676" s="7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1"/>
      <c r="Q677" s="7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1"/>
      <c r="Q678" s="7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1"/>
      <c r="Q679" s="7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1"/>
      <c r="Q680" s="7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1"/>
      <c r="Q681" s="7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1"/>
      <c r="Q682" s="7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1"/>
      <c r="Q683" s="7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1"/>
      <c r="Q684" s="7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1"/>
      <c r="Q685" s="7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1"/>
      <c r="Q686" s="7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1"/>
      <c r="Q687" s="7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1"/>
      <c r="Q688" s="7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1"/>
      <c r="Q689" s="7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1"/>
      <c r="Q690" s="7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1"/>
      <c r="Q691" s="7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1"/>
      <c r="Q692" s="7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1"/>
      <c r="Q693" s="7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1"/>
      <c r="Q694" s="7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1"/>
      <c r="Q695" s="7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1"/>
      <c r="Q696" s="7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1"/>
      <c r="Q697" s="7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1"/>
      <c r="Q698" s="7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1"/>
      <c r="Q699" s="7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1"/>
      <c r="Q700" s="7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1"/>
      <c r="Q701" s="7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1"/>
      <c r="Q702" s="7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1"/>
      <c r="Q703" s="7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1"/>
      <c r="Q704" s="7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1"/>
      <c r="Q705" s="7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1"/>
      <c r="Q706" s="7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1"/>
      <c r="Q707" s="7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1"/>
      <c r="Q708" s="7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1"/>
      <c r="Q709" s="7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1"/>
      <c r="Q710" s="7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1"/>
      <c r="Q711" s="7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1"/>
      <c r="Q712" s="7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1"/>
      <c r="Q713" s="7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1"/>
      <c r="Q714" s="7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1"/>
      <c r="Q715" s="7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1"/>
      <c r="Q716" s="7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1"/>
      <c r="Q717" s="7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1"/>
      <c r="Q718" s="7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1"/>
      <c r="Q719" s="7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1"/>
      <c r="Q720" s="7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1"/>
      <c r="Q721" s="7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1"/>
      <c r="Q722" s="7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1"/>
      <c r="Q723" s="7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1"/>
      <c r="Q724" s="7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1"/>
      <c r="Q725" s="7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1"/>
      <c r="Q726" s="7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1"/>
      <c r="Q727" s="7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1"/>
      <c r="Q728" s="7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1"/>
      <c r="Q729" s="7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1"/>
      <c r="Q730" s="7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1"/>
      <c r="Q731" s="7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1"/>
      <c r="Q732" s="7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1"/>
      <c r="Q733" s="7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1"/>
      <c r="Q734" s="7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1"/>
      <c r="Q735" s="7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1"/>
      <c r="Q736" s="7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1"/>
      <c r="Q737" s="7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1"/>
      <c r="Q738" s="7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1"/>
      <c r="Q739" s="7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1"/>
      <c r="Q740" s="7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1"/>
      <c r="Q741" s="7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1"/>
      <c r="Q742" s="7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1"/>
      <c r="Q743" s="7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1"/>
      <c r="Q744" s="7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1"/>
      <c r="Q745" s="7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1"/>
      <c r="Q746" s="7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1"/>
      <c r="Q747" s="7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1"/>
      <c r="Q748" s="7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1"/>
      <c r="Q749" s="7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1"/>
      <c r="Q750" s="7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1"/>
      <c r="Q751" s="7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1"/>
      <c r="Q752" s="7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1"/>
      <c r="Q753" s="7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1"/>
      <c r="Q754" s="7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1"/>
      <c r="Q755" s="7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1"/>
      <c r="Q756" s="7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1"/>
      <c r="Q757" s="7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1"/>
      <c r="Q758" s="7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1"/>
      <c r="Q759" s="7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1"/>
      <c r="Q760" s="7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1"/>
      <c r="Q761" s="7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1"/>
      <c r="Q762" s="7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1"/>
      <c r="Q763" s="7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1"/>
      <c r="Q764" s="7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1"/>
      <c r="Q765" s="7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1"/>
      <c r="Q766" s="7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1"/>
      <c r="Q767" s="7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1"/>
      <c r="Q768" s="7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1"/>
      <c r="Q769" s="7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1"/>
      <c r="Q770" s="7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1"/>
      <c r="Q771" s="7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1"/>
      <c r="Q772" s="7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1"/>
      <c r="Q773" s="7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1"/>
      <c r="Q774" s="7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1"/>
      <c r="Q775" s="7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1"/>
      <c r="Q776" s="7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1"/>
      <c r="Q777" s="7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1"/>
      <c r="Q778" s="7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1"/>
      <c r="Q779" s="7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1"/>
      <c r="Q780" s="7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1"/>
      <c r="Q781" s="7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1"/>
      <c r="Q782" s="7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1"/>
      <c r="Q783" s="7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1"/>
      <c r="Q784" s="7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1"/>
      <c r="Q785" s="7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1"/>
      <c r="Q786" s="7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1"/>
      <c r="Q787" s="7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1"/>
      <c r="Q788" s="7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1"/>
      <c r="Q789" s="7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1"/>
      <c r="Q790" s="7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1"/>
      <c r="Q791" s="7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1"/>
      <c r="Q792" s="7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1"/>
      <c r="Q793" s="7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1"/>
      <c r="Q794" s="7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1"/>
      <c r="Q795" s="7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1"/>
      <c r="Q796" s="7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1"/>
      <c r="Q797" s="7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1"/>
      <c r="Q798" s="7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1"/>
      <c r="Q799" s="7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1"/>
      <c r="Q800" s="7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1"/>
      <c r="Q801" s="7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1"/>
      <c r="Q802" s="7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1"/>
      <c r="Q803" s="7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1"/>
      <c r="Q804" s="7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1"/>
      <c r="Q805" s="7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1"/>
      <c r="Q806" s="7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1"/>
      <c r="Q807" s="7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1"/>
      <c r="Q808" s="7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1"/>
      <c r="Q809" s="7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1"/>
      <c r="Q810" s="7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1"/>
      <c r="Q811" s="7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1"/>
      <c r="Q812" s="7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1"/>
      <c r="Q813" s="7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1"/>
      <c r="Q814" s="7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1"/>
      <c r="Q815" s="7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1"/>
      <c r="Q816" s="7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1"/>
      <c r="Q817" s="7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1"/>
      <c r="Q818" s="7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1"/>
      <c r="Q819" s="7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1"/>
      <c r="Q820" s="7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1"/>
      <c r="Q821" s="7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1"/>
      <c r="Q822" s="7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1"/>
      <c r="Q823" s="7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1"/>
      <c r="Q824" s="7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1"/>
      <c r="Q825" s="7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1"/>
      <c r="Q826" s="7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1"/>
      <c r="Q827" s="7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1"/>
      <c r="Q828" s="7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1"/>
      <c r="Q829" s="7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1"/>
      <c r="Q830" s="7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1"/>
      <c r="Q831" s="7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1"/>
      <c r="Q832" s="7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1"/>
      <c r="Q833" s="7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1"/>
      <c r="Q834" s="7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1"/>
      <c r="Q835" s="7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1"/>
      <c r="Q836" s="7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1"/>
      <c r="Q837" s="7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1"/>
      <c r="Q838" s="7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1"/>
      <c r="Q839" s="7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1"/>
      <c r="Q840" s="7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1"/>
      <c r="Q841" s="7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1"/>
      <c r="Q842" s="7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1"/>
      <c r="Q843" s="7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1"/>
      <c r="Q844" s="7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1"/>
      <c r="Q845" s="7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1"/>
      <c r="Q846" s="7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1"/>
      <c r="Q847" s="7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1"/>
      <c r="Q848" s="7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1"/>
      <c r="Q849" s="7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1"/>
      <c r="Q850" s="7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1"/>
      <c r="Q851" s="7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1"/>
      <c r="Q852" s="7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1"/>
      <c r="Q853" s="7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1"/>
      <c r="Q854" s="7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1"/>
      <c r="Q855" s="7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1"/>
      <c r="Q856" s="7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1"/>
      <c r="Q857" s="7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1"/>
      <c r="Q858" s="7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1"/>
      <c r="Q859" s="7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1"/>
      <c r="Q860" s="7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1"/>
      <c r="Q861" s="7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1"/>
      <c r="Q862" s="7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1"/>
      <c r="Q863" s="7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1"/>
      <c r="Q864" s="7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1"/>
      <c r="Q865" s="7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1"/>
      <c r="Q866" s="7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1"/>
      <c r="Q867" s="7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1"/>
      <c r="Q868" s="7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1"/>
      <c r="Q869" s="7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1"/>
      <c r="Q870" s="7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1"/>
      <c r="Q871" s="7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1"/>
      <c r="Q872" s="7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1"/>
      <c r="Q873" s="7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1"/>
      <c r="Q874" s="7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1"/>
      <c r="Q875" s="7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1"/>
      <c r="Q876" s="7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1"/>
      <c r="Q877" s="7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1"/>
      <c r="Q878" s="7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1"/>
      <c r="Q879" s="7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1"/>
      <c r="Q880" s="7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1"/>
      <c r="Q881" s="7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1"/>
      <c r="Q882" s="7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1"/>
      <c r="Q883" s="7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1"/>
      <c r="Q884" s="7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1"/>
      <c r="Q885" s="7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1"/>
      <c r="Q886" s="7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1"/>
      <c r="Q887" s="7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1"/>
      <c r="Q888" s="7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1"/>
      <c r="Q889" s="7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1"/>
      <c r="Q890" s="7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1"/>
      <c r="Q891" s="7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1"/>
      <c r="Q892" s="7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1"/>
      <c r="Q893" s="7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1"/>
      <c r="Q894" s="7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1"/>
      <c r="Q895" s="7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1"/>
      <c r="Q896" s="7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1"/>
      <c r="Q897" s="7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1"/>
      <c r="Q898" s="7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1"/>
      <c r="Q899" s="7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1"/>
      <c r="Q900" s="7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1"/>
      <c r="Q901" s="7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1"/>
      <c r="Q902" s="7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1"/>
      <c r="Q903" s="7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1"/>
      <c r="Q904" s="7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1"/>
      <c r="Q905" s="7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1"/>
      <c r="Q906" s="7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1"/>
      <c r="Q907" s="7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1"/>
      <c r="Q908" s="7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1"/>
      <c r="Q909" s="7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1"/>
      <c r="Q910" s="7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1"/>
      <c r="Q911" s="7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1"/>
      <c r="Q912" s="7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1"/>
      <c r="Q913" s="7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1"/>
      <c r="Q914" s="7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1"/>
      <c r="Q915" s="7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1"/>
      <c r="Q916" s="7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1"/>
      <c r="Q917" s="7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1"/>
      <c r="Q918" s="7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1"/>
      <c r="Q919" s="7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1"/>
      <c r="Q920" s="7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1"/>
      <c r="Q921" s="7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1"/>
      <c r="Q922" s="7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1"/>
      <c r="Q923" s="7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1"/>
      <c r="Q924" s="7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1"/>
      <c r="Q925" s="7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1"/>
      <c r="Q926" s="7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1"/>
      <c r="Q927" s="7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1"/>
      <c r="Q928" s="7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1"/>
      <c r="Q929" s="7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1"/>
      <c r="Q930" s="7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1"/>
      <c r="Q931" s="7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1"/>
      <c r="Q932" s="7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1"/>
      <c r="Q933" s="7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1"/>
      <c r="Q934" s="7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1"/>
      <c r="Q935" s="7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1"/>
      <c r="Q936" s="7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1"/>
      <c r="Q937" s="7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1"/>
      <c r="Q938" s="7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1"/>
      <c r="Q939" s="7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1"/>
      <c r="Q940" s="7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1"/>
      <c r="Q941" s="7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1"/>
      <c r="Q942" s="7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1"/>
      <c r="Q943" s="7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1"/>
      <c r="Q944" s="7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1"/>
      <c r="Q945" s="7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1"/>
      <c r="Q946" s="7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1"/>
      <c r="Q947" s="7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1"/>
      <c r="Q948" s="7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1"/>
      <c r="Q949" s="7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1"/>
      <c r="Q950" s="7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1"/>
      <c r="Q951" s="7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1"/>
      <c r="Q952" s="7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1"/>
      <c r="Q953" s="7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1"/>
      <c r="Q954" s="7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1"/>
      <c r="Q955" s="7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1"/>
      <c r="Q956" s="7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1"/>
      <c r="Q957" s="7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1"/>
      <c r="Q958" s="7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1"/>
      <c r="Q959" s="7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1"/>
      <c r="Q960" s="7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1"/>
      <c r="Q961" s="7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1"/>
      <c r="Q962" s="7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1"/>
      <c r="Q963" s="7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1"/>
      <c r="Q964" s="7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1"/>
      <c r="Q965" s="7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1"/>
      <c r="Q966" s="7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1"/>
      <c r="Q967" s="7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1"/>
      <c r="Q968" s="7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1"/>
      <c r="Q969" s="7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1"/>
      <c r="Q970" s="7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1"/>
      <c r="Q971" s="7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1"/>
      <c r="Q972" s="7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1"/>
      <c r="Q973" s="7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1"/>
      <c r="Q974" s="7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1"/>
      <c r="Q975" s="7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1"/>
      <c r="Q976" s="7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1"/>
      <c r="Q977" s="7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1"/>
      <c r="Q978" s="7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1"/>
      <c r="Q979" s="7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1"/>
      <c r="Q980" s="7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1"/>
      <c r="Q981" s="7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1"/>
      <c r="Q982" s="7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1"/>
      <c r="Q983" s="7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1"/>
      <c r="Q984" s="7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7">
    <mergeCell ref="A15:O15"/>
    <mergeCell ref="A19:O19"/>
    <mergeCell ref="B2:E2"/>
    <mergeCell ref="F2:O9"/>
    <mergeCell ref="B3:E3"/>
    <mergeCell ref="B4:E4"/>
    <mergeCell ref="A11:O11"/>
  </mergeCells>
  <dataValidations count="1">
    <dataValidation type="list" allowBlank="1" showErrorMessage="1" sqref="F20:F21 L20:L21 M22:M131 G22:G131 J22:J131 L12:L14 I12:I14 F12:F14 F16:F18 L16:L18 I16:I18 I20:I21" xr:uid="{5E725485-1995-41C2-AE29-806F2A11465B}">
      <formula1>$R$2:$R$5</formula1>
    </dataValidation>
  </dataValidations>
  <pageMargins left="0.74791666666666667" right="0.25" top="0.75" bottom="0.98402777777777772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690C-D76C-46CC-9025-FE9312CC9D6F}">
  <sheetPr>
    <outlinePr summaryBelow="0" summaryRight="0"/>
  </sheetPr>
  <dimension ref="A1:Z984"/>
  <sheetViews>
    <sheetView tabSelected="1" workbookViewId="0">
      <pane ySplit="10" topLeftCell="A11" activePane="bottomLeft" state="frozen"/>
      <selection pane="bottomLeft" activeCell="A21" sqref="A21:XFD21"/>
    </sheetView>
  </sheetViews>
  <sheetFormatPr defaultColWidth="12.6328125" defaultRowHeight="15" customHeight="1" outlineLevelRow="1" outlineLevelCol="1" x14ac:dyDescent="0.2"/>
  <cols>
    <col min="1" max="1" width="17" customWidth="1"/>
    <col min="2" max="2" width="34.453125" customWidth="1"/>
    <col min="3" max="3" width="34.08984375" customWidth="1"/>
    <col min="4" max="4" width="34.6328125" customWidth="1"/>
    <col min="5" max="5" width="28.36328125" customWidth="1"/>
    <col min="6" max="6" width="9.36328125" customWidth="1"/>
    <col min="7" max="7" width="10.6328125" customWidth="1" outlineLevel="1"/>
    <col min="8" max="8" width="7" customWidth="1" outlineLevel="1"/>
    <col min="9" max="9" width="9.36328125" customWidth="1"/>
    <col min="10" max="10" width="10.6328125" customWidth="1" outlineLevel="1"/>
    <col min="11" max="11" width="7" customWidth="1" outlineLevel="1"/>
    <col min="12" max="12" width="9.36328125" customWidth="1"/>
    <col min="13" max="13" width="10.6328125" customWidth="1" outlineLevel="1"/>
    <col min="14" max="14" width="7" customWidth="1" outlineLevel="1"/>
    <col min="15" max="15" width="28.6328125" customWidth="1"/>
    <col min="16" max="16" width="10.08984375" customWidth="1"/>
    <col min="17" max="17" width="8.08984375" customWidth="1"/>
    <col min="18" max="18" width="7.6328125" hidden="1" customWidth="1"/>
    <col min="19" max="26" width="9" customWidth="1"/>
  </cols>
  <sheetData>
    <row r="1" spans="1:26" ht="12.75" customHeight="1" thickBot="1" x14ac:dyDescent="0.3">
      <c r="A1" s="1"/>
      <c r="B1" s="1"/>
      <c r="C1" s="1"/>
      <c r="D1" s="1"/>
      <c r="E1" s="1"/>
      <c r="F1" s="6"/>
      <c r="G1" s="6"/>
      <c r="H1" s="6"/>
      <c r="I1" s="6"/>
      <c r="J1" s="6"/>
      <c r="K1" s="6"/>
      <c r="L1" s="6"/>
      <c r="M1" s="6"/>
      <c r="N1" s="6"/>
      <c r="O1" s="6"/>
      <c r="P1" s="1"/>
      <c r="Q1" s="7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2" t="s">
        <v>2</v>
      </c>
      <c r="B2" s="130" t="s">
        <v>362</v>
      </c>
      <c r="C2" s="131"/>
      <c r="D2" s="131"/>
      <c r="E2" s="132"/>
      <c r="F2" s="133"/>
      <c r="G2" s="134"/>
      <c r="H2" s="134"/>
      <c r="I2" s="134"/>
      <c r="J2" s="134"/>
      <c r="K2" s="134"/>
      <c r="L2" s="134"/>
      <c r="M2" s="134"/>
      <c r="N2" s="134"/>
      <c r="O2" s="135"/>
      <c r="P2" s="2"/>
      <c r="Q2" s="16"/>
      <c r="R2" s="17" t="s">
        <v>5</v>
      </c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5">
      <c r="A3" s="19" t="s">
        <v>7</v>
      </c>
      <c r="B3" s="142" t="s">
        <v>363</v>
      </c>
      <c r="C3" s="112"/>
      <c r="D3" s="112"/>
      <c r="E3" s="143"/>
      <c r="F3" s="136"/>
      <c r="G3" s="137"/>
      <c r="H3" s="137"/>
      <c r="I3" s="137"/>
      <c r="J3" s="137"/>
      <c r="K3" s="137"/>
      <c r="L3" s="137"/>
      <c r="M3" s="137"/>
      <c r="N3" s="137"/>
      <c r="O3" s="138"/>
      <c r="P3" s="2"/>
      <c r="Q3" s="16"/>
      <c r="R3" s="17" t="s">
        <v>8</v>
      </c>
      <c r="S3" s="17"/>
      <c r="T3" s="17"/>
      <c r="U3" s="17"/>
      <c r="V3" s="17"/>
      <c r="W3" s="17"/>
      <c r="X3" s="17"/>
      <c r="Y3" s="17"/>
      <c r="Z3" s="17"/>
    </row>
    <row r="4" spans="1:26" ht="18" customHeight="1" x14ac:dyDescent="0.25">
      <c r="A4" s="19" t="s">
        <v>9</v>
      </c>
      <c r="B4" s="142">
        <f>COUNTIF($A$12:$A$1000,"TC-*")</f>
        <v>8</v>
      </c>
      <c r="C4" s="112"/>
      <c r="D4" s="112"/>
      <c r="E4" s="143"/>
      <c r="F4" s="136"/>
      <c r="G4" s="137"/>
      <c r="H4" s="137"/>
      <c r="I4" s="137"/>
      <c r="J4" s="137"/>
      <c r="K4" s="137"/>
      <c r="L4" s="137"/>
      <c r="M4" s="137"/>
      <c r="N4" s="137"/>
      <c r="O4" s="138"/>
      <c r="P4" s="2"/>
      <c r="Q4" s="16"/>
      <c r="R4" s="17" t="s">
        <v>12</v>
      </c>
      <c r="S4" s="17"/>
      <c r="T4" s="17"/>
      <c r="U4" s="17"/>
      <c r="V4" s="17"/>
      <c r="W4" s="17"/>
      <c r="X4" s="17"/>
      <c r="Y4" s="17"/>
      <c r="Z4" s="17"/>
    </row>
    <row r="5" spans="1:26" ht="19.5" customHeight="1" x14ac:dyDescent="0.25">
      <c r="A5" s="25" t="s">
        <v>13</v>
      </c>
      <c r="B5" s="26" t="s">
        <v>5</v>
      </c>
      <c r="C5" s="26" t="s">
        <v>8</v>
      </c>
      <c r="D5" s="26" t="s">
        <v>12</v>
      </c>
      <c r="E5" s="28" t="s">
        <v>16</v>
      </c>
      <c r="F5" s="136"/>
      <c r="G5" s="137"/>
      <c r="H5" s="137"/>
      <c r="I5" s="137"/>
      <c r="J5" s="137"/>
      <c r="K5" s="137"/>
      <c r="L5" s="137"/>
      <c r="M5" s="137"/>
      <c r="N5" s="137"/>
      <c r="O5" s="138"/>
      <c r="P5" s="29"/>
      <c r="Q5" s="30"/>
      <c r="R5" s="17" t="s">
        <v>16</v>
      </c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25">
      <c r="A6" s="25" t="s">
        <v>20</v>
      </c>
      <c r="B6" s="32">
        <f>COUNTIF($F10:$F982,B5)</f>
        <v>8</v>
      </c>
      <c r="C6" s="32">
        <f>COUNTIF($F10:$F982,C5)</f>
        <v>0</v>
      </c>
      <c r="D6" s="32">
        <f>COUNTIF($F10:$F982,D5)</f>
        <v>0</v>
      </c>
      <c r="E6" s="35">
        <f>COUNTIF($F10:$F982,E5)</f>
        <v>0</v>
      </c>
      <c r="F6" s="136"/>
      <c r="G6" s="137"/>
      <c r="H6" s="137"/>
      <c r="I6" s="137"/>
      <c r="J6" s="137"/>
      <c r="K6" s="137"/>
      <c r="L6" s="137"/>
      <c r="M6" s="137"/>
      <c r="N6" s="137"/>
      <c r="O6" s="138"/>
      <c r="P6" s="29"/>
      <c r="Q6" s="30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25">
      <c r="A7" s="25" t="s">
        <v>23</v>
      </c>
      <c r="B7" s="32">
        <f>COUNTIF($I10:$I998,B5)</f>
        <v>8</v>
      </c>
      <c r="C7" s="32">
        <f>COUNTIF($I10:$I998,C5)</f>
        <v>0</v>
      </c>
      <c r="D7" s="32">
        <f>COUNTIF($I10:$I998,D5)</f>
        <v>0</v>
      </c>
      <c r="E7" s="35">
        <f>COUNTIF($I10:$I998,E5)</f>
        <v>0</v>
      </c>
      <c r="F7" s="136"/>
      <c r="G7" s="137"/>
      <c r="H7" s="137"/>
      <c r="I7" s="137"/>
      <c r="J7" s="137"/>
      <c r="K7" s="137"/>
      <c r="L7" s="137"/>
      <c r="M7" s="137"/>
      <c r="N7" s="137"/>
      <c r="O7" s="138"/>
      <c r="P7" s="29"/>
      <c r="Q7" s="30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thickBot="1" x14ac:dyDescent="0.3">
      <c r="A8" s="44" t="s">
        <v>25</v>
      </c>
      <c r="B8" s="47">
        <f>COUNTIF($L10:$L998,B5)</f>
        <v>0</v>
      </c>
      <c r="C8" s="47">
        <f>COUNTIF($L10:$L998,C5)</f>
        <v>0</v>
      </c>
      <c r="D8" s="47">
        <f>COUNTIF($L10:$L998,D5)</f>
        <v>8</v>
      </c>
      <c r="E8" s="50">
        <f>COUNTIF($L10:$L998,E5)</f>
        <v>0</v>
      </c>
      <c r="F8" s="136"/>
      <c r="G8" s="137"/>
      <c r="H8" s="137"/>
      <c r="I8" s="137"/>
      <c r="J8" s="137"/>
      <c r="K8" s="137"/>
      <c r="L8" s="137"/>
      <c r="M8" s="137"/>
      <c r="N8" s="137"/>
      <c r="O8" s="138"/>
      <c r="P8" s="29"/>
      <c r="Q8" s="30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25">
      <c r="A9" s="29"/>
      <c r="B9" s="29"/>
      <c r="C9" s="29"/>
      <c r="D9" s="29"/>
      <c r="E9" s="29"/>
      <c r="F9" s="139"/>
      <c r="G9" s="140"/>
      <c r="H9" s="140"/>
      <c r="I9" s="140"/>
      <c r="J9" s="140"/>
      <c r="K9" s="140"/>
      <c r="L9" s="140"/>
      <c r="M9" s="140"/>
      <c r="N9" s="140"/>
      <c r="O9" s="141"/>
      <c r="P9" s="29"/>
      <c r="Q9" s="30"/>
      <c r="R9" s="17"/>
      <c r="S9" s="17"/>
      <c r="T9" s="17"/>
      <c r="U9" s="17"/>
      <c r="V9" s="17"/>
      <c r="W9" s="17"/>
      <c r="X9" s="17"/>
      <c r="Y9" s="17"/>
      <c r="Z9" s="17"/>
    </row>
    <row r="10" spans="1:26" ht="25.5" customHeight="1" x14ac:dyDescent="0.25">
      <c r="A10" s="69" t="s">
        <v>38</v>
      </c>
      <c r="B10" s="69" t="s">
        <v>39</v>
      </c>
      <c r="C10" s="69" t="s">
        <v>40</v>
      </c>
      <c r="D10" s="69" t="s">
        <v>41</v>
      </c>
      <c r="E10" s="69" t="s">
        <v>42</v>
      </c>
      <c r="F10" s="69" t="s">
        <v>20</v>
      </c>
      <c r="G10" s="69" t="s">
        <v>43</v>
      </c>
      <c r="H10" s="69" t="s">
        <v>44</v>
      </c>
      <c r="I10" s="69" t="s">
        <v>23</v>
      </c>
      <c r="J10" s="69" t="s">
        <v>43</v>
      </c>
      <c r="K10" s="69" t="s">
        <v>44</v>
      </c>
      <c r="L10" s="69" t="s">
        <v>25</v>
      </c>
      <c r="M10" s="69" t="s">
        <v>43</v>
      </c>
      <c r="N10" s="69" t="s">
        <v>44</v>
      </c>
      <c r="O10" s="69" t="s">
        <v>46</v>
      </c>
      <c r="P10" s="17"/>
      <c r="Q10" s="78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5">
      <c r="A11" s="144" t="s">
        <v>364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3"/>
      <c r="P11" s="81"/>
      <c r="Q11" s="83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83.25" customHeight="1" outlineLevel="1" x14ac:dyDescent="0.2">
      <c r="A12" s="66" t="s">
        <v>365</v>
      </c>
      <c r="B12" s="66" t="s">
        <v>366</v>
      </c>
      <c r="C12" s="66" t="s">
        <v>367</v>
      </c>
      <c r="D12" s="66" t="s">
        <v>368</v>
      </c>
      <c r="E12" s="66" t="s">
        <v>369</v>
      </c>
      <c r="F12" s="87" t="s">
        <v>5</v>
      </c>
      <c r="G12" s="88">
        <v>46244.708333333336</v>
      </c>
      <c r="H12" s="87" t="s">
        <v>91</v>
      </c>
      <c r="I12" s="87" t="s">
        <v>5</v>
      </c>
      <c r="J12" s="88">
        <v>46244.708333333336</v>
      </c>
      <c r="K12" s="87" t="s">
        <v>91</v>
      </c>
      <c r="L12" s="87" t="s">
        <v>12</v>
      </c>
      <c r="M12" s="88"/>
      <c r="N12" s="87"/>
      <c r="O12" s="87"/>
      <c r="P12" s="89"/>
      <c r="Q12" s="90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12.75" customHeight="1" outlineLevel="1" x14ac:dyDescent="0.25">
      <c r="A13" s="66" t="s">
        <v>370</v>
      </c>
      <c r="B13" s="66" t="s">
        <v>371</v>
      </c>
      <c r="C13" s="66" t="s">
        <v>372</v>
      </c>
      <c r="D13" s="66" t="s">
        <v>373</v>
      </c>
      <c r="E13" s="66" t="s">
        <v>374</v>
      </c>
      <c r="F13" s="87" t="s">
        <v>5</v>
      </c>
      <c r="G13" s="88">
        <v>46244.708333333336</v>
      </c>
      <c r="H13" s="87" t="s">
        <v>91</v>
      </c>
      <c r="I13" s="87" t="s">
        <v>5</v>
      </c>
      <c r="J13" s="88">
        <v>46244.708333333336</v>
      </c>
      <c r="K13" s="87" t="s">
        <v>91</v>
      </c>
      <c r="L13" s="87" t="s">
        <v>12</v>
      </c>
      <c r="M13" s="88"/>
      <c r="N13" s="87"/>
      <c r="O13" s="87"/>
      <c r="P13" s="86"/>
      <c r="Q13" s="90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outlineLevel="1" x14ac:dyDescent="0.25">
      <c r="A14" s="66" t="s">
        <v>375</v>
      </c>
      <c r="B14" s="66" t="s">
        <v>376</v>
      </c>
      <c r="C14" s="66" t="s">
        <v>377</v>
      </c>
      <c r="D14" s="66" t="s">
        <v>378</v>
      </c>
      <c r="E14" s="66" t="s">
        <v>379</v>
      </c>
      <c r="F14" s="87" t="s">
        <v>5</v>
      </c>
      <c r="G14" s="88">
        <v>46244.708333333336</v>
      </c>
      <c r="H14" s="87" t="s">
        <v>91</v>
      </c>
      <c r="I14" s="87" t="s">
        <v>5</v>
      </c>
      <c r="J14" s="88">
        <v>46244.708333333336</v>
      </c>
      <c r="K14" s="87" t="s">
        <v>91</v>
      </c>
      <c r="L14" s="87" t="s">
        <v>12</v>
      </c>
      <c r="M14" s="88"/>
      <c r="N14" s="87"/>
      <c r="O14" s="87"/>
      <c r="P14" s="86"/>
      <c r="Q14" s="90"/>
      <c r="R14" s="1"/>
      <c r="S14" s="1"/>
      <c r="T14" s="1"/>
      <c r="U14" s="1"/>
      <c r="V14" s="1"/>
      <c r="W14" s="1"/>
      <c r="X14" s="1"/>
      <c r="Y14" s="1"/>
      <c r="Z14" s="1"/>
    </row>
    <row r="15" spans="1:26" ht="60.75" customHeight="1" outlineLevel="1" x14ac:dyDescent="0.25">
      <c r="A15" s="66" t="s">
        <v>380</v>
      </c>
      <c r="B15" s="66" t="s">
        <v>381</v>
      </c>
      <c r="C15" s="66" t="s">
        <v>382</v>
      </c>
      <c r="D15" s="66" t="s">
        <v>383</v>
      </c>
      <c r="E15" s="66" t="s">
        <v>384</v>
      </c>
      <c r="F15" s="87" t="s">
        <v>5</v>
      </c>
      <c r="G15" s="88">
        <v>46244.708333333336</v>
      </c>
      <c r="H15" s="87" t="s">
        <v>91</v>
      </c>
      <c r="I15" s="87" t="s">
        <v>5</v>
      </c>
      <c r="J15" s="88">
        <v>46244.708333333336</v>
      </c>
      <c r="K15" s="87" t="s">
        <v>91</v>
      </c>
      <c r="L15" s="87" t="s">
        <v>12</v>
      </c>
      <c r="M15" s="88"/>
      <c r="N15" s="87"/>
      <c r="O15" s="97"/>
      <c r="P15" s="81"/>
      <c r="Q15" s="83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 x14ac:dyDescent="0.25">
      <c r="A16" s="144" t="s">
        <v>385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6"/>
      <c r="P16" s="86"/>
      <c r="Q16" s="7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outlineLevel="1" x14ac:dyDescent="0.25">
      <c r="A17" s="66" t="s">
        <v>386</v>
      </c>
      <c r="B17" s="66" t="s">
        <v>387</v>
      </c>
      <c r="C17" s="66" t="s">
        <v>388</v>
      </c>
      <c r="D17" s="66" t="s">
        <v>389</v>
      </c>
      <c r="E17" s="66" t="s">
        <v>390</v>
      </c>
      <c r="F17" s="87" t="s">
        <v>5</v>
      </c>
      <c r="G17" s="88">
        <v>46244.708333333336</v>
      </c>
      <c r="H17" s="87" t="s">
        <v>76</v>
      </c>
      <c r="I17" s="87" t="s">
        <v>5</v>
      </c>
      <c r="J17" s="88">
        <v>46244.708333333336</v>
      </c>
      <c r="K17" s="87" t="s">
        <v>76</v>
      </c>
      <c r="L17" s="87" t="s">
        <v>12</v>
      </c>
      <c r="M17" s="88"/>
      <c r="N17" s="87"/>
      <c r="O17" s="87"/>
      <c r="P17" s="86"/>
      <c r="Q17" s="7"/>
      <c r="R17" s="1"/>
      <c r="S17" s="1"/>
      <c r="T17" s="1"/>
      <c r="U17" s="1"/>
      <c r="V17" s="1"/>
      <c r="W17" s="1"/>
      <c r="X17" s="1"/>
      <c r="Y17" s="1"/>
      <c r="Z17" s="1"/>
    </row>
    <row r="18" spans="1:26" ht="51" customHeight="1" outlineLevel="1" x14ac:dyDescent="0.25">
      <c r="A18" s="66" t="s">
        <v>391</v>
      </c>
      <c r="B18" s="66" t="s">
        <v>392</v>
      </c>
      <c r="C18" s="66" t="s">
        <v>393</v>
      </c>
      <c r="D18" s="66" t="s">
        <v>394</v>
      </c>
      <c r="E18" s="66" t="s">
        <v>395</v>
      </c>
      <c r="F18" s="87" t="s">
        <v>5</v>
      </c>
      <c r="G18" s="88">
        <v>46244.708333333336</v>
      </c>
      <c r="H18" s="87" t="s">
        <v>76</v>
      </c>
      <c r="I18" s="87" t="s">
        <v>5</v>
      </c>
      <c r="J18" s="88">
        <v>46244.708333333336</v>
      </c>
      <c r="K18" s="87" t="s">
        <v>76</v>
      </c>
      <c r="L18" s="87" t="s">
        <v>12</v>
      </c>
      <c r="M18" s="88"/>
      <c r="N18" s="87"/>
      <c r="O18" s="97"/>
      <c r="P18" s="81"/>
      <c r="Q18" s="83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 x14ac:dyDescent="0.25">
      <c r="A19" s="144" t="s">
        <v>396</v>
      </c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6"/>
      <c r="P19" s="86"/>
      <c r="Q19" s="7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outlineLevel="1" x14ac:dyDescent="0.25">
      <c r="A20" s="66" t="s">
        <v>397</v>
      </c>
      <c r="B20" s="66" t="s">
        <v>398</v>
      </c>
      <c r="C20" s="66" t="s">
        <v>399</v>
      </c>
      <c r="D20" s="66" t="s">
        <v>400</v>
      </c>
      <c r="E20" s="66" t="s">
        <v>401</v>
      </c>
      <c r="F20" s="87" t="s">
        <v>5</v>
      </c>
      <c r="G20" s="88">
        <v>46244.708333333336</v>
      </c>
      <c r="H20" s="87" t="s">
        <v>91</v>
      </c>
      <c r="I20" s="87" t="s">
        <v>5</v>
      </c>
      <c r="J20" s="88">
        <v>46244.708333333336</v>
      </c>
      <c r="K20" s="87" t="s">
        <v>91</v>
      </c>
      <c r="L20" s="87" t="s">
        <v>12</v>
      </c>
      <c r="M20" s="88"/>
      <c r="N20" s="87"/>
      <c r="O20" s="87"/>
      <c r="P20" s="86"/>
      <c r="Q20" s="7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outlineLevel="1" x14ac:dyDescent="0.25">
      <c r="A21" s="66" t="s">
        <v>402</v>
      </c>
      <c r="B21" s="66" t="s">
        <v>403</v>
      </c>
      <c r="C21" s="66" t="s">
        <v>404</v>
      </c>
      <c r="D21" s="66" t="s">
        <v>405</v>
      </c>
      <c r="E21" s="66" t="s">
        <v>406</v>
      </c>
      <c r="F21" s="87" t="s">
        <v>5</v>
      </c>
      <c r="G21" s="88">
        <v>46244.708333333336</v>
      </c>
      <c r="H21" s="87" t="s">
        <v>91</v>
      </c>
      <c r="I21" s="87" t="s">
        <v>5</v>
      </c>
      <c r="J21" s="88">
        <v>46244.708333333336</v>
      </c>
      <c r="K21" s="87" t="s">
        <v>91</v>
      </c>
      <c r="L21" s="87" t="s">
        <v>12</v>
      </c>
      <c r="M21" s="88"/>
      <c r="N21" s="87"/>
      <c r="O21" s="87"/>
      <c r="P21" s="86"/>
      <c r="Q21" s="7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1"/>
      <c r="D22" s="1"/>
      <c r="E22" s="1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"/>
      <c r="Q22" s="7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6"/>
      <c r="G23" s="6"/>
      <c r="H23" s="6"/>
      <c r="I23" s="6"/>
      <c r="J23" s="6"/>
      <c r="K23" s="6"/>
      <c r="L23" s="6"/>
      <c r="M23" s="6"/>
      <c r="N23" s="6"/>
      <c r="O23" s="6"/>
      <c r="P23" s="1"/>
      <c r="Q23" s="7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6"/>
      <c r="G24" s="6"/>
      <c r="H24" s="6"/>
      <c r="I24" s="6"/>
      <c r="J24" s="6"/>
      <c r="K24" s="6"/>
      <c r="L24" s="6"/>
      <c r="M24" s="6"/>
      <c r="N24" s="6"/>
      <c r="O24" s="6"/>
      <c r="P24" s="1"/>
      <c r="Q24" s="7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6"/>
      <c r="G25" s="6"/>
      <c r="H25" s="6"/>
      <c r="I25" s="6"/>
      <c r="J25" s="6"/>
      <c r="K25" s="6"/>
      <c r="L25" s="6"/>
      <c r="M25" s="6"/>
      <c r="N25" s="6"/>
      <c r="O25" s="6"/>
      <c r="P25" s="1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6"/>
      <c r="G26" s="6"/>
      <c r="H26" s="6"/>
      <c r="I26" s="6"/>
      <c r="J26" s="6"/>
      <c r="K26" s="6"/>
      <c r="L26" s="6"/>
      <c r="M26" s="6"/>
      <c r="N26" s="6"/>
      <c r="O26" s="6"/>
      <c r="P26" s="1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6"/>
      <c r="G27" s="6"/>
      <c r="H27" s="6"/>
      <c r="I27" s="6"/>
      <c r="J27" s="6"/>
      <c r="K27" s="6"/>
      <c r="L27" s="6"/>
      <c r="M27" s="6"/>
      <c r="N27" s="6"/>
      <c r="O27" s="6"/>
      <c r="P27" s="1"/>
      <c r="Q27" s="7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6"/>
      <c r="G28" s="6"/>
      <c r="H28" s="6"/>
      <c r="I28" s="6"/>
      <c r="J28" s="6"/>
      <c r="K28" s="6"/>
      <c r="L28" s="6"/>
      <c r="M28" s="6"/>
      <c r="N28" s="6"/>
      <c r="O28" s="6"/>
      <c r="P28" s="1"/>
      <c r="Q28" s="7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6"/>
      <c r="G29" s="6"/>
      <c r="H29" s="6"/>
      <c r="I29" s="6"/>
      <c r="J29" s="6"/>
      <c r="K29" s="6"/>
      <c r="L29" s="6"/>
      <c r="M29" s="6"/>
      <c r="N29" s="6"/>
      <c r="O29" s="6"/>
      <c r="P29" s="1"/>
      <c r="Q29" s="7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6"/>
      <c r="G30" s="6"/>
      <c r="H30" s="6"/>
      <c r="I30" s="6"/>
      <c r="J30" s="6"/>
      <c r="K30" s="6"/>
      <c r="L30" s="6"/>
      <c r="M30" s="6"/>
      <c r="N30" s="6"/>
      <c r="O30" s="6"/>
      <c r="P30" s="1"/>
      <c r="Q30" s="7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6"/>
      <c r="G31" s="6"/>
      <c r="H31" s="6"/>
      <c r="I31" s="6"/>
      <c r="J31" s="6"/>
      <c r="K31" s="6"/>
      <c r="L31" s="6"/>
      <c r="M31" s="6"/>
      <c r="N31" s="6"/>
      <c r="O31" s="6"/>
      <c r="P31" s="1"/>
      <c r="Q31" s="7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6"/>
      <c r="G32" s="6"/>
      <c r="H32" s="6"/>
      <c r="I32" s="6"/>
      <c r="J32" s="6"/>
      <c r="K32" s="6"/>
      <c r="L32" s="6"/>
      <c r="M32" s="6"/>
      <c r="N32" s="6"/>
      <c r="O32" s="6"/>
      <c r="P32" s="1"/>
      <c r="Q32" s="7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6"/>
      <c r="G33" s="6"/>
      <c r="H33" s="6"/>
      <c r="I33" s="6"/>
      <c r="J33" s="6"/>
      <c r="K33" s="6"/>
      <c r="L33" s="6"/>
      <c r="M33" s="6"/>
      <c r="N33" s="6"/>
      <c r="O33" s="6"/>
      <c r="P33" s="1"/>
      <c r="Q33" s="7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6"/>
      <c r="G34" s="6"/>
      <c r="H34" s="6"/>
      <c r="I34" s="6"/>
      <c r="J34" s="6"/>
      <c r="K34" s="6"/>
      <c r="L34" s="6"/>
      <c r="M34" s="6"/>
      <c r="N34" s="6"/>
      <c r="O34" s="6"/>
      <c r="P34" s="1"/>
      <c r="Q34" s="7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6"/>
      <c r="G35" s="6"/>
      <c r="H35" s="6"/>
      <c r="I35" s="6"/>
      <c r="J35" s="6"/>
      <c r="K35" s="6"/>
      <c r="L35" s="6"/>
      <c r="M35" s="6"/>
      <c r="N35" s="6"/>
      <c r="O35" s="6"/>
      <c r="P35" s="1"/>
      <c r="Q35" s="7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6"/>
      <c r="G36" s="6"/>
      <c r="H36" s="6"/>
      <c r="I36" s="6"/>
      <c r="J36" s="6"/>
      <c r="K36" s="6"/>
      <c r="L36" s="6"/>
      <c r="M36" s="6"/>
      <c r="N36" s="6"/>
      <c r="O36" s="6"/>
      <c r="P36" s="1"/>
      <c r="Q36" s="7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1"/>
      <c r="Q37" s="7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1"/>
      <c r="Q38" s="7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1"/>
      <c r="Q39" s="7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6"/>
      <c r="G40" s="6"/>
      <c r="H40" s="6"/>
      <c r="I40" s="6"/>
      <c r="J40" s="6"/>
      <c r="K40" s="6"/>
      <c r="L40" s="6"/>
      <c r="M40" s="6"/>
      <c r="N40" s="6"/>
      <c r="O40" s="6"/>
      <c r="P40" s="1"/>
      <c r="Q40" s="7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6"/>
      <c r="P41" s="1"/>
      <c r="Q41" s="7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6"/>
      <c r="P42" s="1"/>
      <c r="Q42" s="7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6"/>
      <c r="G43" s="6"/>
      <c r="H43" s="6"/>
      <c r="I43" s="6"/>
      <c r="J43" s="6"/>
      <c r="K43" s="6"/>
      <c r="L43" s="6"/>
      <c r="M43" s="6"/>
      <c r="N43" s="6"/>
      <c r="O43" s="6"/>
      <c r="P43" s="1"/>
      <c r="Q43" s="7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6"/>
      <c r="G44" s="6"/>
      <c r="H44" s="6"/>
      <c r="I44" s="6"/>
      <c r="J44" s="6"/>
      <c r="K44" s="6"/>
      <c r="L44" s="6"/>
      <c r="M44" s="6"/>
      <c r="N44" s="6"/>
      <c r="O44" s="6"/>
      <c r="P44" s="1"/>
      <c r="Q44" s="7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6"/>
      <c r="G45" s="6"/>
      <c r="H45" s="6"/>
      <c r="I45" s="6"/>
      <c r="J45" s="6"/>
      <c r="K45" s="6"/>
      <c r="L45" s="6"/>
      <c r="M45" s="6"/>
      <c r="N45" s="6"/>
      <c r="O45" s="6"/>
      <c r="P45" s="1"/>
      <c r="Q45" s="7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6"/>
      <c r="G46" s="6"/>
      <c r="H46" s="6"/>
      <c r="I46" s="6"/>
      <c r="J46" s="6"/>
      <c r="K46" s="6"/>
      <c r="L46" s="6"/>
      <c r="M46" s="6"/>
      <c r="N46" s="6"/>
      <c r="O46" s="6"/>
      <c r="P46" s="1"/>
      <c r="Q46" s="7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6"/>
      <c r="G47" s="6"/>
      <c r="H47" s="6"/>
      <c r="I47" s="6"/>
      <c r="J47" s="6"/>
      <c r="K47" s="6"/>
      <c r="L47" s="6"/>
      <c r="M47" s="6"/>
      <c r="N47" s="6"/>
      <c r="O47" s="6"/>
      <c r="P47" s="1"/>
      <c r="Q47" s="7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6"/>
      <c r="G48" s="6"/>
      <c r="H48" s="6"/>
      <c r="I48" s="6"/>
      <c r="J48" s="6"/>
      <c r="K48" s="6"/>
      <c r="L48" s="6"/>
      <c r="M48" s="6"/>
      <c r="N48" s="6"/>
      <c r="O48" s="6"/>
      <c r="P48" s="1"/>
      <c r="Q48" s="7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6"/>
      <c r="P49" s="1"/>
      <c r="Q49" s="7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6"/>
      <c r="P50" s="1"/>
      <c r="Q50" s="7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6"/>
      <c r="P51" s="1"/>
      <c r="Q51" s="7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6"/>
      <c r="P52" s="1"/>
      <c r="Q52" s="7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6"/>
      <c r="P53" s="1"/>
      <c r="Q53" s="7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6"/>
      <c r="P54" s="1"/>
      <c r="Q54" s="7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6"/>
      <c r="P55" s="1"/>
      <c r="Q55" s="7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6"/>
      <c r="G56" s="6"/>
      <c r="H56" s="6"/>
      <c r="I56" s="6"/>
      <c r="J56" s="6"/>
      <c r="K56" s="6"/>
      <c r="L56" s="6"/>
      <c r="M56" s="6"/>
      <c r="N56" s="6"/>
      <c r="O56" s="6"/>
      <c r="P56" s="1"/>
      <c r="Q56" s="7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6"/>
      <c r="G57" s="6"/>
      <c r="H57" s="6"/>
      <c r="I57" s="6"/>
      <c r="J57" s="6"/>
      <c r="K57" s="6"/>
      <c r="L57" s="6"/>
      <c r="M57" s="6"/>
      <c r="N57" s="6"/>
      <c r="O57" s="6"/>
      <c r="P57" s="1"/>
      <c r="Q57" s="7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6"/>
      <c r="G58" s="6"/>
      <c r="H58" s="6"/>
      <c r="I58" s="6"/>
      <c r="J58" s="6"/>
      <c r="K58" s="6"/>
      <c r="L58" s="6"/>
      <c r="M58" s="6"/>
      <c r="N58" s="6"/>
      <c r="O58" s="6"/>
      <c r="P58" s="1"/>
      <c r="Q58" s="7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6"/>
      <c r="G59" s="6"/>
      <c r="H59" s="6"/>
      <c r="I59" s="6"/>
      <c r="J59" s="6"/>
      <c r="K59" s="6"/>
      <c r="L59" s="6"/>
      <c r="M59" s="6"/>
      <c r="N59" s="6"/>
      <c r="O59" s="6"/>
      <c r="P59" s="1"/>
      <c r="Q59" s="7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6"/>
      <c r="G60" s="6"/>
      <c r="H60" s="6"/>
      <c r="I60" s="6"/>
      <c r="J60" s="6"/>
      <c r="K60" s="6"/>
      <c r="L60" s="6"/>
      <c r="M60" s="6"/>
      <c r="N60" s="6"/>
      <c r="O60" s="6"/>
      <c r="P60" s="1"/>
      <c r="Q60" s="7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6"/>
      <c r="G61" s="6"/>
      <c r="H61" s="6"/>
      <c r="I61" s="6"/>
      <c r="J61" s="6"/>
      <c r="K61" s="6"/>
      <c r="L61" s="6"/>
      <c r="M61" s="6"/>
      <c r="N61" s="6"/>
      <c r="O61" s="6"/>
      <c r="P61" s="1"/>
      <c r="Q61" s="7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6"/>
      <c r="P62" s="1"/>
      <c r="Q62" s="7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6"/>
      <c r="P63" s="1"/>
      <c r="Q63" s="7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6"/>
      <c r="P64" s="1"/>
      <c r="Q64" s="7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6"/>
      <c r="G65" s="6"/>
      <c r="H65" s="6"/>
      <c r="I65" s="6"/>
      <c r="J65" s="6"/>
      <c r="K65" s="6"/>
      <c r="L65" s="6"/>
      <c r="M65" s="6"/>
      <c r="N65" s="6"/>
      <c r="O65" s="6"/>
      <c r="P65" s="1"/>
      <c r="Q65" s="7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6"/>
      <c r="G66" s="6"/>
      <c r="H66" s="6"/>
      <c r="I66" s="6"/>
      <c r="J66" s="6"/>
      <c r="K66" s="6"/>
      <c r="L66" s="6"/>
      <c r="M66" s="6"/>
      <c r="N66" s="6"/>
      <c r="O66" s="6"/>
      <c r="P66" s="1"/>
      <c r="Q66" s="7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6"/>
      <c r="G67" s="6"/>
      <c r="H67" s="6"/>
      <c r="I67" s="6"/>
      <c r="J67" s="6"/>
      <c r="K67" s="6"/>
      <c r="L67" s="6"/>
      <c r="M67" s="6"/>
      <c r="N67" s="6"/>
      <c r="O67" s="6"/>
      <c r="P67" s="1"/>
      <c r="Q67" s="7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6"/>
      <c r="G68" s="6"/>
      <c r="H68" s="6"/>
      <c r="I68" s="6"/>
      <c r="J68" s="6"/>
      <c r="K68" s="6"/>
      <c r="L68" s="6"/>
      <c r="M68" s="6"/>
      <c r="N68" s="6"/>
      <c r="O68" s="6"/>
      <c r="P68" s="1"/>
      <c r="Q68" s="7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6"/>
      <c r="G69" s="6"/>
      <c r="H69" s="6"/>
      <c r="I69" s="6"/>
      <c r="J69" s="6"/>
      <c r="K69" s="6"/>
      <c r="L69" s="6"/>
      <c r="M69" s="6"/>
      <c r="N69" s="6"/>
      <c r="O69" s="6"/>
      <c r="P69" s="1"/>
      <c r="Q69" s="7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6"/>
      <c r="G70" s="6"/>
      <c r="H70" s="6"/>
      <c r="I70" s="6"/>
      <c r="J70" s="6"/>
      <c r="K70" s="6"/>
      <c r="L70" s="6"/>
      <c r="M70" s="6"/>
      <c r="N70" s="6"/>
      <c r="O70" s="6"/>
      <c r="P70" s="1"/>
      <c r="Q70" s="7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6"/>
      <c r="G71" s="6"/>
      <c r="H71" s="6"/>
      <c r="I71" s="6"/>
      <c r="J71" s="6"/>
      <c r="K71" s="6"/>
      <c r="L71" s="6"/>
      <c r="M71" s="6"/>
      <c r="N71" s="6"/>
      <c r="O71" s="6"/>
      <c r="P71" s="1"/>
      <c r="Q71" s="7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6"/>
      <c r="G72" s="6"/>
      <c r="H72" s="6"/>
      <c r="I72" s="6"/>
      <c r="J72" s="6"/>
      <c r="K72" s="6"/>
      <c r="L72" s="6"/>
      <c r="M72" s="6"/>
      <c r="N72" s="6"/>
      <c r="O72" s="6"/>
      <c r="P72" s="1"/>
      <c r="Q72" s="7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6"/>
      <c r="G73" s="6"/>
      <c r="H73" s="6"/>
      <c r="I73" s="6"/>
      <c r="J73" s="6"/>
      <c r="K73" s="6"/>
      <c r="L73" s="6"/>
      <c r="M73" s="6"/>
      <c r="N73" s="6"/>
      <c r="O73" s="6"/>
      <c r="P73" s="1"/>
      <c r="Q73" s="7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6"/>
      <c r="G74" s="6"/>
      <c r="H74" s="6"/>
      <c r="I74" s="6"/>
      <c r="J74" s="6"/>
      <c r="K74" s="6"/>
      <c r="L74" s="6"/>
      <c r="M74" s="6"/>
      <c r="N74" s="6"/>
      <c r="O74" s="6"/>
      <c r="P74" s="1"/>
      <c r="Q74" s="7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6"/>
      <c r="G75" s="6"/>
      <c r="H75" s="6"/>
      <c r="I75" s="6"/>
      <c r="J75" s="6"/>
      <c r="K75" s="6"/>
      <c r="L75" s="6"/>
      <c r="M75" s="6"/>
      <c r="N75" s="6"/>
      <c r="O75" s="6"/>
      <c r="P75" s="1"/>
      <c r="Q75" s="7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6"/>
      <c r="G76" s="6"/>
      <c r="H76" s="6"/>
      <c r="I76" s="6"/>
      <c r="J76" s="6"/>
      <c r="K76" s="6"/>
      <c r="L76" s="6"/>
      <c r="M76" s="6"/>
      <c r="N76" s="6"/>
      <c r="O76" s="6"/>
      <c r="P76" s="1"/>
      <c r="Q76" s="7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6"/>
      <c r="G77" s="6"/>
      <c r="H77" s="6"/>
      <c r="I77" s="6"/>
      <c r="J77" s="6"/>
      <c r="K77" s="6"/>
      <c r="L77" s="6"/>
      <c r="M77" s="6"/>
      <c r="N77" s="6"/>
      <c r="O77" s="6"/>
      <c r="P77" s="1"/>
      <c r="Q77" s="7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6"/>
      <c r="G78" s="6"/>
      <c r="H78" s="6"/>
      <c r="I78" s="6"/>
      <c r="J78" s="6"/>
      <c r="K78" s="6"/>
      <c r="L78" s="6"/>
      <c r="M78" s="6"/>
      <c r="N78" s="6"/>
      <c r="O78" s="6"/>
      <c r="P78" s="1"/>
      <c r="Q78" s="7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6"/>
      <c r="G79" s="6"/>
      <c r="H79" s="6"/>
      <c r="I79" s="6"/>
      <c r="J79" s="6"/>
      <c r="K79" s="6"/>
      <c r="L79" s="6"/>
      <c r="M79" s="6"/>
      <c r="N79" s="6"/>
      <c r="O79" s="6"/>
      <c r="P79" s="1"/>
      <c r="Q79" s="7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6"/>
      <c r="G80" s="6"/>
      <c r="H80" s="6"/>
      <c r="I80" s="6"/>
      <c r="J80" s="6"/>
      <c r="K80" s="6"/>
      <c r="L80" s="6"/>
      <c r="M80" s="6"/>
      <c r="N80" s="6"/>
      <c r="O80" s="6"/>
      <c r="P80" s="1"/>
      <c r="Q80" s="7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6"/>
      <c r="G81" s="6"/>
      <c r="H81" s="6"/>
      <c r="I81" s="6"/>
      <c r="J81" s="6"/>
      <c r="K81" s="6"/>
      <c r="L81" s="6"/>
      <c r="M81" s="6"/>
      <c r="N81" s="6"/>
      <c r="O81" s="6"/>
      <c r="P81" s="1"/>
      <c r="Q81" s="7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6"/>
      <c r="G82" s="6"/>
      <c r="H82" s="6"/>
      <c r="I82" s="6"/>
      <c r="J82" s="6"/>
      <c r="K82" s="6"/>
      <c r="L82" s="6"/>
      <c r="M82" s="6"/>
      <c r="N82" s="6"/>
      <c r="O82" s="6"/>
      <c r="P82" s="1"/>
      <c r="Q82" s="7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6"/>
      <c r="P83" s="1"/>
      <c r="Q83" s="7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6"/>
      <c r="P84" s="1"/>
      <c r="Q84" s="7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6"/>
      <c r="P85" s="1"/>
      <c r="Q85" s="7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6"/>
      <c r="G86" s="6"/>
      <c r="H86" s="6"/>
      <c r="I86" s="6"/>
      <c r="J86" s="6"/>
      <c r="K86" s="6"/>
      <c r="L86" s="6"/>
      <c r="M86" s="6"/>
      <c r="N86" s="6"/>
      <c r="O86" s="6"/>
      <c r="P86" s="1"/>
      <c r="Q86" s="7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6"/>
      <c r="G87" s="6"/>
      <c r="H87" s="6"/>
      <c r="I87" s="6"/>
      <c r="J87" s="6"/>
      <c r="K87" s="6"/>
      <c r="L87" s="6"/>
      <c r="M87" s="6"/>
      <c r="N87" s="6"/>
      <c r="O87" s="6"/>
      <c r="P87" s="1"/>
      <c r="Q87" s="7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6"/>
      <c r="G88" s="6"/>
      <c r="H88" s="6"/>
      <c r="I88" s="6"/>
      <c r="J88" s="6"/>
      <c r="K88" s="6"/>
      <c r="L88" s="6"/>
      <c r="M88" s="6"/>
      <c r="N88" s="6"/>
      <c r="O88" s="6"/>
      <c r="P88" s="1"/>
      <c r="Q88" s="7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6"/>
      <c r="G89" s="6"/>
      <c r="H89" s="6"/>
      <c r="I89" s="6"/>
      <c r="J89" s="6"/>
      <c r="K89" s="6"/>
      <c r="L89" s="6"/>
      <c r="M89" s="6"/>
      <c r="N89" s="6"/>
      <c r="O89" s="6"/>
      <c r="P89" s="1"/>
      <c r="Q89" s="7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6"/>
      <c r="G90" s="6"/>
      <c r="H90" s="6"/>
      <c r="I90" s="6"/>
      <c r="J90" s="6"/>
      <c r="K90" s="6"/>
      <c r="L90" s="6"/>
      <c r="M90" s="6"/>
      <c r="N90" s="6"/>
      <c r="O90" s="6"/>
      <c r="P90" s="1"/>
      <c r="Q90" s="7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6"/>
      <c r="G91" s="6"/>
      <c r="H91" s="6"/>
      <c r="I91" s="6"/>
      <c r="J91" s="6"/>
      <c r="K91" s="6"/>
      <c r="L91" s="6"/>
      <c r="M91" s="6"/>
      <c r="N91" s="6"/>
      <c r="O91" s="6"/>
      <c r="P91" s="1"/>
      <c r="Q91" s="7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6"/>
      <c r="G92" s="6"/>
      <c r="H92" s="6"/>
      <c r="I92" s="6"/>
      <c r="J92" s="6"/>
      <c r="K92" s="6"/>
      <c r="L92" s="6"/>
      <c r="M92" s="6"/>
      <c r="N92" s="6"/>
      <c r="O92" s="6"/>
      <c r="P92" s="1"/>
      <c r="Q92" s="7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6"/>
      <c r="G93" s="6"/>
      <c r="H93" s="6"/>
      <c r="I93" s="6"/>
      <c r="J93" s="6"/>
      <c r="K93" s="6"/>
      <c r="L93" s="6"/>
      <c r="M93" s="6"/>
      <c r="N93" s="6"/>
      <c r="O93" s="6"/>
      <c r="P93" s="1"/>
      <c r="Q93" s="7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6"/>
      <c r="G94" s="6"/>
      <c r="H94" s="6"/>
      <c r="I94" s="6"/>
      <c r="J94" s="6"/>
      <c r="K94" s="6"/>
      <c r="L94" s="6"/>
      <c r="M94" s="6"/>
      <c r="N94" s="6"/>
      <c r="O94" s="6"/>
      <c r="P94" s="1"/>
      <c r="Q94" s="7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6"/>
      <c r="G95" s="6"/>
      <c r="H95" s="6"/>
      <c r="I95" s="6"/>
      <c r="J95" s="6"/>
      <c r="K95" s="6"/>
      <c r="L95" s="6"/>
      <c r="M95" s="6"/>
      <c r="N95" s="6"/>
      <c r="O95" s="6"/>
      <c r="P95" s="1"/>
      <c r="Q95" s="7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6"/>
      <c r="G96" s="6"/>
      <c r="H96" s="6"/>
      <c r="I96" s="6"/>
      <c r="J96" s="6"/>
      <c r="K96" s="6"/>
      <c r="L96" s="6"/>
      <c r="M96" s="6"/>
      <c r="N96" s="6"/>
      <c r="O96" s="6"/>
      <c r="P96" s="1"/>
      <c r="Q96" s="7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6"/>
      <c r="G97" s="6"/>
      <c r="H97" s="6"/>
      <c r="I97" s="6"/>
      <c r="J97" s="6"/>
      <c r="K97" s="6"/>
      <c r="L97" s="6"/>
      <c r="M97" s="6"/>
      <c r="N97" s="6"/>
      <c r="O97" s="6"/>
      <c r="P97" s="1"/>
      <c r="Q97" s="7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6"/>
      <c r="G98" s="6"/>
      <c r="H98" s="6"/>
      <c r="I98" s="6"/>
      <c r="J98" s="6"/>
      <c r="K98" s="6"/>
      <c r="L98" s="6"/>
      <c r="M98" s="6"/>
      <c r="N98" s="6"/>
      <c r="O98" s="6"/>
      <c r="P98" s="1"/>
      <c r="Q98" s="7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6"/>
      <c r="G99" s="6"/>
      <c r="H99" s="6"/>
      <c r="I99" s="6"/>
      <c r="J99" s="6"/>
      <c r="K99" s="6"/>
      <c r="L99" s="6"/>
      <c r="M99" s="6"/>
      <c r="N99" s="6"/>
      <c r="O99" s="6"/>
      <c r="P99" s="1"/>
      <c r="Q99" s="7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1"/>
      <c r="Q100" s="7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1"/>
      <c r="Q101" s="7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1"/>
      <c r="Q102" s="7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1"/>
      <c r="Q103" s="7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1"/>
      <c r="Q104" s="7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1"/>
      <c r="Q105" s="7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1"/>
      <c r="Q106" s="7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1"/>
      <c r="Q107" s="7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1"/>
      <c r="Q108" s="7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1"/>
      <c r="Q109" s="7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1"/>
      <c r="Q110" s="7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1"/>
      <c r="Q111" s="7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1"/>
      <c r="Q112" s="7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1"/>
      <c r="Q113" s="7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1"/>
      <c r="Q114" s="7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1"/>
      <c r="Q115" s="7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1"/>
      <c r="Q116" s="7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1"/>
      <c r="Q117" s="7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1"/>
      <c r="Q118" s="7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1"/>
      <c r="Q119" s="7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1"/>
      <c r="Q120" s="7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1"/>
      <c r="Q121" s="7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1"/>
      <c r="Q122" s="7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1"/>
      <c r="Q123" s="7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1"/>
      <c r="Q124" s="7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1"/>
      <c r="Q125" s="7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1"/>
      <c r="Q126" s="7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1"/>
      <c r="Q127" s="7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1"/>
      <c r="Q128" s="7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1"/>
      <c r="Q129" s="7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1"/>
      <c r="Q130" s="7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1"/>
      <c r="Q131" s="7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1"/>
      <c r="Q132" s="7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1"/>
      <c r="Q133" s="7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1"/>
      <c r="Q134" s="7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1"/>
      <c r="Q135" s="7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1"/>
      <c r="Q136" s="7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1"/>
      <c r="Q137" s="7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1"/>
      <c r="Q138" s="7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1"/>
      <c r="Q139" s="7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1"/>
      <c r="Q140" s="7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1"/>
      <c r="Q141" s="7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1"/>
      <c r="Q142" s="7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1"/>
      <c r="Q143" s="7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1"/>
      <c r="Q144" s="7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1"/>
      <c r="Q145" s="7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1"/>
      <c r="Q146" s="7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1"/>
      <c r="Q147" s="7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1"/>
      <c r="Q148" s="7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1"/>
      <c r="Q149" s="7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1"/>
      <c r="Q150" s="7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1"/>
      <c r="Q151" s="7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1"/>
      <c r="Q152" s="7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1"/>
      <c r="Q153" s="7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1"/>
      <c r="Q154" s="7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1"/>
      <c r="Q155" s="7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1"/>
      <c r="Q156" s="7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1"/>
      <c r="Q157" s="7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1"/>
      <c r="Q158" s="7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1"/>
      <c r="Q159" s="7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1"/>
      <c r="Q160" s="7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1"/>
      <c r="Q161" s="7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1"/>
      <c r="Q162" s="7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1"/>
      <c r="Q163" s="7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1"/>
      <c r="Q164" s="7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1"/>
      <c r="Q165" s="7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1"/>
      <c r="Q166" s="7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1"/>
      <c r="Q167" s="7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1"/>
      <c r="Q168" s="7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1"/>
      <c r="Q169" s="7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1"/>
      <c r="Q170" s="7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1"/>
      <c r="Q171" s="7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1"/>
      <c r="Q172" s="7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1"/>
      <c r="Q173" s="7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1"/>
      <c r="Q174" s="7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1"/>
      <c r="Q175" s="7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1"/>
      <c r="Q176" s="7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1"/>
      <c r="Q177" s="7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1"/>
      <c r="Q178" s="7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1"/>
      <c r="Q179" s="7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1"/>
      <c r="Q180" s="7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1"/>
      <c r="Q181" s="7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1"/>
      <c r="Q182" s="7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1"/>
      <c r="Q183" s="7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1"/>
      <c r="Q184" s="7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1"/>
      <c r="Q185" s="7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1"/>
      <c r="Q186" s="7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1"/>
      <c r="Q187" s="7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1"/>
      <c r="Q188" s="7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1"/>
      <c r="Q189" s="7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1"/>
      <c r="Q190" s="7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1"/>
      <c r="Q191" s="7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1"/>
      <c r="Q192" s="7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1"/>
      <c r="Q193" s="7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1"/>
      <c r="Q194" s="7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1"/>
      <c r="Q195" s="7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1"/>
      <c r="Q196" s="7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1"/>
      <c r="Q197" s="7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1"/>
      <c r="Q198" s="7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1"/>
      <c r="Q199" s="7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1"/>
      <c r="Q200" s="7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1"/>
      <c r="Q201" s="7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1"/>
      <c r="Q202" s="7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1"/>
      <c r="Q203" s="7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1"/>
      <c r="Q204" s="7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1"/>
      <c r="Q205" s="7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1"/>
      <c r="Q206" s="7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1"/>
      <c r="Q207" s="7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1"/>
      <c r="Q208" s="7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1"/>
      <c r="Q209" s="7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1"/>
      <c r="Q210" s="7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1"/>
      <c r="Q211" s="7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1"/>
      <c r="Q212" s="7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1"/>
      <c r="Q213" s="7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1"/>
      <c r="Q214" s="7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1"/>
      <c r="Q215" s="7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1"/>
      <c r="Q216" s="7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1"/>
      <c r="Q217" s="7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1"/>
      <c r="Q218" s="7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1"/>
      <c r="Q219" s="7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1"/>
      <c r="Q220" s="7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1"/>
      <c r="Q221" s="7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1"/>
      <c r="Q222" s="7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1"/>
      <c r="Q223" s="7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1"/>
      <c r="Q224" s="7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1"/>
      <c r="Q225" s="7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1"/>
      <c r="Q226" s="7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1"/>
      <c r="Q227" s="7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1"/>
      <c r="Q228" s="7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1"/>
      <c r="Q229" s="7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1"/>
      <c r="Q230" s="7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1"/>
      <c r="Q231" s="7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1"/>
      <c r="Q232" s="7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1"/>
      <c r="Q233" s="7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1"/>
      <c r="Q234" s="7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1"/>
      <c r="Q235" s="7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1"/>
      <c r="Q236" s="7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1"/>
      <c r="Q237" s="7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1"/>
      <c r="Q238" s="7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1"/>
      <c r="Q239" s="7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1"/>
      <c r="Q240" s="7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1"/>
      <c r="Q241" s="7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1"/>
      <c r="Q242" s="7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1"/>
      <c r="Q243" s="7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1"/>
      <c r="Q244" s="7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1"/>
      <c r="Q245" s="7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1"/>
      <c r="Q246" s="7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1"/>
      <c r="Q247" s="7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1"/>
      <c r="Q248" s="7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1"/>
      <c r="Q249" s="7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1"/>
      <c r="Q250" s="7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1"/>
      <c r="Q251" s="7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1"/>
      <c r="Q252" s="7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1"/>
      <c r="Q253" s="7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1"/>
      <c r="Q254" s="7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1"/>
      <c r="Q255" s="7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1"/>
      <c r="Q256" s="7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1"/>
      <c r="Q257" s="7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1"/>
      <c r="Q258" s="7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1"/>
      <c r="Q259" s="7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1"/>
      <c r="Q260" s="7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1"/>
      <c r="Q261" s="7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1"/>
      <c r="Q262" s="7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1"/>
      <c r="Q263" s="7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1"/>
      <c r="Q264" s="7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1"/>
      <c r="Q265" s="7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1"/>
      <c r="Q266" s="7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1"/>
      <c r="Q267" s="7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1"/>
      <c r="Q268" s="7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1"/>
      <c r="Q269" s="7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1"/>
      <c r="Q270" s="7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1"/>
      <c r="Q271" s="7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1"/>
      <c r="Q272" s="7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1"/>
      <c r="Q273" s="7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1"/>
      <c r="Q274" s="7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1"/>
      <c r="Q275" s="7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1"/>
      <c r="Q276" s="7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1"/>
      <c r="Q277" s="7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1"/>
      <c r="Q278" s="7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1"/>
      <c r="Q279" s="7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1"/>
      <c r="Q280" s="7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1"/>
      <c r="Q281" s="7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1"/>
      <c r="Q282" s="7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1"/>
      <c r="Q283" s="7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1"/>
      <c r="Q284" s="7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1"/>
      <c r="Q285" s="7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1"/>
      <c r="Q286" s="7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1"/>
      <c r="Q287" s="7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1"/>
      <c r="Q288" s="7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1"/>
      <c r="Q289" s="7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1"/>
      <c r="Q290" s="7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1"/>
      <c r="Q291" s="7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1"/>
      <c r="Q292" s="7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1"/>
      <c r="Q293" s="7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1"/>
      <c r="Q294" s="7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1"/>
      <c r="Q295" s="7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1"/>
      <c r="Q296" s="7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1"/>
      <c r="Q297" s="7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1"/>
      <c r="Q298" s="7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1"/>
      <c r="Q299" s="7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1"/>
      <c r="Q300" s="7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1"/>
      <c r="Q301" s="7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1"/>
      <c r="Q302" s="7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1"/>
      <c r="Q303" s="7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1"/>
      <c r="Q304" s="7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1"/>
      <c r="Q305" s="7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1"/>
      <c r="Q306" s="7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1"/>
      <c r="Q307" s="7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1"/>
      <c r="Q308" s="7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1"/>
      <c r="Q309" s="7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1"/>
      <c r="Q310" s="7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1"/>
      <c r="Q311" s="7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1"/>
      <c r="Q312" s="7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1"/>
      <c r="Q313" s="7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1"/>
      <c r="Q314" s="7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1"/>
      <c r="Q315" s="7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1"/>
      <c r="Q316" s="7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1"/>
      <c r="Q317" s="7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1"/>
      <c r="Q318" s="7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1"/>
      <c r="Q319" s="7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1"/>
      <c r="Q320" s="7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1"/>
      <c r="Q321" s="7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1"/>
      <c r="Q322" s="7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1"/>
      <c r="Q323" s="7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1"/>
      <c r="Q324" s="7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1"/>
      <c r="Q325" s="7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1"/>
      <c r="Q326" s="7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1"/>
      <c r="Q327" s="7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1"/>
      <c r="Q328" s="7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1"/>
      <c r="Q329" s="7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1"/>
      <c r="Q330" s="7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1"/>
      <c r="Q331" s="7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1"/>
      <c r="Q332" s="7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1"/>
      <c r="Q333" s="7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1"/>
      <c r="Q334" s="7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1"/>
      <c r="Q335" s="7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1"/>
      <c r="Q336" s="7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1"/>
      <c r="Q337" s="7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1"/>
      <c r="Q338" s="7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1"/>
      <c r="Q339" s="7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1"/>
      <c r="Q340" s="7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1"/>
      <c r="Q341" s="7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1"/>
      <c r="Q342" s="7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1"/>
      <c r="Q343" s="7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1"/>
      <c r="Q344" s="7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1"/>
      <c r="Q345" s="7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1"/>
      <c r="Q346" s="7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1"/>
      <c r="Q347" s="7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1"/>
      <c r="Q348" s="7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1"/>
      <c r="Q349" s="7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1"/>
      <c r="Q350" s="7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1"/>
      <c r="Q351" s="7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1"/>
      <c r="Q352" s="7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1"/>
      <c r="Q353" s="7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1"/>
      <c r="Q354" s="7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1"/>
      <c r="Q355" s="7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1"/>
      <c r="Q356" s="7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1"/>
      <c r="Q357" s="7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1"/>
      <c r="Q358" s="7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1"/>
      <c r="Q359" s="7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1"/>
      <c r="Q360" s="7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1"/>
      <c r="Q361" s="7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1"/>
      <c r="Q362" s="7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1"/>
      <c r="Q363" s="7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1"/>
      <c r="Q364" s="7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1"/>
      <c r="Q365" s="7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1"/>
      <c r="Q366" s="7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1"/>
      <c r="Q367" s="7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1"/>
      <c r="Q368" s="7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1"/>
      <c r="Q369" s="7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1"/>
      <c r="Q370" s="7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1"/>
      <c r="Q371" s="7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1"/>
      <c r="Q372" s="7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1"/>
      <c r="Q373" s="7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1"/>
      <c r="Q374" s="7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1"/>
      <c r="Q375" s="7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1"/>
      <c r="Q376" s="7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1"/>
      <c r="Q377" s="7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1"/>
      <c r="Q378" s="7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1"/>
      <c r="Q379" s="7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1"/>
      <c r="Q380" s="7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1"/>
      <c r="Q381" s="7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1"/>
      <c r="Q382" s="7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1"/>
      <c r="Q383" s="7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1"/>
      <c r="Q384" s="7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1"/>
      <c r="Q385" s="7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1"/>
      <c r="Q386" s="7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1"/>
      <c r="Q387" s="7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1"/>
      <c r="Q388" s="7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1"/>
      <c r="Q389" s="7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1"/>
      <c r="Q390" s="7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1"/>
      <c r="Q391" s="7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1"/>
      <c r="Q392" s="7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1"/>
      <c r="Q393" s="7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1"/>
      <c r="Q394" s="7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1"/>
      <c r="Q395" s="7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1"/>
      <c r="Q396" s="7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1"/>
      <c r="Q397" s="7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1"/>
      <c r="Q398" s="7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1"/>
      <c r="Q399" s="7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1"/>
      <c r="Q400" s="7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1"/>
      <c r="Q401" s="7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1"/>
      <c r="Q402" s="7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1"/>
      <c r="Q403" s="7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1"/>
      <c r="Q404" s="7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1"/>
      <c r="Q405" s="7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1"/>
      <c r="Q406" s="7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1"/>
      <c r="Q407" s="7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1"/>
      <c r="Q408" s="7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1"/>
      <c r="Q409" s="7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1"/>
      <c r="Q410" s="7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1"/>
      <c r="Q411" s="7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1"/>
      <c r="Q412" s="7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1"/>
      <c r="Q413" s="7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1"/>
      <c r="Q414" s="7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1"/>
      <c r="Q415" s="7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1"/>
      <c r="Q416" s="7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1"/>
      <c r="Q417" s="7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1"/>
      <c r="Q418" s="7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1"/>
      <c r="Q419" s="7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1"/>
      <c r="Q420" s="7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1"/>
      <c r="Q421" s="7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1"/>
      <c r="Q422" s="7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1"/>
      <c r="Q423" s="7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1"/>
      <c r="Q424" s="7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1"/>
      <c r="Q425" s="7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1"/>
      <c r="Q426" s="7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1"/>
      <c r="Q427" s="7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1"/>
      <c r="Q428" s="7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1"/>
      <c r="Q429" s="7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1"/>
      <c r="Q430" s="7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1"/>
      <c r="Q431" s="7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1"/>
      <c r="Q432" s="7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1"/>
      <c r="Q433" s="7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1"/>
      <c r="Q434" s="7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1"/>
      <c r="Q435" s="7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1"/>
      <c r="Q436" s="7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1"/>
      <c r="Q437" s="7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1"/>
      <c r="Q438" s="7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1"/>
      <c r="Q439" s="7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1"/>
      <c r="Q440" s="7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1"/>
      <c r="Q441" s="7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1"/>
      <c r="Q442" s="7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1"/>
      <c r="Q443" s="7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1"/>
      <c r="Q444" s="7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1"/>
      <c r="Q445" s="7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1"/>
      <c r="Q446" s="7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1"/>
      <c r="Q447" s="7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1"/>
      <c r="Q448" s="7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1"/>
      <c r="Q449" s="7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1"/>
      <c r="Q450" s="7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1"/>
      <c r="Q451" s="7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1"/>
      <c r="Q452" s="7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1"/>
      <c r="Q453" s="7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1"/>
      <c r="Q454" s="7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1"/>
      <c r="Q455" s="7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1"/>
      <c r="Q456" s="7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1"/>
      <c r="Q457" s="7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1"/>
      <c r="Q458" s="7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1"/>
      <c r="Q459" s="7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1"/>
      <c r="Q460" s="7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1"/>
      <c r="Q461" s="7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1"/>
      <c r="Q462" s="7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1"/>
      <c r="Q463" s="7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1"/>
      <c r="Q464" s="7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1"/>
      <c r="Q465" s="7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1"/>
      <c r="Q466" s="7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1"/>
      <c r="Q467" s="7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1"/>
      <c r="Q468" s="7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1"/>
      <c r="Q469" s="7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1"/>
      <c r="Q470" s="7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1"/>
      <c r="Q471" s="7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1"/>
      <c r="Q472" s="7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1"/>
      <c r="Q473" s="7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1"/>
      <c r="Q474" s="7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1"/>
      <c r="Q475" s="7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1"/>
      <c r="Q476" s="7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1"/>
      <c r="Q477" s="7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1"/>
      <c r="Q478" s="7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1"/>
      <c r="Q479" s="7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1"/>
      <c r="Q480" s="7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1"/>
      <c r="Q481" s="7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1"/>
      <c r="Q482" s="7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1"/>
      <c r="Q483" s="7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1"/>
      <c r="Q484" s="7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1"/>
      <c r="Q485" s="7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1"/>
      <c r="Q486" s="7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1"/>
      <c r="Q487" s="7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1"/>
      <c r="Q488" s="7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1"/>
      <c r="Q489" s="7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1"/>
      <c r="Q490" s="7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1"/>
      <c r="Q491" s="7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1"/>
      <c r="Q492" s="7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1"/>
      <c r="Q493" s="7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1"/>
      <c r="Q494" s="7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1"/>
      <c r="Q495" s="7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1"/>
      <c r="Q496" s="7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1"/>
      <c r="Q497" s="7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1"/>
      <c r="Q498" s="7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1"/>
      <c r="Q499" s="7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1"/>
      <c r="Q500" s="7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1"/>
      <c r="Q501" s="7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1"/>
      <c r="Q502" s="7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1"/>
      <c r="Q503" s="7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1"/>
      <c r="Q504" s="7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1"/>
      <c r="Q505" s="7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1"/>
      <c r="Q506" s="7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1"/>
      <c r="Q507" s="7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1"/>
      <c r="Q508" s="7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1"/>
      <c r="Q509" s="7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1"/>
      <c r="Q510" s="7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1"/>
      <c r="Q511" s="7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1"/>
      <c r="Q512" s="7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1"/>
      <c r="Q513" s="7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1"/>
      <c r="Q514" s="7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1"/>
      <c r="Q515" s="7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1"/>
      <c r="Q516" s="7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1"/>
      <c r="Q517" s="7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1"/>
      <c r="Q518" s="7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1"/>
      <c r="Q519" s="7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1"/>
      <c r="Q520" s="7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1"/>
      <c r="Q521" s="7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1"/>
      <c r="Q522" s="7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1"/>
      <c r="Q523" s="7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1"/>
      <c r="Q524" s="7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1"/>
      <c r="Q525" s="7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1"/>
      <c r="Q526" s="7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1"/>
      <c r="Q527" s="7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1"/>
      <c r="Q528" s="7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1"/>
      <c r="Q529" s="7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1"/>
      <c r="Q530" s="7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1"/>
      <c r="Q531" s="7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1"/>
      <c r="Q532" s="7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1"/>
      <c r="Q533" s="7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1"/>
      <c r="Q534" s="7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1"/>
      <c r="Q535" s="7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1"/>
      <c r="Q536" s="7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1"/>
      <c r="Q537" s="7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1"/>
      <c r="Q538" s="7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1"/>
      <c r="Q539" s="7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1"/>
      <c r="Q540" s="7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1"/>
      <c r="Q541" s="7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1"/>
      <c r="Q542" s="7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1"/>
      <c r="Q543" s="7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1"/>
      <c r="Q544" s="7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1"/>
      <c r="Q545" s="7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1"/>
      <c r="Q546" s="7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1"/>
      <c r="Q547" s="7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1"/>
      <c r="Q548" s="7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1"/>
      <c r="Q549" s="7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1"/>
      <c r="Q550" s="7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1"/>
      <c r="Q551" s="7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1"/>
      <c r="Q552" s="7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1"/>
      <c r="Q553" s="7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1"/>
      <c r="Q554" s="7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1"/>
      <c r="Q555" s="7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1"/>
      <c r="Q556" s="7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1"/>
      <c r="Q557" s="7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1"/>
      <c r="Q558" s="7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1"/>
      <c r="Q559" s="7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1"/>
      <c r="Q560" s="7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1"/>
      <c r="Q561" s="7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1"/>
      <c r="Q562" s="7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1"/>
      <c r="Q563" s="7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1"/>
      <c r="Q564" s="7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1"/>
      <c r="Q565" s="7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1"/>
      <c r="Q566" s="7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1"/>
      <c r="Q567" s="7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1"/>
      <c r="Q568" s="7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1"/>
      <c r="Q569" s="7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1"/>
      <c r="Q570" s="7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1"/>
      <c r="Q571" s="7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1"/>
      <c r="Q572" s="7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1"/>
      <c r="Q573" s="7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1"/>
      <c r="Q574" s="7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1"/>
      <c r="Q575" s="7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1"/>
      <c r="Q576" s="7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1"/>
      <c r="Q577" s="7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1"/>
      <c r="Q578" s="7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1"/>
      <c r="Q579" s="7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1"/>
      <c r="Q580" s="7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1"/>
      <c r="Q581" s="7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1"/>
      <c r="Q582" s="7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1"/>
      <c r="Q583" s="7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1"/>
      <c r="Q584" s="7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1"/>
      <c r="Q585" s="7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1"/>
      <c r="Q586" s="7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1"/>
      <c r="Q587" s="7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1"/>
      <c r="Q588" s="7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1"/>
      <c r="Q589" s="7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1"/>
      <c r="Q590" s="7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1"/>
      <c r="Q591" s="7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1"/>
      <c r="Q592" s="7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1"/>
      <c r="Q593" s="7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1"/>
      <c r="Q594" s="7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1"/>
      <c r="Q595" s="7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1"/>
      <c r="Q596" s="7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1"/>
      <c r="Q597" s="7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1"/>
      <c r="Q598" s="7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1"/>
      <c r="Q599" s="7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1"/>
      <c r="Q600" s="7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1"/>
      <c r="Q601" s="7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1"/>
      <c r="Q602" s="7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1"/>
      <c r="Q603" s="7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1"/>
      <c r="Q604" s="7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1"/>
      <c r="Q605" s="7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1"/>
      <c r="Q606" s="7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1"/>
      <c r="Q607" s="7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1"/>
      <c r="Q608" s="7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1"/>
      <c r="Q609" s="7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1"/>
      <c r="Q610" s="7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1"/>
      <c r="Q611" s="7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1"/>
      <c r="Q612" s="7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1"/>
      <c r="Q613" s="7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1"/>
      <c r="Q614" s="7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1"/>
      <c r="Q615" s="7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1"/>
      <c r="Q616" s="7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1"/>
      <c r="Q617" s="7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1"/>
      <c r="Q618" s="7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1"/>
      <c r="Q619" s="7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1"/>
      <c r="Q620" s="7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1"/>
      <c r="Q621" s="7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1"/>
      <c r="Q622" s="7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1"/>
      <c r="Q623" s="7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1"/>
      <c r="Q624" s="7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1"/>
      <c r="Q625" s="7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1"/>
      <c r="Q626" s="7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1"/>
      <c r="Q627" s="7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1"/>
      <c r="Q628" s="7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1"/>
      <c r="Q629" s="7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1"/>
      <c r="Q630" s="7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1"/>
      <c r="Q631" s="7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1"/>
      <c r="Q632" s="7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1"/>
      <c r="Q633" s="7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1"/>
      <c r="Q634" s="7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1"/>
      <c r="Q635" s="7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1"/>
      <c r="Q636" s="7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1"/>
      <c r="Q637" s="7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1"/>
      <c r="Q638" s="7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1"/>
      <c r="Q639" s="7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1"/>
      <c r="Q640" s="7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1"/>
      <c r="Q641" s="7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1"/>
      <c r="Q642" s="7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1"/>
      <c r="Q643" s="7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1"/>
      <c r="Q644" s="7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1"/>
      <c r="Q645" s="7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1"/>
      <c r="Q646" s="7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1"/>
      <c r="Q647" s="7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1"/>
      <c r="Q648" s="7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1"/>
      <c r="Q649" s="7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1"/>
      <c r="Q650" s="7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1"/>
      <c r="Q651" s="7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1"/>
      <c r="Q652" s="7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1"/>
      <c r="Q653" s="7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1"/>
      <c r="Q654" s="7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1"/>
      <c r="Q655" s="7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1"/>
      <c r="Q656" s="7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1"/>
      <c r="Q657" s="7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1"/>
      <c r="Q658" s="7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1"/>
      <c r="Q659" s="7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1"/>
      <c r="Q660" s="7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1"/>
      <c r="Q661" s="7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1"/>
      <c r="Q662" s="7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1"/>
      <c r="Q663" s="7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1"/>
      <c r="Q664" s="7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1"/>
      <c r="Q665" s="7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1"/>
      <c r="Q666" s="7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1"/>
      <c r="Q667" s="7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1"/>
      <c r="Q668" s="7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1"/>
      <c r="Q669" s="7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1"/>
      <c r="Q670" s="7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1"/>
      <c r="Q671" s="7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1"/>
      <c r="Q672" s="7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1"/>
      <c r="Q673" s="7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1"/>
      <c r="Q674" s="7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1"/>
      <c r="Q675" s="7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1"/>
      <c r="Q676" s="7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1"/>
      <c r="Q677" s="7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1"/>
      <c r="Q678" s="7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1"/>
      <c r="Q679" s="7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1"/>
      <c r="Q680" s="7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1"/>
      <c r="Q681" s="7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1"/>
      <c r="Q682" s="7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1"/>
      <c r="Q683" s="7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1"/>
      <c r="Q684" s="7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1"/>
      <c r="Q685" s="7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1"/>
      <c r="Q686" s="7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1"/>
      <c r="Q687" s="7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1"/>
      <c r="Q688" s="7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1"/>
      <c r="Q689" s="7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1"/>
      <c r="Q690" s="7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1"/>
      <c r="Q691" s="7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1"/>
      <c r="Q692" s="7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1"/>
      <c r="Q693" s="7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1"/>
      <c r="Q694" s="7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1"/>
      <c r="Q695" s="7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1"/>
      <c r="Q696" s="7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1"/>
      <c r="Q697" s="7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1"/>
      <c r="Q698" s="7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1"/>
      <c r="Q699" s="7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1"/>
      <c r="Q700" s="7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1"/>
      <c r="Q701" s="7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1"/>
      <c r="Q702" s="7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1"/>
      <c r="Q703" s="7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1"/>
      <c r="Q704" s="7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1"/>
      <c r="Q705" s="7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1"/>
      <c r="Q706" s="7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1"/>
      <c r="Q707" s="7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1"/>
      <c r="Q708" s="7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1"/>
      <c r="Q709" s="7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1"/>
      <c r="Q710" s="7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1"/>
      <c r="Q711" s="7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1"/>
      <c r="Q712" s="7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1"/>
      <c r="Q713" s="7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1"/>
      <c r="Q714" s="7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1"/>
      <c r="Q715" s="7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1"/>
      <c r="Q716" s="7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1"/>
      <c r="Q717" s="7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1"/>
      <c r="Q718" s="7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1"/>
      <c r="Q719" s="7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1"/>
      <c r="Q720" s="7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1"/>
      <c r="Q721" s="7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1"/>
      <c r="Q722" s="7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1"/>
      <c r="Q723" s="7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1"/>
      <c r="Q724" s="7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1"/>
      <c r="Q725" s="7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1"/>
      <c r="Q726" s="7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1"/>
      <c r="Q727" s="7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1"/>
      <c r="Q728" s="7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1"/>
      <c r="Q729" s="7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1"/>
      <c r="Q730" s="7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1"/>
      <c r="Q731" s="7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1"/>
      <c r="Q732" s="7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1"/>
      <c r="Q733" s="7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1"/>
      <c r="Q734" s="7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1"/>
      <c r="Q735" s="7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1"/>
      <c r="Q736" s="7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1"/>
      <c r="Q737" s="7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1"/>
      <c r="Q738" s="7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1"/>
      <c r="Q739" s="7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1"/>
      <c r="Q740" s="7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1"/>
      <c r="Q741" s="7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1"/>
      <c r="Q742" s="7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1"/>
      <c r="Q743" s="7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1"/>
      <c r="Q744" s="7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1"/>
      <c r="Q745" s="7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1"/>
      <c r="Q746" s="7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1"/>
      <c r="Q747" s="7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1"/>
      <c r="Q748" s="7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1"/>
      <c r="Q749" s="7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1"/>
      <c r="Q750" s="7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1"/>
      <c r="Q751" s="7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1"/>
      <c r="Q752" s="7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1"/>
      <c r="Q753" s="7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1"/>
      <c r="Q754" s="7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1"/>
      <c r="Q755" s="7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1"/>
      <c r="Q756" s="7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1"/>
      <c r="Q757" s="7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1"/>
      <c r="Q758" s="7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1"/>
      <c r="Q759" s="7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1"/>
      <c r="Q760" s="7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1"/>
      <c r="Q761" s="7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1"/>
      <c r="Q762" s="7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1"/>
      <c r="Q763" s="7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1"/>
      <c r="Q764" s="7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1"/>
      <c r="Q765" s="7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1"/>
      <c r="Q766" s="7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1"/>
      <c r="Q767" s="7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1"/>
      <c r="Q768" s="7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1"/>
      <c r="Q769" s="7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1"/>
      <c r="Q770" s="7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1"/>
      <c r="Q771" s="7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1"/>
      <c r="Q772" s="7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1"/>
      <c r="Q773" s="7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1"/>
      <c r="Q774" s="7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1"/>
      <c r="Q775" s="7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1"/>
      <c r="Q776" s="7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1"/>
      <c r="Q777" s="7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1"/>
      <c r="Q778" s="7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1"/>
      <c r="Q779" s="7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1"/>
      <c r="Q780" s="7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1"/>
      <c r="Q781" s="7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1"/>
      <c r="Q782" s="7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1"/>
      <c r="Q783" s="7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1"/>
      <c r="Q784" s="7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1"/>
      <c r="Q785" s="7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1"/>
      <c r="Q786" s="7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1"/>
      <c r="Q787" s="7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1"/>
      <c r="Q788" s="7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1"/>
      <c r="Q789" s="7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1"/>
      <c r="Q790" s="7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1"/>
      <c r="Q791" s="7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1"/>
      <c r="Q792" s="7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1"/>
      <c r="Q793" s="7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1"/>
      <c r="Q794" s="7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1"/>
      <c r="Q795" s="7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1"/>
      <c r="Q796" s="7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1"/>
      <c r="Q797" s="7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1"/>
      <c r="Q798" s="7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1"/>
      <c r="Q799" s="7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1"/>
      <c r="Q800" s="7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1"/>
      <c r="Q801" s="7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1"/>
      <c r="Q802" s="7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1"/>
      <c r="Q803" s="7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1"/>
      <c r="Q804" s="7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1"/>
      <c r="Q805" s="7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1"/>
      <c r="Q806" s="7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1"/>
      <c r="Q807" s="7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1"/>
      <c r="Q808" s="7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1"/>
      <c r="Q809" s="7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1"/>
      <c r="Q810" s="7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1"/>
      <c r="Q811" s="7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1"/>
      <c r="Q812" s="7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1"/>
      <c r="Q813" s="7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1"/>
      <c r="Q814" s="7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1"/>
      <c r="Q815" s="7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1"/>
      <c r="Q816" s="7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1"/>
      <c r="Q817" s="7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1"/>
      <c r="Q818" s="7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1"/>
      <c r="Q819" s="7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1"/>
      <c r="Q820" s="7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1"/>
      <c r="Q821" s="7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1"/>
      <c r="Q822" s="7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1"/>
      <c r="Q823" s="7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1"/>
      <c r="Q824" s="7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1"/>
      <c r="Q825" s="7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1"/>
      <c r="Q826" s="7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1"/>
      <c r="Q827" s="7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1"/>
      <c r="Q828" s="7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1"/>
      <c r="Q829" s="7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1"/>
      <c r="Q830" s="7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1"/>
      <c r="Q831" s="7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1"/>
      <c r="Q832" s="7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1"/>
      <c r="Q833" s="7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1"/>
      <c r="Q834" s="7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1"/>
      <c r="Q835" s="7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1"/>
      <c r="Q836" s="7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1"/>
      <c r="Q837" s="7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1"/>
      <c r="Q838" s="7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1"/>
      <c r="Q839" s="7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1"/>
      <c r="Q840" s="7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1"/>
      <c r="Q841" s="7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1"/>
      <c r="Q842" s="7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1"/>
      <c r="Q843" s="7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1"/>
      <c r="Q844" s="7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1"/>
      <c r="Q845" s="7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1"/>
      <c r="Q846" s="7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1"/>
      <c r="Q847" s="7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1"/>
      <c r="Q848" s="7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1"/>
      <c r="Q849" s="7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1"/>
      <c r="Q850" s="7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1"/>
      <c r="Q851" s="7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1"/>
      <c r="Q852" s="7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1"/>
      <c r="Q853" s="7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1"/>
      <c r="Q854" s="7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1"/>
      <c r="Q855" s="7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1"/>
      <c r="Q856" s="7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1"/>
      <c r="Q857" s="7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1"/>
      <c r="Q858" s="7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1"/>
      <c r="Q859" s="7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1"/>
      <c r="Q860" s="7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1"/>
      <c r="Q861" s="7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1"/>
      <c r="Q862" s="7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1"/>
      <c r="Q863" s="7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1"/>
      <c r="Q864" s="7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1"/>
      <c r="Q865" s="7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1"/>
      <c r="Q866" s="7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1"/>
      <c r="Q867" s="7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1"/>
      <c r="Q868" s="7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1"/>
      <c r="Q869" s="7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1"/>
      <c r="Q870" s="7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1"/>
      <c r="Q871" s="7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1"/>
      <c r="Q872" s="7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1"/>
      <c r="Q873" s="7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1"/>
      <c r="Q874" s="7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1"/>
      <c r="Q875" s="7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1"/>
      <c r="Q876" s="7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1"/>
      <c r="Q877" s="7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1"/>
      <c r="Q878" s="7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1"/>
      <c r="Q879" s="7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1"/>
      <c r="Q880" s="7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1"/>
      <c r="Q881" s="7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1"/>
      <c r="Q882" s="7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1"/>
      <c r="Q883" s="7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1"/>
      <c r="Q884" s="7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1"/>
      <c r="Q885" s="7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1"/>
      <c r="Q886" s="7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1"/>
      <c r="Q887" s="7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1"/>
      <c r="Q888" s="7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1"/>
      <c r="Q889" s="7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1"/>
      <c r="Q890" s="7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1"/>
      <c r="Q891" s="7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1"/>
      <c r="Q892" s="7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1"/>
      <c r="Q893" s="7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1"/>
      <c r="Q894" s="7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1"/>
      <c r="Q895" s="7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1"/>
      <c r="Q896" s="7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1"/>
      <c r="Q897" s="7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1"/>
      <c r="Q898" s="7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1"/>
      <c r="Q899" s="7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1"/>
      <c r="Q900" s="7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1"/>
      <c r="Q901" s="7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1"/>
      <c r="Q902" s="7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1"/>
      <c r="Q903" s="7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1"/>
      <c r="Q904" s="7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1"/>
      <c r="Q905" s="7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1"/>
      <c r="Q906" s="7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1"/>
      <c r="Q907" s="7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1"/>
      <c r="Q908" s="7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1"/>
      <c r="Q909" s="7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1"/>
      <c r="Q910" s="7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1"/>
      <c r="Q911" s="7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1"/>
      <c r="Q912" s="7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1"/>
      <c r="Q913" s="7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1"/>
      <c r="Q914" s="7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1"/>
      <c r="Q915" s="7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1"/>
      <c r="Q916" s="7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1"/>
      <c r="Q917" s="7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1"/>
      <c r="Q918" s="7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1"/>
      <c r="Q919" s="7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1"/>
      <c r="Q920" s="7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1"/>
      <c r="Q921" s="7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1"/>
      <c r="Q922" s="7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1"/>
      <c r="Q923" s="7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1"/>
      <c r="Q924" s="7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1"/>
      <c r="Q925" s="7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1"/>
      <c r="Q926" s="7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1"/>
      <c r="Q927" s="7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1"/>
      <c r="Q928" s="7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1"/>
      <c r="Q929" s="7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1"/>
      <c r="Q930" s="7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1"/>
      <c r="Q931" s="7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1"/>
      <c r="Q932" s="7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1"/>
      <c r="Q933" s="7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1"/>
      <c r="Q934" s="7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1"/>
      <c r="Q935" s="7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1"/>
      <c r="Q936" s="7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1"/>
      <c r="Q937" s="7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1"/>
      <c r="Q938" s="7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1"/>
      <c r="Q939" s="7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1"/>
      <c r="Q940" s="7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1"/>
      <c r="Q941" s="7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1"/>
      <c r="Q942" s="7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1"/>
      <c r="Q943" s="7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1"/>
      <c r="Q944" s="7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1"/>
      <c r="Q945" s="7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1"/>
      <c r="Q946" s="7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1"/>
      <c r="Q947" s="7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1"/>
      <c r="Q948" s="7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1"/>
      <c r="Q949" s="7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1"/>
      <c r="Q950" s="7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1"/>
      <c r="Q951" s="7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1"/>
      <c r="Q952" s="7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1"/>
      <c r="Q953" s="7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1"/>
      <c r="Q954" s="7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1"/>
      <c r="Q955" s="7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1"/>
      <c r="Q956" s="7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1"/>
      <c r="Q957" s="7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1"/>
      <c r="Q958" s="7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1"/>
      <c r="Q959" s="7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1"/>
      <c r="Q960" s="7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1"/>
      <c r="Q961" s="7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1"/>
      <c r="Q962" s="7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1"/>
      <c r="Q963" s="7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1"/>
      <c r="Q964" s="7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1"/>
      <c r="Q965" s="7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1"/>
      <c r="Q966" s="7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1"/>
      <c r="Q967" s="7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1"/>
      <c r="Q968" s="7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1"/>
      <c r="Q969" s="7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1"/>
      <c r="Q970" s="7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1"/>
      <c r="Q971" s="7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1"/>
      <c r="Q972" s="7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1"/>
      <c r="Q973" s="7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1"/>
      <c r="Q974" s="7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1"/>
      <c r="Q975" s="7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1"/>
      <c r="Q976" s="7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1"/>
      <c r="Q977" s="7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1"/>
      <c r="Q978" s="7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1"/>
      <c r="Q979" s="7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1"/>
      <c r="Q980" s="7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1"/>
      <c r="Q981" s="7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1"/>
      <c r="Q982" s="7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1"/>
      <c r="Q983" s="7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1"/>
      <c r="Q984" s="7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7">
    <mergeCell ref="A16:O16"/>
    <mergeCell ref="A19:O19"/>
    <mergeCell ref="B2:E2"/>
    <mergeCell ref="F2:O9"/>
    <mergeCell ref="B3:E3"/>
    <mergeCell ref="B4:E4"/>
    <mergeCell ref="A11:O11"/>
  </mergeCells>
  <dataValidations count="1">
    <dataValidation type="list" allowBlank="1" showErrorMessage="1" sqref="F20:F21 L20:L21 M22:M131 G22:G131 J22:J131 L12:L15 I12:I15 F12:F15 F17:F18 L17:L18 I17:I18 I20:I21" xr:uid="{95B7B477-9F80-4A9C-8796-A776A74FEC44}">
      <formula1>$R$2:$R$5</formula1>
    </dataValidation>
  </dataValidations>
  <pageMargins left="0.74791666666666667" right="0.25" top="0.75" bottom="0.98402777777777772" header="0" footer="0"/>
  <pageSetup paperSize="9" orientation="landscape"/>
  <headerFooter>
    <oddHeader>&amp;LFacilitate_Test Case\Company&amp;Rv1.0</oddHead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Test Cases</vt:lpstr>
      <vt:lpstr>Test Statistics</vt:lpstr>
      <vt:lpstr>Login &amp; Authentication</vt:lpstr>
      <vt:lpstr>Omnichannel Inbox</vt:lpstr>
      <vt:lpstr>Knowledge Base</vt:lpstr>
      <vt:lpstr>Lead Management</vt:lpstr>
      <vt:lpstr>Content Pipeline</vt:lpstr>
      <vt:lpstr>Agent Orchestration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Nguyen</dc:creator>
  <cp:lastModifiedBy>Võ Thành Đạt</cp:lastModifiedBy>
  <dcterms:created xsi:type="dcterms:W3CDTF">2020-03-17T17:34:29Z</dcterms:created>
  <dcterms:modified xsi:type="dcterms:W3CDTF">2026-08-11T14:57:51Z</dcterms:modified>
</cp:coreProperties>
</file>