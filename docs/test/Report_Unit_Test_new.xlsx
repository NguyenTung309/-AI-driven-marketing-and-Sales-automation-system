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wbot\docs\test\"/>
    </mc:Choice>
  </mc:AlternateContent>
  <xr:revisionPtr revIDLastSave="0" documentId="13_ncr:1_{AD83A203-B14A-4FAD-8668-173DFB93DC1C}" xr6:coauthVersionLast="47" xr6:coauthVersionMax="47" xr10:uidLastSave="{00000000-0000-0000-0000-000000000000}"/>
  <bookViews>
    <workbookView xWindow="2240" yWindow="2240" windowWidth="14400" windowHeight="7350" tabRatio="641" firstSheet="6" activeTab="11" xr2:uid="{00000000-000D-0000-FFFF-FFFF00000000}"/>
  </bookViews>
  <sheets>
    <sheet name="Guideline" sheetId="1" r:id="rId1"/>
    <sheet name="Cover" sheetId="4" r:id="rId2"/>
    <sheet name="MethodList" sheetId="5" r:id="rId3"/>
    <sheet name="Statistics" sheetId="6" r:id="rId4"/>
    <sheet name="IsAllowedBaseUrl" sheetId="13" r:id="rId5"/>
    <sheet name="NormalizeApiKey" sheetId="14" r:id="rId6"/>
    <sheet name="ContentLintCheck" sheetId="15" r:id="rId7"/>
    <sheet name="ScenarioMatcher" sheetId="16" r:id="rId8"/>
    <sheet name="GoldenHourResolve" sheetId="17" r:id="rId9"/>
    <sheet name="RecurrenceCalc" sheetId="18" r:id="rId10"/>
    <sheet name="KbSuggestionApprove" sheetId="19" r:id="rId11"/>
    <sheet name="ConversationResume" sheetId="20" r:id="rId12"/>
  </sheets>
  <definedNames>
    <definedName name="ACTION">#REF!</definedName>
    <definedName name="_xlnm.Print_Area" localSheetId="6">ContentLintCheck!$A$1:$T$41</definedName>
    <definedName name="_xlnm.Print_Area" localSheetId="11">ConversationResume!$A$1:$T$39</definedName>
    <definedName name="_xlnm.Print_Area" localSheetId="8">GoldenHourResolve!$A$1:$T$37</definedName>
    <definedName name="_xlnm.Print_Area" localSheetId="0">Guideline!$A$1:$A$47</definedName>
    <definedName name="_xlnm.Print_Area" localSheetId="4">IsAllowedBaseUrl!$A$1:$T$45</definedName>
    <definedName name="_xlnm.Print_Area" localSheetId="10">KbSuggestionApprove!$A$1:$T$44</definedName>
    <definedName name="_xlnm.Print_Area" localSheetId="2">MethodList!$A$1:$F$42</definedName>
    <definedName name="_xlnm.Print_Area" localSheetId="5">NormalizeApiKey!$A$1:$T$32</definedName>
    <definedName name="_xlnm.Print_Area" localSheetId="9">RecurrenceCalc!$A$1:$T$43</definedName>
    <definedName name="_xlnm.Print_Area" localSheetId="7">ScenarioMatcher!$A$1:$T$40</definedName>
    <definedName name="_xlnm.Print_Area" localSheetId="3">Statistics!$A$1:$I$46</definedName>
    <definedName name="Z_2C0D9096_8D85_462A_A9B5_0B488ADB4269_.wvu.Cols" localSheetId="6" hidden="1">ContentLintCheck!$E:$E</definedName>
    <definedName name="Z_2C0D9096_8D85_462A_A9B5_0B488ADB4269_.wvu.Cols" localSheetId="11" hidden="1">ConversationResume!$E:$E</definedName>
    <definedName name="Z_2C0D9096_8D85_462A_A9B5_0B488ADB4269_.wvu.Cols" localSheetId="8" hidden="1">GoldenHourResolve!$E:$E</definedName>
    <definedName name="Z_2C0D9096_8D85_462A_A9B5_0B488ADB4269_.wvu.Cols" localSheetId="4" hidden="1">IsAllowedBaseUrl!$E:$E</definedName>
    <definedName name="Z_2C0D9096_8D85_462A_A9B5_0B488ADB4269_.wvu.Cols" localSheetId="10" hidden="1">KbSuggestionApprove!$E:$E</definedName>
    <definedName name="Z_2C0D9096_8D85_462A_A9B5_0B488ADB4269_.wvu.Cols" localSheetId="5" hidden="1">NormalizeApiKey!$E:$E</definedName>
    <definedName name="Z_2C0D9096_8D85_462A_A9B5_0B488ADB4269_.wvu.Cols" localSheetId="9" hidden="1">RecurrenceCalc!$E:$E</definedName>
    <definedName name="Z_2C0D9096_8D85_462A_A9B5_0B488ADB4269_.wvu.Cols" localSheetId="7" hidden="1">ScenarioMatcher!$E:$E</definedName>
    <definedName name="Z_2C0D9096_8D85_462A_A9B5_0B488ADB4269_.wvu.PrintArea" localSheetId="3" hidden="1">Statistics!$A:$I</definedName>
    <definedName name="Z_6F1DCD5D_5DAC_4817_BF40_2B66F6F593E6_.wvu.Cols" localSheetId="6" hidden="1">ContentLintCheck!$E:$E</definedName>
    <definedName name="Z_6F1DCD5D_5DAC_4817_BF40_2B66F6F593E6_.wvu.Cols" localSheetId="11" hidden="1">ConversationResume!$E:$E</definedName>
    <definedName name="Z_6F1DCD5D_5DAC_4817_BF40_2B66F6F593E6_.wvu.Cols" localSheetId="8" hidden="1">GoldenHourResolve!$E:$E</definedName>
    <definedName name="Z_6F1DCD5D_5DAC_4817_BF40_2B66F6F593E6_.wvu.Cols" localSheetId="4" hidden="1">IsAllowedBaseUrl!$E:$E</definedName>
    <definedName name="Z_6F1DCD5D_5DAC_4817_BF40_2B66F6F593E6_.wvu.Cols" localSheetId="10" hidden="1">KbSuggestionApprove!$E:$E</definedName>
    <definedName name="Z_6F1DCD5D_5DAC_4817_BF40_2B66F6F593E6_.wvu.Cols" localSheetId="5" hidden="1">NormalizeApiKey!$E:$E</definedName>
    <definedName name="Z_6F1DCD5D_5DAC_4817_BF40_2B66F6F593E6_.wvu.Cols" localSheetId="9" hidden="1">RecurrenceCalc!$E:$E</definedName>
    <definedName name="Z_6F1DCD5D_5DAC_4817_BF40_2B66F6F593E6_.wvu.Cols" localSheetId="7" hidden="1">ScenarioMatcher!$E:$E</definedName>
    <definedName name="Z_6F1DCD5D_5DAC_4817_BF40_2B66F6F593E6_.wvu.PrintArea" localSheetId="3" hidden="1">Statistics!$A:$I</definedName>
    <definedName name="Z_BE54E0AD_3725_4423_92D7_4F1C045BE1BC_.wvu.Cols" localSheetId="6" hidden="1">ContentLintCheck!$E:$E</definedName>
    <definedName name="Z_BE54E0AD_3725_4423_92D7_4F1C045BE1BC_.wvu.Cols" localSheetId="11" hidden="1">ConversationResume!$E:$E</definedName>
    <definedName name="Z_BE54E0AD_3725_4423_92D7_4F1C045BE1BC_.wvu.Cols" localSheetId="8" hidden="1">GoldenHourResolve!$E:$E</definedName>
    <definedName name="Z_BE54E0AD_3725_4423_92D7_4F1C045BE1BC_.wvu.Cols" localSheetId="4" hidden="1">IsAllowedBaseUrl!$E:$E</definedName>
    <definedName name="Z_BE54E0AD_3725_4423_92D7_4F1C045BE1BC_.wvu.Cols" localSheetId="10" hidden="1">KbSuggestionApprove!$E:$E</definedName>
    <definedName name="Z_BE54E0AD_3725_4423_92D7_4F1C045BE1BC_.wvu.Cols" localSheetId="5" hidden="1">NormalizeApiKey!$E:$E</definedName>
    <definedName name="Z_BE54E0AD_3725_4423_92D7_4F1C045BE1BC_.wvu.Cols" localSheetId="9" hidden="1">RecurrenceCalc!$E:$E</definedName>
    <definedName name="Z_BE54E0AD_3725_4423_92D7_4F1C045BE1BC_.wvu.Cols" localSheetId="7" hidden="1">ScenarioMatcher!$E:$E</definedName>
    <definedName name="Z_BE54E0AD_3725_4423_92D7_4F1C045BE1BC_.wvu.PrintArea" localSheetId="3" hidden="1">Statistics!$A:$I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6" l="1"/>
  <c r="G18" i="6"/>
  <c r="F18" i="6"/>
  <c r="H17" i="6"/>
  <c r="G17" i="6"/>
  <c r="I16" i="6"/>
  <c r="H16" i="6"/>
  <c r="C16" i="6"/>
  <c r="I15" i="6"/>
  <c r="D15" i="6"/>
  <c r="C15" i="6"/>
  <c r="D14" i="6"/>
  <c r="F13" i="6"/>
  <c r="G12" i="6"/>
  <c r="G22" i="6" s="1"/>
  <c r="F12" i="6"/>
  <c r="F22" i="6" s="1"/>
  <c r="O5" i="20"/>
  <c r="I19" i="6" s="1"/>
  <c r="N5" i="20"/>
  <c r="H19" i="6" s="1"/>
  <c r="M5" i="20"/>
  <c r="G19" i="6" s="1"/>
  <c r="L5" i="20"/>
  <c r="C5" i="20"/>
  <c r="D19" i="6" s="1"/>
  <c r="A5" i="20"/>
  <c r="C19" i="6" s="1"/>
  <c r="O5" i="19"/>
  <c r="I18" i="6" s="1"/>
  <c r="N5" i="19"/>
  <c r="H18" i="6" s="1"/>
  <c r="M5" i="19"/>
  <c r="L5" i="19"/>
  <c r="C5" i="19"/>
  <c r="D18" i="6" s="1"/>
  <c r="A5" i="19"/>
  <c r="F5" i="19" s="1"/>
  <c r="E18" i="6" s="1"/>
  <c r="O5" i="18"/>
  <c r="I17" i="6" s="1"/>
  <c r="N5" i="18"/>
  <c r="M5" i="18"/>
  <c r="L5" i="18"/>
  <c r="F17" i="6" s="1"/>
  <c r="C5" i="18"/>
  <c r="D17" i="6" s="1"/>
  <c r="A5" i="18"/>
  <c r="F5" i="18" s="1"/>
  <c r="E17" i="6" s="1"/>
  <c r="O5" i="17"/>
  <c r="N5" i="17"/>
  <c r="M5" i="17"/>
  <c r="G16" i="6" s="1"/>
  <c r="L5" i="17"/>
  <c r="F16" i="6" s="1"/>
  <c r="C5" i="17"/>
  <c r="D16" i="6" s="1"/>
  <c r="A5" i="17"/>
  <c r="O5" i="16"/>
  <c r="N5" i="16"/>
  <c r="H15" i="6" s="1"/>
  <c r="M5" i="16"/>
  <c r="G15" i="6" s="1"/>
  <c r="L5" i="16"/>
  <c r="F15" i="6" s="1"/>
  <c r="F5" i="16"/>
  <c r="E15" i="6" s="1"/>
  <c r="C5" i="16"/>
  <c r="A5" i="16"/>
  <c r="O5" i="15"/>
  <c r="I14" i="6" s="1"/>
  <c r="N5" i="15"/>
  <c r="H14" i="6" s="1"/>
  <c r="M5" i="15"/>
  <c r="G14" i="6" s="1"/>
  <c r="L5" i="15"/>
  <c r="F14" i="6" s="1"/>
  <c r="C5" i="15"/>
  <c r="A5" i="15"/>
  <c r="C14" i="6" s="1"/>
  <c r="O5" i="14"/>
  <c r="I13" i="6" s="1"/>
  <c r="N5" i="14"/>
  <c r="H13" i="6" s="1"/>
  <c r="M5" i="14"/>
  <c r="G13" i="6" s="1"/>
  <c r="L5" i="14"/>
  <c r="C5" i="14"/>
  <c r="D13" i="6" s="1"/>
  <c r="A5" i="14"/>
  <c r="C13" i="6" s="1"/>
  <c r="O5" i="13"/>
  <c r="I12" i="6" s="1"/>
  <c r="N5" i="13"/>
  <c r="H12" i="6" s="1"/>
  <c r="H22" i="6" s="1"/>
  <c r="M5" i="13"/>
  <c r="L5" i="13"/>
  <c r="C5" i="13"/>
  <c r="D12" i="6" s="1"/>
  <c r="D22" i="6" s="1"/>
  <c r="A5" i="13"/>
  <c r="C12" i="6" s="1"/>
  <c r="B6" i="4"/>
  <c r="C4" i="5"/>
  <c r="C5" i="5"/>
  <c r="B4" i="6"/>
  <c r="B5" i="6"/>
  <c r="B6" i="6"/>
  <c r="I22" i="6" l="1"/>
  <c r="D26" i="6" s="1"/>
  <c r="F5" i="17"/>
  <c r="E16" i="6" s="1"/>
  <c r="C17" i="6"/>
  <c r="C22" i="6" s="1"/>
  <c r="F5" i="13"/>
  <c r="E12" i="6" s="1"/>
  <c r="C18" i="6"/>
  <c r="F5" i="14"/>
  <c r="E13" i="6" s="1"/>
  <c r="F5" i="20"/>
  <c r="E19" i="6" s="1"/>
  <c r="F5" i="15"/>
  <c r="E14" i="6" s="1"/>
  <c r="D24" i="6" l="1"/>
  <c r="D25" i="6"/>
  <c r="D28" i="6"/>
  <c r="E22" i="6"/>
  <c r="D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5742D766-B465-41F7-98C4-376D798DA97B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B3110888-051D-4DBD-8CE9-538C98539D0A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ACA73D3F-98A6-45BF-9E31-1164C936A5D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3B828F19-4266-440B-9223-CFBE0682C8E8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6EB9E219-1ADE-43FD-80DA-68B1FEE68F9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C085F43F-4D77-4FFE-863C-651CF12D05C2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1ECA8016-1FCB-49E4-95B8-FF8C7510082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48ABAB59-B37A-4ADC-A632-89D8788821B7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D84DD329-43EA-4BCD-A438-F1A2990CA16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D8920A5D-78BC-4F2E-973C-BA90FB233217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4113AF96-2CF5-45C0-A3EF-CD5E5D2D619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A7121060-8C5F-47F4-8B40-F3816AB49382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8B921678-D52B-47AD-A4DC-2C6D7DDCD2D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F3A833A5-E25B-46C4-9EC0-E190103F2446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3" authorId="0" shapeId="0" xr:uid="{38F84B75-92A0-4C7A-9079-5DAA368CB3D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8" authorId="1" shapeId="0" xr:uid="{05574990-E32E-43DF-BD0D-6FB554A36395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<sst xmlns="http://schemas.openxmlformats.org/spreadsheetml/2006/main" count="981" uniqueCount="300">
  <si>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</si>
  <si>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</si>
  <si>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</si>
  <si>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</si>
  <si>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</si>
  <si>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</si>
  <si>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</si>
  <si>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</si>
  <si>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</si>
  <si>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</si>
  <si>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</si>
  <si>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</si>
  <si>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</si>
  <si>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Environment Setup Description</t>
  </si>
  <si>
    <t>No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</si>
  <si>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</si>
  <si>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</si>
  <si>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</si>
  <si>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</si>
  <si>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</si>
  <si>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</si>
  <si>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</si>
  <si>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</si>
  <si>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</si>
  <si>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</si>
  <si>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</si>
  <si>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</si>
  <si>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</si>
  <si>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</si>
  <si>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</si>
  <si>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</si>
  <si>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</si>
  <si>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</si>
  <si>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</si>
  <si>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</si>
  <si>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</si>
  <si>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</si>
  <si>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</si>
  <si>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</si>
  <si>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</si>
  <si>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</si>
  <si>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</si>
  <si>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</si>
  <si>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</si>
  <si>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</si>
  <si>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</si>
  <si>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null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</si>
  <si>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</si>
  <si>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</si>
  <si>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</si>
  <si>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</si>
  <si>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</si>
  <si>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</si>
  <si>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</si>
  <si>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Executed Date</t>
  </si>
  <si>
    <t>Defect ID</t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</si>
  <si>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</si>
  <si>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</si>
  <si>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</si>
  <si>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</si>
  <si>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</si>
  <si>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>Created By</t>
  </si>
  <si>
    <t>Executed By</t>
  </si>
  <si>
    <t>Test requirement</t>
  </si>
  <si>
    <t>N/A/B</t>
  </si>
  <si>
    <t>Condition</t>
  </si>
  <si>
    <t>Confirm</t>
  </si>
  <si>
    <t>Return</t>
  </si>
  <si>
    <t>Exception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</si>
  <si>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</si>
  <si>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</si>
  <si>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</si>
  <si>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</si>
  <si>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</si>
  <si>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</si>
  <si>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</si>
  <si>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</si>
  <si>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</si>
  <si>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</si>
  <si>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</si>
  <si>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</si>
  <si>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</si>
  <si>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</si>
  <si>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</si>
  <si>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</si>
  <si>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O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</si>
  <si>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</si>
  <si>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</si>
  <si>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</si>
  <si>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</si>
  <si>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</si>
  <si>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</si>
  <si>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</si>
  <si>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</si>
  <si>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</si>
  <si>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</si>
  <si>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</si>
  <si>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</si>
  <si>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</si>
  <si>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</si>
  <si>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</si>
  <si>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</si>
  <si>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</si>
  <si>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</si>
  <si>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</si>
  <si>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</si>
  <si>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</si>
  <si>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</si>
  <si>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UNIT TEST DOCUMENT</t>
  </si>
  <si>
    <t>Code Module</t>
  </si>
  <si>
    <t>Method</t>
  </si>
  <si>
    <t>Module Name</t>
  </si>
  <si>
    <t>Method Name</t>
  </si>
  <si>
    <t xml:space="preserve"> - Method: it is name  of the code method/component and updated automatically according to FunctionList sheet.</t>
  </si>
  <si>
    <t xml:space="preserve"> - Code Module: name of the code module and updated automatically according to FunctionList sheet.</t>
  </si>
  <si>
    <t>Method List</t>
  </si>
  <si>
    <t>Clawbot.Agents.Core.Chat</t>
  </si>
  <si>
    <t>LlmBaseUrlGuard.IsAllowedBaseUrl</t>
  </si>
  <si>
    <t>&lt;Tester Name&gt;</t>
  </si>
  <si>
    <t>Guard outbound LLM provider URLs against SSRF: reject non-http/https schemes, embedded credentials, public cleartext HTTP, and private hosts without explicit operator grant. Fail closed when DNS resolves to a mix of public and private addresses or when resolution fails.</t>
  </si>
  <si>
    <t>baseUrl</t>
  </si>
  <si>
    <t>"not-a-uri" (malformed, no scheme)</t>
  </si>
  <si>
    <t>"ftp://api.example.com" (unsupported scheme)</t>
  </si>
  <si>
    <t>"https://user:pass@api.example.com" (userInfo present)</t>
  </si>
  <si>
    <t>"http://api.openai.com" (HTTP + public host)</t>
  </si>
  <si>
    <t>"http://10.0.0.5:8080" (HTTP + private RFC-1918 host)</t>
  </si>
  <si>
    <t>"https://api.openai.com" (HTTPS + public host)</t>
  </si>
  <si>
    <t>"https://localhost:11434" (HTTPS + loopback)</t>
  </si>
  <si>
    <t>"https://10.0.0.5:8080" (HTTPS + private RFC-1918)</t>
  </si>
  <si>
    <t>allowPrivateHosts</t>
  </si>
  <si>
    <t>false (default)</t>
  </si>
  <si>
    <t>true (operator grant)</t>
  </si>
  <si>
    <t>allowedPrivateOrigins</t>
  </si>
  <si>
    <t>empty list</t>
  </si>
  <si>
    <t>list containing "http://10.0.0.5:8080"</t>
  </si>
  <si>
    <t>DNS stub</t>
  </si>
  <si>
    <t>returns public IPv4 only (e.g. 1.2.3.4)</t>
  </si>
  <si>
    <t>returns private IPv4 only (e.g. 10.0.0.5)</t>
  </si>
  <si>
    <t>returns mix: one public + one private address</t>
  </si>
  <si>
    <t>throws SocketException (DNS resolution failure)</t>
  </si>
  <si>
    <t>true  (URL is allowed)</t>
  </si>
  <si>
    <t>false (URL is blocked)</t>
  </si>
  <si>
    <t>Clawbot.Infrastructure.Security</t>
  </si>
  <si>
    <t>AesEncryptor.ParseKey (constructor validation)</t>
  </si>
  <si>
    <t>The AesEncryptor constructor must reject missing, malformed, or wrong-length base64 keys with a clear InvalidOperationException before any encryption call can be made.</t>
  </si>
  <si>
    <t>Base64Key option</t>
  </si>
  <si>
    <t>null or empty string</t>
  </si>
  <si>
    <t>whitespace-only string</t>
  </si>
  <si>
    <t>valid base64 but decodes to 16 bytes (wrong length)</t>
  </si>
  <si>
    <t>valid base64 but decodes to 64 bytes (wrong length)</t>
  </si>
  <si>
    <t xml:space="preserve">non-base64 characters (e.g. "!!invalid!!") </t>
  </si>
  <si>
    <t>valid base64 that decodes to exactly 32 bytes</t>
  </si>
  <si>
    <t>Outcome</t>
  </si>
  <si>
    <t>Constructor succeeds; Encrypt returns a non-empty base64 string</t>
  </si>
  <si>
    <t>InvalidOperationException is thrown with a descriptive message</t>
  </si>
  <si>
    <t>Clawbot.Agents.Core.Content</t>
  </si>
  <si>
    <t>ContentLint.Check</t>
  </si>
  <si>
    <t>Deterministic pre-LLM lint: reject content bodies that contain absolute outcome guarantees, external links or junk encoding characters. Pass empty/whitespace bodies and clean bodies unchanged.</t>
  </si>
  <si>
    <t>body</t>
  </si>
  <si>
    <t>clean body text (no violations)</t>
  </si>
  <si>
    <t>body with tab and newline only (allowed control chars)</t>
  </si>
  <si>
    <t>body containing an absolute-guarantee phrase (prohibited commitment)</t>
  </si>
  <si>
    <t>body containing "100% do" (absolute guarantee phrase, uppercase variant)</t>
  </si>
  <si>
    <t>body containing "https://example.com" (external link)</t>
  </si>
  <si>
    <t>body containing "www.example.com" (www link)</t>
  </si>
  <si>
    <t>body containing U+FFFD replacement character (mojibake)</t>
  </si>
  <si>
    <t>body containing C0 control char 0x01 (junk)</t>
  </si>
  <si>
    <t>Succeeded</t>
  </si>
  <si>
    <t>ErrorCode</t>
  </si>
  <si>
    <t>(empty string)</t>
  </si>
  <si>
    <t>lint_absolute_guarantee</t>
  </si>
  <si>
    <t>lint_external_link</t>
  </si>
  <si>
    <t>lint_junk_chars</t>
  </si>
  <si>
    <t>Clawbot.Domain.ChatScenarios</t>
  </si>
  <si>
    <t>ChatScenarioMatcher.Match</t>
  </si>
  <si>
    <t>Return the best-matching ChatScenario for an inbound text. Regex trigger scores 1000 + match.Length; substring scores trigger.Length. Tiebreak: higher SuccessRate then lower Code. Platform CSV filter: empty or 'all' matches any platform.</t>
  </si>
  <si>
    <t>text</t>
  </si>
  <si>
    <t>text matching one scenario via regex</t>
  </si>
  <si>
    <t>text matching two scenarios; one has longer regex match (more specific)</t>
  </si>
  <si>
    <t>text matching two scenarios; equal score; one has higher SuccessRate</t>
  </si>
  <si>
    <t>text matching two scenarios; equal score and rate; one has lower Code (ordinal)</t>
  </si>
  <si>
    <t>candidates</t>
  </si>
  <si>
    <t>single scenario, no platform filter (platforms empty)</t>
  </si>
  <si>
    <t>scenarios with platform = "facebook"</t>
  </si>
  <si>
    <t>scenarios with platform = "all"</t>
  </si>
  <si>
    <t>platform arg</t>
  </si>
  <si>
    <t>"facebook"</t>
  </si>
  <si>
    <t>"zalo"</t>
  </si>
  <si>
    <t>null (no match)</t>
  </si>
  <si>
    <t>the expected scenario</t>
  </si>
  <si>
    <t>Clawbot.SharedKernel.Content</t>
  </si>
  <si>
    <t>DefaultGoldenHourResolver.ResolveNext</t>
  </si>
  <si>
    <t>Return the next golden-hour slot in UTC+7 for a given platform. Known platforms: facebook=20:30, tiktok=20:00, instagram=19:30, youtube=18:00, zalo=08:00. Unknown platform defaults to 19:00. If the candidate slot has already passed today, return the same slot tomorrow.</t>
  </si>
  <si>
    <t>platform</t>
  </si>
  <si>
    <t>"tiktok"</t>
  </si>
  <si>
    <t>"instagram"</t>
  </si>
  <si>
    <t>"youtube"</t>
  </si>
  <si>
    <t>"unknown_platform" (not in the map)</t>
  </si>
  <si>
    <t>"FACEBOOK" (uppercase — case-insensitive check)</t>
  </si>
  <si>
    <t>utcNow (Vietnam time context)</t>
  </si>
  <si>
    <t>before the platform golden hour today (e.g. 10:00 VN for facebook 20:30)</t>
  </si>
  <si>
    <t>after the platform golden hour today (e.g. 21:00 VN for facebook 20:30)</t>
  </si>
  <si>
    <t>exactly at the platform golden hour (boundary)</t>
  </si>
  <si>
    <t>today's golden hour in UTC+7 (converted to UTC)</t>
  </si>
  <si>
    <t>tomorrow's golden hour in UTC+7 (converted to UTC)</t>
  </si>
  <si>
    <t>Clawbot.Agents.Core.Orchestrator</t>
  </si>
  <si>
    <t>RecurrenceCalculator.NextRunUtc + WindowKey</t>
  </si>
  <si>
    <t>NextRunUtc advances a UTC timestamp by one cadence unit in the given timezone. WindowKey returns a deterministic string key for the cadence window (e.g. weekly:2026-W33, quarterly:2026-Q3). Month-end dates are clamped to the last valid day of the target month.</t>
  </si>
  <si>
    <t>method</t>
  </si>
  <si>
    <t>NextRunUtc</t>
  </si>
  <si>
    <t>WindowKey</t>
  </si>
  <si>
    <t>cadence</t>
  </si>
  <si>
    <t>"daily"</t>
  </si>
  <si>
    <t>"weekly"</t>
  </si>
  <si>
    <t>"monthly"</t>
  </si>
  <si>
    <t>"quarterly"</t>
  </si>
  <si>
    <t>"biennial" (unsupported)</t>
  </si>
  <si>
    <t>fromUtc / dueAtUtc</t>
  </si>
  <si>
    <t>normal date (e.g. 2026-08-11 10:00 UTC)</t>
  </si>
  <si>
    <t>Jan 31 (month end, +1 month → Feb should clamp to Feb 28)</t>
  </si>
  <si>
    <t>last day of a quarter (e.g. Sep 30 for Q3)</t>
  </si>
  <si>
    <t>next daily timestamp (+1 day)</t>
  </si>
  <si>
    <t>next weekly timestamp (+7 days)</t>
  </si>
  <si>
    <t>next monthly timestamp (+1 month, clamped)</t>
  </si>
  <si>
    <t>next quarterly timestamp (+3 months, clamped)</t>
  </si>
  <si>
    <t>window key string matching expected format</t>
  </si>
  <si>
    <t>ArgumentOutOfRangeException</t>
  </si>
  <si>
    <t>Clawbot.Domain.KnowledgeBase</t>
  </si>
  <si>
    <t>KbSuggestion.IsAutoApprovable + Approve</t>
  </si>
  <si>
    <t>IsAutoApprovable returns true only when: Status=pending, Verdict=approve, both accuracy values present, accuracy_after &gt;= accuracy_before. Approve(auto) requires IsAutoApprovable=true and no decidedBy. Approve(human) requires a decidedBy userId. Reject requires a non-empty reason string.</t>
  </si>
  <si>
    <t>Status</t>
  </si>
  <si>
    <t>pending</t>
  </si>
  <si>
    <t>approved (already processed)</t>
  </si>
  <si>
    <t>rejected (already processed)</t>
  </si>
  <si>
    <t>Verdict</t>
  </si>
  <si>
    <t>approve</t>
  </si>
  <si>
    <t>reject</t>
  </si>
  <si>
    <t>accuracy_after vs accuracy_before</t>
  </si>
  <si>
    <t>after &gt; before (improved)</t>
  </si>
  <si>
    <t>after == before (unchanged)</t>
  </si>
  <si>
    <t>after &lt; before (degraded)</t>
  </si>
  <si>
    <t>either value is null</t>
  </si>
  <si>
    <t>decidedBy</t>
  </si>
  <si>
    <t>null (auto path)</t>
  </si>
  <si>
    <t>valid userId (human path)</t>
  </si>
  <si>
    <t>IsAutoApprovable</t>
  </si>
  <si>
    <t>Approve outcome</t>
  </si>
  <si>
    <t>auto-approved (ApprovalMode=automatic)</t>
  </si>
  <si>
    <t>human-approved (ApprovalMode=human)</t>
  </si>
  <si>
    <t>InvalidOperationException</t>
  </si>
  <si>
    <t>Clawbot.Domain.Conversations</t>
  </si>
  <si>
    <t>Conversation.TryResumeAiAutoReply + PauseAiAutoReplyUntil</t>
  </si>
  <si>
    <t>PauseAiAutoReplyUntil sets enabled=false and records resumeAt. TryResumeAiAutoReply returns true and clears resumeAt only when enabled=false AND resumeAt &lt;= now. SetAiAutoReply(false) is a permanent toggle (clears resumeAt). Escalate sets enabled=false with resumeAt=null permanently.</t>
  </si>
  <si>
    <t>method called</t>
  </si>
  <si>
    <t>PauseAiAutoReplyUntil(resumeAt)</t>
  </si>
  <si>
    <t>TryResumeAiAutoReply(now)</t>
  </si>
  <si>
    <t>SetAiAutoReply(false)</t>
  </si>
  <si>
    <t>Escalate()</t>
  </si>
  <si>
    <t>enabled state before call</t>
  </si>
  <si>
    <t>resumeAt vs now</t>
  </si>
  <si>
    <t>resumeAt &lt;= now (window elapsed)</t>
  </si>
  <si>
    <t>resumeAt &gt; now (still in window)</t>
  </si>
  <si>
    <t>resumeAt is null</t>
  </si>
  <si>
    <t>Return / side-effect</t>
  </si>
  <si>
    <t>TryResume returns true; enabled=true; resumeAt=null</t>
  </si>
  <si>
    <t>TryResume returns false; state unchanged</t>
  </si>
  <si>
    <t>enabled=false; resumeAt set to the given future time</t>
  </si>
  <si>
    <t>enabled=false; resumeAt=null (permanent disable)</t>
  </si>
  <si>
    <t>Clawbot</t>
  </si>
  <si>
    <t>&lt;Creator&gt;</t>
  </si>
  <si>
    <t>CLAWBOT</t>
  </si>
  <si>
    <t>v1.0</t>
  </si>
  <si>
    <t>Unit Test Report</t>
  </si>
  <si>
    <t>Initial version</t>
  </si>
  <si>
    <t>1. Windows 11 + .NET 8 SDK
2. SQL Server 2022 (Docker :1433)
3. Redis 7 (Docker :6379)
4. xUnit + FluentAssertions
5. Moq (DNS stub via LlmBaseUrlGuard.ResolveHostAddresses test seam)</t>
  </si>
  <si>
    <t>IsAllowedBaseUrl</t>
  </si>
  <si>
    <t>Validate a base URL before an outbound HttpClient is created for an LLM provider</t>
  </si>
  <si>
    <t>The DNS test seam (LlmBaseUrlGuard.ResolveHostAddresses) is replaced with a stub in test setup</t>
  </si>
  <si>
    <t>NormalizeApiKey</t>
  </si>
  <si>
    <t>Validate the Encryption:Base64Key option when AesEncryptor is constructed via DI</t>
  </si>
  <si>
    <t>AesEncryptor is constructed directly using OptionsWrapper&lt;EncryptionOptions&gt;</t>
  </si>
  <si>
    <t>ContentLintCheck</t>
  </si>
  <si>
    <t>Static content lint that runs before the LLM reviewer gate</t>
  </si>
  <si>
    <t>No external dependencies; pure function</t>
  </si>
  <si>
    <t>ScenarioMatcher</t>
  </si>
  <si>
    <t>Pure scenario selector used by the auto-reply pipeline to pick the correct response template</t>
  </si>
  <si>
    <t>No external dependencies; pure function with in-memory candidate list</t>
  </si>
  <si>
    <t>GoldenHourResolve</t>
  </si>
  <si>
    <t>Calculates the next optimal posting time per platform for the content scheduler</t>
  </si>
  <si>
    <t>RecurrenceCalc</t>
  </si>
  <si>
    <t>Recurrence engine used by AgentSchedules to compute the next run time and deduplicate runs within a window</t>
  </si>
  <si>
    <t>Timezone ID must be a valid IANA/Windows timezone (e.g. SE Asia Standard Time)</t>
  </si>
  <si>
    <t>KbSuggestionApprove</t>
  </si>
  <si>
    <t>Domain aggregate methods controlling the KB suggestion lifecycle</t>
  </si>
  <si>
    <t>KbSuggestion instance built via KbSuggestion.Create with valid parameters</t>
  </si>
  <si>
    <t>ConversationResume</t>
  </si>
  <si>
    <t>AI auto-reply state machine on the Conversation aggregate</t>
  </si>
  <si>
    <t>Conversation instance is in a valid state (not resolved/deleted)</t>
  </si>
  <si>
    <t>&lt;Reviewer/Approver&gt;</t>
  </si>
  <si>
    <t>Clawbot.Agents.Core.Chat, Clawbot.Agents.Core.Content, Clawbot.Domain.ChatScenarios, Clawbot.SharedKernel.Content, Clawbot.Agents.Core.Orchestrator, Clawbot.Domain.KnowledgeBase, Clawbot.Domain.Conversations, Clawbot.Infrastructure.Security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</si>
</sst>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231">
    <xf numFmtId="0" fontId="0" fillId="0" borderId="0" xfId="0">
      <alignment vertical="center"/>
    </xf>
    <xf numFmtId="0" fontId="21" fillId="0" borderId="10" xfId="40" applyFont="1" applyBorder="1" applyAlignment="1">
      <alignment horizontal="center" vertical="center"/>
    </xf>
    <xf numFmtId="0" fontId="23" fillId="0" borderId="0" xfId="40" applyFont="1" applyAlignment="1">
      <alignment horizontal="center" vertical="center"/>
    </xf>
    <xf numFmtId="0" fontId="23" fillId="0" borderId="0" xfId="40" applyFont="1"/>
    <xf numFmtId="0" fontId="24" fillId="24" borderId="0" xfId="40" applyFont="1" applyFill="1" applyAlignment="1">
      <alignment horizontal="left" indent="1"/>
    </xf>
    <xf numFmtId="0" fontId="25" fillId="0" borderId="0" xfId="40" applyFont="1" applyAlignment="1">
      <alignment horizontal="left" indent="1"/>
    </xf>
    <xf numFmtId="0" fontId="23" fillId="24" borderId="0" xfId="40" applyFont="1" applyFill="1"/>
    <xf numFmtId="0" fontId="23" fillId="0" borderId="11" xfId="40" applyFont="1" applyBorder="1"/>
    <xf numFmtId="0" fontId="25" fillId="0" borderId="0" xfId="40" applyFont="1" applyAlignment="1">
      <alignment horizontal="left"/>
    </xf>
    <xf numFmtId="0" fontId="24" fillId="0" borderId="0" xfId="40" applyFont="1" applyAlignment="1">
      <alignment horizontal="left" indent="1"/>
    </xf>
    <xf numFmtId="0" fontId="23" fillId="0" borderId="0" xfId="40" applyFont="1" applyAlignment="1">
      <alignment vertical="center"/>
    </xf>
    <xf numFmtId="164" fontId="26" fillId="25" borderId="12" xfId="40" applyNumberFormat="1" applyFont="1" applyFill="1" applyBorder="1" applyAlignment="1">
      <alignment horizontal="center" vertical="center"/>
    </xf>
    <xf numFmtId="0" fontId="26" fillId="25" borderId="13" xfId="40" applyFont="1" applyFill="1" applyBorder="1" applyAlignment="1">
      <alignment horizontal="center" vertical="center"/>
    </xf>
    <xf numFmtId="0" fontId="26" fillId="25" borderId="14" xfId="40" applyFont="1" applyFill="1" applyBorder="1" applyAlignment="1">
      <alignment horizontal="center" vertical="center"/>
    </xf>
    <xf numFmtId="0" fontId="23" fillId="0" borderId="0" xfId="40" applyFont="1" applyAlignment="1">
      <alignment vertical="top"/>
    </xf>
    <xf numFmtId="49" fontId="23" fillId="0" borderId="15" xfId="40" applyNumberFormat="1" applyFont="1" applyBorder="1" applyAlignment="1">
      <alignment vertical="top"/>
    </xf>
    <xf numFmtId="0" fontId="23" fillId="0" borderId="15" xfId="40" applyFont="1" applyBorder="1" applyAlignment="1">
      <alignment vertical="top"/>
    </xf>
    <xf numFmtId="15" fontId="23" fillId="0" borderId="15" xfId="40" applyNumberFormat="1" applyFont="1" applyBorder="1" applyAlignment="1">
      <alignment vertical="top"/>
    </xf>
    <xf numFmtId="164" fontId="23" fillId="0" borderId="16" xfId="40" applyNumberFormat="1" applyFont="1" applyBorder="1" applyAlignment="1">
      <alignment vertical="top"/>
    </xf>
    <xf numFmtId="0" fontId="23" fillId="0" borderId="17" xfId="40" applyFont="1" applyBorder="1" applyAlignment="1">
      <alignment vertical="top"/>
    </xf>
    <xf numFmtId="164" fontId="23" fillId="0" borderId="18" xfId="40" applyNumberFormat="1" applyFont="1" applyBorder="1" applyAlignment="1">
      <alignment vertical="top"/>
    </xf>
    <xf numFmtId="49" fontId="23" fillId="0" borderId="19" xfId="40" applyNumberFormat="1" applyFont="1" applyBorder="1" applyAlignment="1">
      <alignment vertical="top"/>
    </xf>
    <xf numFmtId="0" fontId="23" fillId="0" borderId="19" xfId="40" applyFont="1" applyBorder="1" applyAlignment="1">
      <alignment vertical="top"/>
    </xf>
    <xf numFmtId="0" fontId="23" fillId="0" borderId="20" xfId="40" applyFont="1" applyBorder="1" applyAlignment="1">
      <alignment vertical="top"/>
    </xf>
    <xf numFmtId="0" fontId="23" fillId="0" borderId="0" xfId="40" applyFont="1" applyAlignment="1">
      <alignment horizontal="left" indent="1"/>
    </xf>
    <xf numFmtId="1" fontId="23" fillId="24" borderId="0" xfId="40" applyNumberFormat="1" applyFont="1" applyFill="1" applyProtection="1">
      <protection hidden="1"/>
    </xf>
    <xf numFmtId="0" fontId="23" fillId="24" borderId="0" xfId="40" applyFont="1" applyFill="1" applyAlignment="1">
      <alignment horizontal="left"/>
    </xf>
    <xf numFmtId="0" fontId="23" fillId="24" borderId="0" xfId="40" applyFont="1" applyFill="1" applyAlignment="1">
      <alignment horizontal="left" wrapText="1"/>
    </xf>
    <xf numFmtId="0" fontId="22" fillId="24" borderId="0" xfId="40" applyFont="1" applyFill="1" applyAlignment="1">
      <alignment horizontal="left"/>
    </xf>
    <xf numFmtId="0" fontId="27" fillId="24" borderId="0" xfId="40" applyFont="1" applyFill="1" applyAlignment="1">
      <alignment horizontal="left"/>
    </xf>
    <xf numFmtId="0" fontId="28" fillId="24" borderId="0" xfId="40" applyFont="1" applyFill="1" applyAlignment="1">
      <alignment horizontal="left"/>
    </xf>
    <xf numFmtId="0" fontId="23" fillId="24" borderId="0" xfId="40" applyFont="1" applyFill="1" applyAlignment="1">
      <alignment wrapText="1"/>
    </xf>
    <xf numFmtId="1" fontId="24" fillId="24" borderId="0" xfId="40" applyNumberFormat="1" applyFont="1" applyFill="1"/>
    <xf numFmtId="1" fontId="26" fillId="26" borderId="12" xfId="40" applyNumberFormat="1" applyFont="1" applyFill="1" applyBorder="1" applyAlignment="1">
      <alignment horizontal="center" vertical="center"/>
    </xf>
    <xf numFmtId="1" fontId="26" fillId="26" borderId="21" xfId="40" applyNumberFormat="1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/>
    </xf>
    <xf numFmtId="0" fontId="26" fillId="26" borderId="13" xfId="40" applyFont="1" applyFill="1" applyBorder="1" applyAlignment="1">
      <alignment horizontal="center" vertical="center" wrapText="1"/>
    </xf>
    <xf numFmtId="0" fontId="26" fillId="26" borderId="22" xfId="40" applyFont="1" applyFill="1" applyBorder="1" applyAlignment="1">
      <alignment horizontal="center" vertical="center"/>
    </xf>
    <xf numFmtId="0" fontId="26" fillId="26" borderId="14" xfId="40" applyFont="1" applyFill="1" applyBorder="1" applyAlignment="1">
      <alignment horizontal="center" vertical="center"/>
    </xf>
    <xf numFmtId="0" fontId="29" fillId="24" borderId="0" xfId="40" applyFont="1" applyFill="1" applyAlignment="1">
      <alignment horizontal="center"/>
    </xf>
    <xf numFmtId="1" fontId="23" fillId="24" borderId="23" xfId="40" applyNumberFormat="1" applyFont="1" applyFill="1" applyBorder="1" applyAlignment="1">
      <alignment vertical="center"/>
    </xf>
    <xf numFmtId="49" fontId="23" fillId="24" borderId="15" xfId="40" applyNumberFormat="1" applyFont="1" applyFill="1" applyBorder="1" applyAlignment="1">
      <alignment horizontal="left" vertical="center" wrapText="1"/>
    </xf>
    <xf numFmtId="0" fontId="30" fillId="24" borderId="15" xfId="34" applyNumberFormat="1" applyFont="1" applyFill="1" applyBorder="1" applyAlignment="1" applyProtection="1">
      <alignment horizontal="left" vertical="center"/>
    </xf>
    <xf numFmtId="0" fontId="23" fillId="24" borderId="17" xfId="40" applyFont="1" applyFill="1" applyBorder="1" applyAlignment="1">
      <alignment horizontal="left" vertical="center"/>
    </xf>
    <xf numFmtId="0" fontId="23" fillId="24" borderId="15" xfId="40" applyFont="1" applyFill="1" applyBorder="1" applyAlignment="1">
      <alignment horizontal="left" vertical="center"/>
    </xf>
    <xf numFmtId="1" fontId="23" fillId="24" borderId="24" xfId="40" applyNumberFormat="1" applyFont="1" applyFill="1" applyBorder="1" applyAlignment="1">
      <alignment vertical="center"/>
    </xf>
    <xf numFmtId="49" fontId="23" fillId="24" borderId="19" xfId="40" applyNumberFormat="1" applyFont="1" applyFill="1" applyBorder="1" applyAlignment="1">
      <alignment horizontal="left" vertical="center" wrapText="1"/>
    </xf>
    <xf numFmtId="0" fontId="23" fillId="24" borderId="19" xfId="40" applyFont="1" applyFill="1" applyBorder="1" applyAlignment="1">
      <alignment horizontal="left" vertical="center"/>
    </xf>
    <xf numFmtId="0" fontId="23" fillId="24" borderId="20" xfId="40" applyFont="1" applyFill="1" applyBorder="1" applyAlignment="1">
      <alignment horizontal="left" vertical="center"/>
    </xf>
    <xf numFmtId="1" fontId="23" fillId="24" borderId="0" xfId="40" applyNumberFormat="1" applyFont="1" applyFill="1"/>
    <xf numFmtId="0" fontId="29" fillId="24" borderId="0" xfId="38" applyFont="1" applyFill="1"/>
    <xf numFmtId="0" fontId="23" fillId="24" borderId="0" xfId="38" applyFont="1" applyFill="1"/>
    <xf numFmtId="164" fontId="23" fillId="24" borderId="0" xfId="38" applyNumberFormat="1" applyFont="1" applyFill="1"/>
    <xf numFmtId="0" fontId="24" fillId="24" borderId="0" xfId="40" applyFont="1" applyFill="1"/>
    <xf numFmtId="0" fontId="25" fillId="24" borderId="0" xfId="38" applyFont="1" applyFill="1"/>
    <xf numFmtId="0" fontId="26" fillId="25" borderId="21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/>
    </xf>
    <xf numFmtId="0" fontId="26" fillId="25" borderId="13" xfId="40" applyFont="1" applyFill="1" applyBorder="1" applyAlignment="1">
      <alignment horizontal="center" wrapText="1"/>
    </xf>
    <xf numFmtId="0" fontId="26" fillId="25" borderId="22" xfId="40" applyFont="1" applyFill="1" applyBorder="1" applyAlignment="1">
      <alignment horizontal="center"/>
    </xf>
    <xf numFmtId="0" fontId="26" fillId="25" borderId="25" xfId="40" applyFont="1" applyFill="1" applyBorder="1" applyAlignment="1">
      <alignment horizontal="center" wrapText="1"/>
    </xf>
    <xf numFmtId="0" fontId="23" fillId="24" borderId="23" xfId="40" applyFont="1" applyFill="1" applyBorder="1" applyAlignment="1">
      <alignment horizontal="center"/>
    </xf>
    <xf numFmtId="0" fontId="23" fillId="24" borderId="15" xfId="40" applyFont="1" applyFill="1" applyBorder="1" applyAlignment="1">
      <alignment horizontal="center"/>
    </xf>
    <xf numFmtId="0" fontId="23" fillId="24" borderId="26" xfId="40" applyFont="1" applyFill="1" applyBorder="1" applyAlignment="1">
      <alignment horizontal="center"/>
    </xf>
    <xf numFmtId="0" fontId="31" fillId="25" borderId="24" xfId="40" applyFont="1" applyFill="1" applyBorder="1" applyAlignment="1">
      <alignment horizontal="center"/>
    </xf>
    <xf numFmtId="0" fontId="31" fillId="25" borderId="19" xfId="40" applyFont="1" applyFill="1" applyBorder="1" applyAlignment="1">
      <alignment horizontal="center"/>
    </xf>
    <xf numFmtId="0" fontId="23" fillId="24" borderId="0" xfId="40" applyFont="1" applyFill="1" applyAlignment="1">
      <alignment horizontal="center"/>
    </xf>
    <xf numFmtId="10" fontId="23" fillId="24" borderId="0" xfId="40" applyNumberFormat="1" applyFont="1" applyFill="1" applyAlignment="1">
      <alignment horizontal="center"/>
    </xf>
    <xf numFmtId="9" fontId="23" fillId="24" borderId="0" xfId="40" applyNumberFormat="1" applyFont="1" applyFill="1" applyAlignment="1">
      <alignment horizontal="center"/>
    </xf>
    <xf numFmtId="0" fontId="32" fillId="24" borderId="0" xfId="40" applyFont="1" applyFill="1" applyAlignment="1">
      <alignment horizontal="center" wrapText="1"/>
    </xf>
    <xf numFmtId="0" fontId="33" fillId="0" borderId="0" xfId="40" applyFont="1"/>
    <xf numFmtId="0" fontId="33" fillId="0" borderId="0" xfId="40" applyFont="1" applyAlignment="1">
      <alignment horizontal="right"/>
    </xf>
    <xf numFmtId="49" fontId="33" fillId="0" borderId="0" xfId="40" applyNumberFormat="1" applyFont="1"/>
    <xf numFmtId="0" fontId="33" fillId="0" borderId="27" xfId="40" applyFont="1" applyBorder="1"/>
    <xf numFmtId="0" fontId="34" fillId="0" borderId="0" xfId="40" applyFont="1" applyAlignment="1">
      <alignment horizontal="left"/>
    </xf>
    <xf numFmtId="0" fontId="34" fillId="0" borderId="0" xfId="40" applyFont="1"/>
    <xf numFmtId="0" fontId="34" fillId="27" borderId="28" xfId="40" applyFont="1" applyFill="1" applyBorder="1" applyAlignment="1">
      <alignment horizontal="left" vertical="top"/>
    </xf>
    <xf numFmtId="0" fontId="33" fillId="27" borderId="29" xfId="40" applyFont="1" applyFill="1" applyBorder="1" applyAlignment="1">
      <alignment horizontal="center" vertical="top"/>
    </xf>
    <xf numFmtId="0" fontId="33" fillId="27" borderId="30" xfId="40" applyFont="1" applyFill="1" applyBorder="1" applyAlignment="1">
      <alignment horizontal="right" vertical="top"/>
    </xf>
    <xf numFmtId="0" fontId="36" fillId="28" borderId="0" xfId="40" applyFont="1" applyFill="1" applyAlignment="1">
      <alignment horizontal="right"/>
    </xf>
    <xf numFmtId="0" fontId="33" fillId="0" borderId="0" xfId="40" applyFont="1" applyAlignment="1">
      <alignment vertical="top"/>
    </xf>
    <xf numFmtId="0" fontId="33" fillId="28" borderId="0" xfId="40" applyFont="1" applyFill="1" applyAlignment="1">
      <alignment horizontal="right"/>
    </xf>
    <xf numFmtId="0" fontId="34" fillId="27" borderId="33" xfId="40" applyFont="1" applyFill="1" applyBorder="1" applyAlignment="1">
      <alignment horizontal="left" vertical="top"/>
    </xf>
    <xf numFmtId="0" fontId="33" fillId="27" borderId="34" xfId="40" applyFont="1" applyFill="1" applyBorder="1" applyAlignment="1">
      <alignment horizontal="center" vertical="top"/>
    </xf>
    <xf numFmtId="0" fontId="33" fillId="27" borderId="35" xfId="40" applyFont="1" applyFill="1" applyBorder="1" applyAlignment="1">
      <alignment horizontal="right" vertical="top"/>
    </xf>
    <xf numFmtId="0" fontId="33" fillId="28" borderId="36" xfId="40" applyFont="1" applyFill="1" applyBorder="1" applyAlignment="1">
      <alignment horizontal="right"/>
    </xf>
    <xf numFmtId="0" fontId="34" fillId="27" borderId="38" xfId="40" applyFont="1" applyFill="1" applyBorder="1"/>
    <xf numFmtId="0" fontId="34" fillId="27" borderId="39" xfId="40" applyFont="1" applyFill="1" applyBorder="1"/>
    <xf numFmtId="0" fontId="33" fillId="27" borderId="40" xfId="40" applyFont="1" applyFill="1" applyBorder="1" applyAlignment="1">
      <alignment horizontal="right"/>
    </xf>
    <xf numFmtId="0" fontId="33" fillId="28" borderId="41" xfId="40" applyFont="1" applyFill="1" applyBorder="1" applyAlignment="1">
      <alignment horizontal="left"/>
    </xf>
    <xf numFmtId="0" fontId="34" fillId="27" borderId="28" xfId="40" applyFont="1" applyFill="1" applyBorder="1"/>
    <xf numFmtId="0" fontId="33" fillId="27" borderId="29" xfId="40" applyFont="1" applyFill="1" applyBorder="1"/>
    <xf numFmtId="0" fontId="33" fillId="27" borderId="30" xfId="40" applyFont="1" applyFill="1" applyBorder="1" applyAlignment="1">
      <alignment horizontal="right"/>
    </xf>
    <xf numFmtId="0" fontId="33" fillId="28" borderId="32" xfId="40" applyFont="1" applyFill="1" applyBorder="1" applyAlignment="1">
      <alignment horizontal="left"/>
    </xf>
    <xf numFmtId="0" fontId="33" fillId="28" borderId="32" xfId="40" applyFont="1" applyFill="1" applyBorder="1"/>
    <xf numFmtId="0" fontId="35" fillId="0" borderId="32" xfId="40" applyFont="1" applyBorder="1" applyAlignment="1">
      <alignment horizontal="left"/>
    </xf>
    <xf numFmtId="0" fontId="33" fillId="0" borderId="32" xfId="40" applyFont="1" applyBorder="1"/>
    <xf numFmtId="165" fontId="33" fillId="0" borderId="32" xfId="40" applyNumberFormat="1" applyFont="1" applyBorder="1" applyAlignment="1">
      <alignment vertical="top" textRotation="255"/>
    </xf>
    <xf numFmtId="0" fontId="40" fillId="0" borderId="11" xfId="40" applyFont="1" applyBorder="1" applyAlignment="1">
      <alignment horizontal="left" indent="1"/>
    </xf>
    <xf numFmtId="0" fontId="40" fillId="0" borderId="17" xfId="40" applyFont="1" applyBorder="1" applyAlignment="1">
      <alignment vertical="top" wrapText="1"/>
    </xf>
    <xf numFmtId="1" fontId="23" fillId="24" borderId="16" xfId="40" applyNumberFormat="1" applyFont="1" applyFill="1" applyBorder="1" applyAlignment="1">
      <alignment horizontal="center" vertical="center"/>
    </xf>
    <xf numFmtId="1" fontId="23" fillId="24" borderId="18" xfId="40" applyNumberFormat="1" applyFont="1" applyFill="1" applyBorder="1" applyAlignment="1">
      <alignment horizontal="center" vertical="center"/>
    </xf>
    <xf numFmtId="0" fontId="42" fillId="29" borderId="0" xfId="0" applyFont="1" applyFill="1" applyAlignment="1">
      <alignment horizontal="center"/>
    </xf>
    <xf numFmtId="0" fontId="43" fillId="29" borderId="0" xfId="0" applyFont="1" applyFill="1">
      <alignment vertical="center"/>
    </xf>
    <xf numFmtId="0" fontId="44" fillId="29" borderId="0" xfId="0" applyFont="1" applyFill="1">
      <alignment vertical="center"/>
    </xf>
    <xf numFmtId="0" fontId="45" fillId="29" borderId="0" xfId="0" applyFont="1" applyFill="1" applyAlignment="1">
      <alignment horizontal="justify"/>
    </xf>
    <xf numFmtId="0" fontId="46" fillId="29" borderId="0" xfId="0" applyFont="1" applyFill="1">
      <alignment vertical="center"/>
    </xf>
    <xf numFmtId="0" fontId="47" fillId="29" borderId="0" xfId="0" applyFont="1" applyFill="1" applyAlignment="1">
      <alignment horizontal="justify"/>
    </xf>
    <xf numFmtId="0" fontId="47" fillId="29" borderId="0" xfId="0" applyFont="1" applyFill="1">
      <alignment vertical="center"/>
    </xf>
    <xf numFmtId="0" fontId="45" fillId="29" borderId="0" xfId="0" quotePrefix="1" applyFont="1" applyFill="1" applyAlignment="1">
      <alignment horizontal="justify"/>
    </xf>
    <xf numFmtId="0" fontId="23" fillId="29" borderId="0" xfId="0" applyFont="1" applyFill="1" applyAlignment="1">
      <alignment horizontal="justify"/>
    </xf>
    <xf numFmtId="0" fontId="23" fillId="29" borderId="0" xfId="0" applyFont="1" applyFill="1" applyAlignment="1">
      <alignment horizontal="justify" wrapText="1"/>
    </xf>
    <xf numFmtId="0" fontId="23" fillId="29" borderId="0" xfId="0" applyFont="1" applyFill="1" applyAlignment="1">
      <alignment horizontal="left" wrapText="1"/>
    </xf>
    <xf numFmtId="0" fontId="29" fillId="29" borderId="0" xfId="0" applyFont="1" applyFill="1" applyAlignment="1">
      <alignment horizontal="justify"/>
    </xf>
    <xf numFmtId="0" fontId="40" fillId="29" borderId="0" xfId="0" applyFont="1" applyFill="1" applyAlignment="1">
      <alignment horizontal="justify"/>
    </xf>
    <xf numFmtId="0" fontId="48" fillId="29" borderId="0" xfId="0" applyFont="1" applyFill="1">
      <alignment vertical="center"/>
    </xf>
    <xf numFmtId="0" fontId="29" fillId="24" borderId="42" xfId="40" applyFont="1" applyFill="1" applyBorder="1" applyAlignment="1">
      <alignment horizontal="left"/>
    </xf>
    <xf numFmtId="0" fontId="29" fillId="0" borderId="0" xfId="40" applyFont="1"/>
    <xf numFmtId="0" fontId="29" fillId="0" borderId="0" xfId="40" applyFont="1" applyAlignment="1">
      <alignment horizontal="left"/>
    </xf>
    <xf numFmtId="49" fontId="41" fillId="24" borderId="15" xfId="34" applyNumberFormat="1" applyFont="1" applyFill="1" applyBorder="1"/>
    <xf numFmtId="0" fontId="49" fillId="30" borderId="0" xfId="0" applyFont="1" applyFill="1">
      <alignment vertical="center"/>
    </xf>
    <xf numFmtId="0" fontId="47" fillId="0" borderId="32" xfId="40" applyFont="1" applyBorder="1" applyAlignment="1">
      <alignment horizontal="center"/>
    </xf>
    <xf numFmtId="0" fontId="34" fillId="0" borderId="0" xfId="40" applyFont="1" applyAlignment="1">
      <alignment horizontal="center"/>
    </xf>
    <xf numFmtId="0" fontId="47" fillId="0" borderId="37" xfId="40" applyFont="1" applyBorder="1" applyAlignment="1">
      <alignment horizontal="center"/>
    </xf>
    <xf numFmtId="0" fontId="47" fillId="0" borderId="41" xfId="40" applyFont="1" applyBorder="1" applyAlignment="1">
      <alignment horizontal="center"/>
    </xf>
    <xf numFmtId="0" fontId="46" fillId="27" borderId="29" xfId="40" applyFont="1" applyFill="1" applyBorder="1"/>
    <xf numFmtId="0" fontId="33" fillId="0" borderId="32" xfId="40" applyFont="1" applyBorder="1" applyAlignment="1">
      <alignment horizontal="center"/>
    </xf>
    <xf numFmtId="0" fontId="36" fillId="24" borderId="43" xfId="39" applyFont="1" applyFill="1" applyBorder="1" applyAlignment="1">
      <alignment wrapText="1"/>
    </xf>
    <xf numFmtId="0" fontId="36" fillId="24" borderId="44" xfId="39" applyFont="1" applyFill="1" applyBorder="1" applyAlignment="1">
      <alignment wrapText="1"/>
    </xf>
    <xf numFmtId="0" fontId="33" fillId="24" borderId="45" xfId="40" applyFont="1" applyFill="1" applyBorder="1" applyAlignment="1">
      <alignment horizontal="center" vertical="center"/>
    </xf>
    <xf numFmtId="0" fontId="29" fillId="24" borderId="42" xfId="40" applyFont="1" applyFill="1" applyBorder="1" applyAlignment="1">
      <alignment horizontal="left" vertical="center"/>
    </xf>
    <xf numFmtId="0" fontId="29" fillId="24" borderId="42" xfId="40" applyFont="1" applyFill="1" applyBorder="1" applyAlignment="1">
      <alignment vertical="center"/>
    </xf>
    <xf numFmtId="0" fontId="29" fillId="24" borderId="0" xfId="40" applyFont="1" applyFill="1" applyAlignment="1">
      <alignment horizontal="left"/>
    </xf>
    <xf numFmtId="2" fontId="29" fillId="24" borderId="0" xfId="40" applyNumberFormat="1" applyFont="1" applyFill="1" applyAlignment="1">
      <alignment horizontal="right" wrapText="1"/>
    </xf>
    <xf numFmtId="0" fontId="34" fillId="27" borderId="46" xfId="40" applyFont="1" applyFill="1" applyBorder="1"/>
    <xf numFmtId="0" fontId="33" fillId="27" borderId="31" xfId="40" applyFont="1" applyFill="1" applyBorder="1"/>
    <xf numFmtId="0" fontId="33" fillId="27" borderId="47" xfId="40" applyFont="1" applyFill="1" applyBorder="1" applyAlignment="1">
      <alignment horizontal="right"/>
    </xf>
    <xf numFmtId="0" fontId="33" fillId="28" borderId="48" xfId="40" applyFont="1" applyFill="1" applyBorder="1" applyAlignment="1">
      <alignment horizontal="left"/>
    </xf>
    <xf numFmtId="0" fontId="47" fillId="0" borderId="48" xfId="40" applyFont="1" applyBorder="1" applyAlignment="1">
      <alignment horizontal="center"/>
    </xf>
    <xf numFmtId="0" fontId="33" fillId="0" borderId="49" xfId="40" applyFont="1" applyBorder="1" applyAlignment="1">
      <alignment horizontal="left"/>
    </xf>
    <xf numFmtId="0" fontId="33" fillId="0" borderId="49" xfId="40" applyFont="1" applyBorder="1" applyAlignment="1">
      <alignment horizontal="center"/>
    </xf>
    <xf numFmtId="0" fontId="50" fillId="0" borderId="0" xfId="40" applyFont="1" applyAlignment="1">
      <alignment vertical="top"/>
    </xf>
    <xf numFmtId="0" fontId="47" fillId="0" borderId="50" xfId="40" applyFont="1" applyBorder="1" applyAlignment="1">
      <alignment horizontal="center"/>
    </xf>
    <xf numFmtId="0" fontId="50" fillId="30" borderId="51" xfId="40" applyFont="1" applyFill="1" applyBorder="1" applyAlignment="1">
      <alignment vertical="center"/>
    </xf>
    <xf numFmtId="0" fontId="47" fillId="0" borderId="52" xfId="40" applyFont="1" applyBorder="1" applyAlignment="1">
      <alignment horizontal="center"/>
    </xf>
    <xf numFmtId="0" fontId="47" fillId="0" borderId="53" xfId="40" applyFont="1" applyBorder="1" applyAlignment="1">
      <alignment horizontal="center"/>
    </xf>
    <xf numFmtId="0" fontId="47" fillId="0" borderId="54" xfId="40" applyFont="1" applyBorder="1" applyAlignment="1">
      <alignment horizontal="center"/>
    </xf>
    <xf numFmtId="0" fontId="33" fillId="0" borderId="55" xfId="40" applyFont="1" applyBorder="1" applyAlignment="1">
      <alignment horizontal="center"/>
    </xf>
    <xf numFmtId="0" fontId="33" fillId="0" borderId="50" xfId="40" applyFont="1" applyBorder="1" applyAlignment="1">
      <alignment horizontal="center"/>
    </xf>
    <xf numFmtId="165" fontId="33" fillId="0" borderId="50" xfId="40" applyNumberFormat="1" applyFont="1" applyBorder="1" applyAlignment="1">
      <alignment vertical="top" textRotation="255"/>
    </xf>
    <xf numFmtId="0" fontId="33" fillId="0" borderId="37" xfId="40" applyFont="1" applyBorder="1"/>
    <xf numFmtId="0" fontId="33" fillId="0" borderId="37" xfId="40" applyFont="1" applyBorder="1" applyAlignment="1">
      <alignment textRotation="255"/>
    </xf>
    <xf numFmtId="0" fontId="33" fillId="0" borderId="52" xfId="40" applyFont="1" applyBorder="1" applyAlignment="1">
      <alignment textRotation="255"/>
    </xf>
    <xf numFmtId="0" fontId="50" fillId="30" borderId="51" xfId="40" applyFont="1" applyFill="1" applyBorder="1" applyAlignment="1">
      <alignment vertical="top"/>
    </xf>
    <xf numFmtId="0" fontId="50" fillId="30" borderId="56" xfId="40" applyFont="1" applyFill="1" applyBorder="1" applyAlignment="1">
      <alignment vertical="top"/>
    </xf>
    <xf numFmtId="0" fontId="50" fillId="30" borderId="56" xfId="40" applyFont="1" applyFill="1" applyBorder="1" applyAlignment="1">
      <alignment vertical="center"/>
    </xf>
    <xf numFmtId="0" fontId="34" fillId="27" borderId="38" xfId="40" applyFont="1" applyFill="1" applyBorder="1" applyAlignment="1">
      <alignment horizontal="left" vertical="top"/>
    </xf>
    <xf numFmtId="0" fontId="33" fillId="27" borderId="39" xfId="40" applyFont="1" applyFill="1" applyBorder="1" applyAlignment="1">
      <alignment horizontal="center" vertical="top"/>
    </xf>
    <xf numFmtId="0" fontId="33" fillId="27" borderId="40" xfId="40" applyFont="1" applyFill="1" applyBorder="1" applyAlignment="1">
      <alignment horizontal="right" vertical="top"/>
    </xf>
    <xf numFmtId="0" fontId="50" fillId="30" borderId="57" xfId="40" applyFont="1" applyFill="1" applyBorder="1" applyAlignment="1">
      <alignment vertical="top"/>
    </xf>
    <xf numFmtId="164" fontId="26" fillId="25" borderId="58" xfId="40" applyNumberFormat="1" applyFont="1" applyFill="1" applyBorder="1" applyAlignment="1">
      <alignment horizontal="center" vertical="center"/>
    </xf>
    <xf numFmtId="0" fontId="50" fillId="30" borderId="59" xfId="40" applyFont="1" applyFill="1" applyBorder="1" applyAlignment="1">
      <alignment horizontal="left"/>
    </xf>
    <xf numFmtId="0" fontId="51" fillId="30" borderId="59" xfId="40" applyFont="1" applyFill="1" applyBorder="1"/>
    <xf numFmtId="0" fontId="51" fillId="30" borderId="59" xfId="40" applyFont="1" applyFill="1" applyBorder="1" applyAlignment="1">
      <alignment horizontal="right"/>
    </xf>
    <xf numFmtId="0" fontId="50" fillId="30" borderId="59" xfId="40" applyFont="1" applyFill="1" applyBorder="1" applyAlignment="1">
      <alignment vertical="top" textRotation="180"/>
    </xf>
    <xf numFmtId="0" fontId="50" fillId="30" borderId="60" xfId="40" applyFont="1" applyFill="1" applyBorder="1" applyAlignment="1">
      <alignment vertical="top" textRotation="180"/>
    </xf>
    <xf numFmtId="0" fontId="12" fillId="24" borderId="15" xfId="34" applyNumberFormat="1" applyFill="1" applyBorder="1" applyAlignment="1" applyProtection="1">
      <alignment horizontal="left" vertical="center"/>
    </xf>
    <xf numFmtId="0" fontId="22" fillId="0" borderId="42" xfId="40" applyFont="1" applyBorder="1" applyAlignment="1">
      <alignment horizontal="center" vertical="center"/>
    </xf>
    <xf numFmtId="0" fontId="40" fillId="0" borderId="42" xfId="40" applyFont="1" applyBorder="1" applyAlignment="1">
      <alignment horizontal="left"/>
    </xf>
    <xf numFmtId="0" fontId="40" fillId="0" borderId="10" xfId="40" applyFont="1" applyBorder="1" applyAlignment="1">
      <alignment horizontal="left" vertical="center"/>
    </xf>
    <xf numFmtId="0" fontId="40" fillId="0" borderId="61" xfId="40" applyFont="1" applyBorder="1" applyAlignment="1">
      <alignment horizontal="left" vertical="center"/>
    </xf>
    <xf numFmtId="0" fontId="40" fillId="0" borderId="11" xfId="40" applyFont="1" applyBorder="1" applyAlignment="1">
      <alignment horizontal="left" vertical="center"/>
    </xf>
    <xf numFmtId="1" fontId="29" fillId="24" borderId="42" xfId="40" applyNumberFormat="1" applyFont="1" applyFill="1" applyBorder="1" applyAlignment="1">
      <alignment vertical="center" wrapText="1"/>
    </xf>
    <xf numFmtId="1" fontId="29" fillId="24" borderId="10" xfId="40" applyNumberFormat="1" applyFont="1" applyFill="1" applyBorder="1"/>
    <xf numFmtId="0" fontId="40" fillId="24" borderId="10" xfId="40" applyFont="1" applyFill="1" applyBorder="1" applyAlignment="1">
      <alignment horizontal="left"/>
    </xf>
    <xf numFmtId="0" fontId="40" fillId="24" borderId="61" xfId="40" applyFont="1" applyFill="1" applyBorder="1" applyAlignment="1">
      <alignment horizontal="left"/>
    </xf>
    <xf numFmtId="0" fontId="40" fillId="24" borderId="11" xfId="40" applyFont="1" applyFill="1" applyBorder="1" applyAlignment="1">
      <alignment horizontal="left"/>
    </xf>
    <xf numFmtId="0" fontId="40" fillId="24" borderId="10" xfId="40" applyFont="1" applyFill="1" applyBorder="1" applyAlignment="1">
      <alignment horizontal="left" vertical="top" wrapText="1"/>
    </xf>
    <xf numFmtId="0" fontId="40" fillId="24" borderId="61" xfId="40" applyFont="1" applyFill="1" applyBorder="1" applyAlignment="1">
      <alignment horizontal="left" vertical="top" wrapText="1"/>
    </xf>
    <xf numFmtId="0" fontId="40" fillId="24" borderId="11" xfId="40" applyFont="1" applyFill="1" applyBorder="1" applyAlignment="1">
      <alignment horizontal="left" vertical="top" wrapText="1"/>
    </xf>
    <xf numFmtId="0" fontId="22" fillId="24" borderId="0" xfId="38" applyFont="1" applyFill="1" applyAlignment="1">
      <alignment horizontal="center"/>
    </xf>
    <xf numFmtId="0" fontId="40" fillId="24" borderId="42" xfId="40" applyFont="1" applyFill="1" applyBorder="1" applyAlignment="1">
      <alignment horizontal="left"/>
    </xf>
    <xf numFmtId="0" fontId="29" fillId="24" borderId="42" xfId="40" applyFont="1" applyFill="1" applyBorder="1" applyAlignment="1">
      <alignment horizontal="left"/>
    </xf>
    <xf numFmtId="0" fontId="29" fillId="24" borderId="10" xfId="40" applyFont="1" applyFill="1" applyBorder="1" applyAlignment="1">
      <alignment horizontal="center"/>
    </xf>
    <xf numFmtId="0" fontId="29" fillId="24" borderId="61" xfId="40" applyFont="1" applyFill="1" applyBorder="1" applyAlignment="1">
      <alignment horizontal="center"/>
    </xf>
    <xf numFmtId="0" fontId="29" fillId="24" borderId="11" xfId="40" applyFont="1" applyFill="1" applyBorder="1" applyAlignment="1">
      <alignment horizontal="center"/>
    </xf>
    <xf numFmtId="14" fontId="40" fillId="24" borderId="10" xfId="40" applyNumberFormat="1" applyFont="1" applyFill="1" applyBorder="1" applyAlignment="1">
      <alignment horizontal="left" vertical="top"/>
    </xf>
    <xf numFmtId="14" fontId="40" fillId="24" borderId="61" xfId="40" applyNumberFormat="1" applyFont="1" applyFill="1" applyBorder="1" applyAlignment="1">
      <alignment horizontal="left" vertical="top"/>
    </xf>
    <xf numFmtId="14" fontId="40" fillId="24" borderId="11" xfId="40" applyNumberFormat="1" applyFont="1" applyFill="1" applyBorder="1" applyAlignment="1">
      <alignment horizontal="left" vertical="top"/>
    </xf>
    <xf numFmtId="0" fontId="40" fillId="24" borderId="42" xfId="38" applyFont="1" applyFill="1" applyBorder="1" applyAlignment="1">
      <alignment vertical="top"/>
    </xf>
    <xf numFmtId="0" fontId="34" fillId="24" borderId="62" xfId="39" applyFont="1" applyFill="1" applyBorder="1" applyAlignment="1">
      <alignment horizontal="left" wrapText="1"/>
    </xf>
    <xf numFmtId="0" fontId="34" fillId="24" borderId="63" xfId="39" applyFont="1" applyFill="1" applyBorder="1" applyAlignment="1">
      <alignment horizontal="left" wrapText="1"/>
    </xf>
    <xf numFmtId="49" fontId="36" fillId="24" borderId="64" xfId="39" applyNumberFormat="1" applyFont="1" applyFill="1" applyBorder="1" applyAlignment="1">
      <alignment horizontal="left" wrapText="1"/>
    </xf>
    <xf numFmtId="0" fontId="36" fillId="24" borderId="63" xfId="39" applyFont="1" applyFill="1" applyBorder="1" applyAlignment="1">
      <alignment horizontal="left" wrapText="1"/>
    </xf>
    <xf numFmtId="0" fontId="36" fillId="24" borderId="65" xfId="39" applyFont="1" applyFill="1" applyBorder="1" applyAlignment="1">
      <alignment horizontal="left" wrapText="1"/>
    </xf>
    <xf numFmtId="0" fontId="34" fillId="24" borderId="66" xfId="39" applyFont="1" applyFill="1" applyBorder="1" applyAlignment="1">
      <alignment horizontal="left" wrapText="1"/>
    </xf>
    <xf numFmtId="0" fontId="34" fillId="24" borderId="67" xfId="39" applyFont="1" applyFill="1" applyBorder="1" applyAlignment="1">
      <alignment horizontal="left" wrapText="1"/>
    </xf>
    <xf numFmtId="0" fontId="33" fillId="0" borderId="32" xfId="40" applyFont="1" applyBorder="1" applyAlignment="1">
      <alignment horizontal="left"/>
    </xf>
    <xf numFmtId="0" fontId="33" fillId="24" borderId="68" xfId="40" applyFont="1" applyFill="1" applyBorder="1" applyAlignment="1">
      <alignment horizontal="center" vertical="center"/>
    </xf>
    <xf numFmtId="0" fontId="33" fillId="24" borderId="69" xfId="40" applyFont="1" applyFill="1" applyBorder="1" applyAlignment="1">
      <alignment horizontal="center" vertical="center"/>
    </xf>
    <xf numFmtId="0" fontId="33" fillId="24" borderId="70" xfId="40" applyFont="1" applyFill="1" applyBorder="1" applyAlignment="1">
      <alignment horizontal="center" vertical="center"/>
    </xf>
    <xf numFmtId="0" fontId="33" fillId="24" borderId="71" xfId="40" applyFont="1" applyFill="1" applyBorder="1" applyAlignment="1">
      <alignment horizontal="center" vertical="center"/>
    </xf>
    <xf numFmtId="0" fontId="33" fillId="24" borderId="72" xfId="40" applyFont="1" applyFill="1" applyBorder="1" applyAlignment="1">
      <alignment horizontal="center" vertical="center"/>
    </xf>
    <xf numFmtId="0" fontId="34" fillId="24" borderId="73" xfId="39" applyFont="1" applyFill="1" applyBorder="1" applyAlignment="1">
      <alignment horizontal="left" wrapText="1"/>
    </xf>
    <xf numFmtId="0" fontId="34" fillId="24" borderId="11" xfId="39" applyFont="1" applyFill="1" applyBorder="1" applyAlignment="1">
      <alignment horizontal="left" wrapText="1"/>
    </xf>
    <xf numFmtId="0" fontId="33" fillId="0" borderId="32" xfId="40" applyFont="1" applyBorder="1" applyAlignment="1">
      <alignment horizontal="left" vertical="top"/>
    </xf>
    <xf numFmtId="0" fontId="33" fillId="0" borderId="37" xfId="40" applyFont="1" applyBorder="1" applyAlignment="1">
      <alignment horizontal="left" vertical="top"/>
    </xf>
    <xf numFmtId="0" fontId="33" fillId="0" borderId="49" xfId="40" applyFont="1" applyBorder="1" applyAlignment="1">
      <alignment horizontal="left"/>
    </xf>
    <xf numFmtId="0" fontId="36" fillId="24" borderId="74" xfId="39" applyFont="1" applyFill="1" applyBorder="1" applyAlignment="1">
      <alignment horizontal="left" wrapText="1"/>
    </xf>
    <xf numFmtId="0" fontId="36" fillId="24" borderId="43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0" fontId="33" fillId="0" borderId="0" xfId="40" applyFont="1" applyAlignment="1">
      <alignment horizontal="right"/>
    </xf>
    <xf numFmtId="0" fontId="34" fillId="24" borderId="73" xfId="40" applyFont="1" applyFill="1" applyBorder="1" applyAlignment="1">
      <alignment horizontal="center" vertical="center"/>
    </xf>
    <xf numFmtId="0" fontId="34" fillId="24" borderId="11" xfId="40" applyFont="1" applyFill="1" applyBorder="1" applyAlignment="1">
      <alignment horizontal="center" vertical="center"/>
    </xf>
    <xf numFmtId="0" fontId="36" fillId="24" borderId="76" xfId="39" applyFont="1" applyFill="1" applyBorder="1" applyAlignment="1">
      <alignment horizontal="left" wrapText="1"/>
    </xf>
    <xf numFmtId="0" fontId="36" fillId="24" borderId="77" xfId="39" applyFont="1" applyFill="1" applyBorder="1" applyAlignment="1">
      <alignment horizontal="left" wrapText="1"/>
    </xf>
    <xf numFmtId="0" fontId="34" fillId="24" borderId="61" xfId="40" applyFont="1" applyFill="1" applyBorder="1" applyAlignment="1">
      <alignment horizontal="center" vertical="center" wrapText="1"/>
    </xf>
    <xf numFmtId="0" fontId="33" fillId="24" borderId="45" xfId="40" applyFont="1" applyFill="1" applyBorder="1" applyAlignment="1">
      <alignment horizontal="center" vertical="center"/>
    </xf>
    <xf numFmtId="0" fontId="33" fillId="24" borderId="78" xfId="40" applyFont="1" applyFill="1" applyBorder="1" applyAlignment="1">
      <alignment horizontal="center" vertical="center"/>
    </xf>
    <xf numFmtId="0" fontId="34" fillId="24" borderId="79" xfId="40" applyFont="1" applyFill="1" applyBorder="1" applyAlignment="1">
      <alignment horizontal="center" vertical="center" wrapText="1"/>
    </xf>
    <xf numFmtId="0" fontId="34" fillId="24" borderId="80" xfId="40" applyFont="1" applyFill="1" applyBorder="1" applyAlignment="1">
      <alignment horizontal="center" vertical="center" wrapText="1"/>
    </xf>
    <xf numFmtId="49" fontId="33" fillId="24" borderId="64" xfId="39" applyNumberFormat="1" applyFont="1" applyFill="1" applyBorder="1" applyAlignment="1">
      <alignment horizontal="center" wrapText="1"/>
    </xf>
    <xf numFmtId="0" fontId="33" fillId="24" borderId="63" xfId="39" applyFont="1" applyFill="1" applyBorder="1" applyAlignment="1">
      <alignment horizontal="center" wrapText="1"/>
    </xf>
    <xf numFmtId="0" fontId="33" fillId="24" borderId="81" xfId="39" applyFont="1" applyFill="1" applyBorder="1" applyAlignment="1">
      <alignment horizontal="center" wrapText="1"/>
    </xf>
    <xf numFmtId="0" fontId="34" fillId="24" borderId="10" xfId="40" applyFont="1" applyFill="1" applyBorder="1" applyAlignment="1">
      <alignment horizontal="center" vertical="center" wrapText="1"/>
    </xf>
    <xf numFmtId="0" fontId="34" fillId="24" borderId="11" xfId="40" applyFont="1" applyFill="1" applyBorder="1" applyAlignment="1">
      <alignment horizontal="center" vertical="center" wrapText="1"/>
    </xf>
    <xf numFmtId="0" fontId="34" fillId="24" borderId="28" xfId="39" applyFont="1" applyFill="1" applyBorder="1" applyAlignment="1">
      <alignment horizontal="left" wrapText="1"/>
    </xf>
    <xf numFmtId="0" fontId="34" fillId="24" borderId="29" xfId="39" applyFont="1" applyFill="1" applyBorder="1" applyAlignment="1">
      <alignment horizontal="left" wrapText="1"/>
    </xf>
    <xf numFmtId="0" fontId="34" fillId="24" borderId="30" xfId="39" applyFont="1" applyFill="1" applyBorder="1" applyAlignment="1">
      <alignment horizontal="left" wrapText="1"/>
    </xf>
    <xf numFmtId="0" fontId="34" fillId="24" borderId="82" xfId="40" applyFont="1" applyFill="1" applyBorder="1" applyAlignment="1">
      <alignment horizontal="center" vertical="center" wrapText="1"/>
    </xf>
    <xf numFmtId="14" fontId="40" fillId="0" borderId="11" xfId="40" applyNumberFormat="1" applyFont="1" applyBorder="1"/>
    <xf numFmtId="14" fontId="40" fillId="0" borderId="16" xfId="40" applyNumberFormat="1" applyFont="1" applyBorder="1" applyAlignment="1">
      <alignment vertical="top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00000000-0005-0000-0000-000026000000}"/>
    <cellStyle name="Normal_Sheet1" xfId="39" xr:uid="{00000000-0005-0000-0000-000027000000}"/>
    <cellStyle name="Normal_Template_UnitTest Case_v0.9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52597706106"/>
          <c:y val="3.90624490355071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8E0-4F94-97A9-BF90AA0AB469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Statistics!$F$22:$H$22</c:f>
              <c:numCache>
                <c:formatCode>General</c:formatCode>
                <c:ptCount val="3"/>
                <c:pt idx="0">
                  <c:v>28</c:v>
                </c:pt>
                <c:pt idx="1">
                  <c:v>36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0-4F94-97A9-BF90AA0AB46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Statistics!$F$21:$H$21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8E0-4F94-97A9-BF90AA0AB469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E0-4F94-97A9-BF90AA0AB469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8E0-4F94-97A9-BF90AA0AB46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8E0-4F94-97A9-BF90AA0AB46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8E0-4F94-97A9-BF90AA0AB469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8E0-4F94-97A9-BF90AA0AB46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8E0-4F94-97A9-BF90AA0AB46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8E0-4F94-97A9-BF90AA0AB46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Statistics!$F$22:$H$22</c:f>
              <c:numCache>
                <c:formatCode>General</c:formatCode>
                <c:ptCount val="3"/>
                <c:pt idx="0">
                  <c:v>28</c:v>
                </c:pt>
                <c:pt idx="1">
                  <c:v>36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8E0-4F94-97A9-BF90AA0A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628875379315023"/>
          <c:y val="0.39258581488369226"/>
          <c:w val="9.3461121337224201E-2"/>
          <c:h val="0.320965429735991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3695193905"/>
          <c:y val="3.95259978099783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Statistics!$C$22:$E$22</c:f>
              <c:numCache>
                <c:formatCode>General</c:formatCode>
                <c:ptCount val="3"/>
                <c:pt idx="0">
                  <c:v>73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5-42E3-9DD1-91E45CBDEC82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Statistics!$C$21:$E$21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4175-42E3-9DD1-91E45CBDEC82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75-42E3-9DD1-91E45CBDEC82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175-42E3-9DD1-91E45CBDEC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4175-42E3-9DD1-91E45CBDEC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175-42E3-9DD1-91E45CBDEC82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175-42E3-9DD1-91E45CBDEC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175-42E3-9DD1-91E45CBDEC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175-42E3-9DD1-91E45CBDEC8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Statistics!$C$22:$E$22</c:f>
              <c:numCache>
                <c:formatCode>General</c:formatCode>
                <c:ptCount val="3"/>
                <c:pt idx="0">
                  <c:v>73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175-42E3-9DD1-91E45CBDE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164124585453397"/>
          <c:y val="0.43397747147987142"/>
          <c:w val="0.20881623566465188"/>
          <c:h val="0.30459288370947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1949450</xdr:colOff>
      <xdr:row>1</xdr:row>
      <xdr:rowOff>787400</xdr:rowOff>
    </xdr:to>
    <xdr:pic>
      <xdr:nvPicPr>
        <xdr:cNvPr id="1090" name="Picture 1">
          <a:extLst>
            <a:ext uri="{FF2B5EF4-FFF2-40B4-BE49-F238E27FC236}">
              <a16:creationId xmlns:a16="http://schemas.microsoft.com/office/drawing/2014/main" id="{6B284DEF-F3B3-A52F-8887-2FDCE3C0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9494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29</xdr:row>
      <xdr:rowOff>0</xdr:rowOff>
    </xdr:from>
    <xdr:to>
      <xdr:col>9</xdr:col>
      <xdr:colOff>0</xdr:colOff>
      <xdr:row>44</xdr:row>
      <xdr:rowOff>12700</xdr:rowOff>
    </xdr:to>
    <xdr:graphicFrame macro="">
      <xdr:nvGraphicFramePr>
        <xdr:cNvPr id="2177" name="Chart 16">
          <a:extLst>
            <a:ext uri="{FF2B5EF4-FFF2-40B4-BE49-F238E27FC236}">
              <a16:creationId xmlns:a16="http://schemas.microsoft.com/office/drawing/2014/main" id="{02EB03EE-C413-FCB7-A25B-FE3BBB51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29</xdr:row>
      <xdr:rowOff>25400</xdr:rowOff>
    </xdr:from>
    <xdr:to>
      <xdr:col>3</xdr:col>
      <xdr:colOff>215900</xdr:colOff>
      <xdr:row>44</xdr:row>
      <xdr:rowOff>0</xdr:rowOff>
    </xdr:to>
    <xdr:graphicFrame macro="">
      <xdr:nvGraphicFramePr>
        <xdr:cNvPr id="2178" name="Chart 17">
          <a:extLst>
            <a:ext uri="{FF2B5EF4-FFF2-40B4-BE49-F238E27FC236}">
              <a16:creationId xmlns:a16="http://schemas.microsoft.com/office/drawing/2014/main" id="{9D97D660-80B5-1D91-38DC-70F07F532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opLeftCell="A22" zoomScale="85" zoomScaleNormal="85" workbookViewId="0">
      <selection activeCell="A42" sqref="A42"/>
    </sheetView>
  </sheetViews>
  <sheetFormatPr defaultColWidth="9" defaultRowHeight="14"/>
  <cols>
    <col min="1" max="1" width="119.36328125" style="105" customWidth="1"/>
    <col min="2" max="16384" width="9" style="105"/>
  </cols>
  <sheetData>
    <row r="1" spans="1:1" s="102" customFormat="1" ht="22">
      <c r="A1" s="101" t="s">
        <v>71</v>
      </c>
    </row>
    <row r="2" spans="1:1" s="102" customFormat="1" ht="22">
      <c r="A2" s="101"/>
    </row>
    <row r="3" spans="1:1" s="103" customFormat="1" ht="17.5">
      <c r="A3" s="106" t="s">
        <v>86</v>
      </c>
    </row>
    <row r="4" spans="1:1" ht="15" customHeight="1">
      <c r="A4" s="109" t="s">
        <v>69</v>
      </c>
    </row>
    <row r="5" spans="1:1" ht="15" customHeight="1">
      <c r="A5" s="109" t="s">
        <v>91</v>
      </c>
    </row>
    <row r="6" spans="1:1" ht="37.5">
      <c r="A6" s="110" t="s">
        <v>103</v>
      </c>
    </row>
    <row r="7" spans="1:1" ht="29.25" customHeight="1">
      <c r="A7" s="110" t="s">
        <v>106</v>
      </c>
    </row>
    <row r="8" spans="1:1" ht="30" customHeight="1">
      <c r="A8" s="111" t="s">
        <v>93</v>
      </c>
    </row>
    <row r="9" spans="1:1" s="114" customFormat="1" ht="16.5" customHeight="1">
      <c r="A9" s="113" t="s">
        <v>104</v>
      </c>
    </row>
    <row r="10" spans="1:1" ht="16.5" customHeight="1">
      <c r="A10" s="104"/>
    </row>
    <row r="11" spans="1:1" s="103" customFormat="1" ht="17.5">
      <c r="A11" s="106" t="s">
        <v>70</v>
      </c>
    </row>
    <row r="12" spans="1:1" s="107" customFormat="1" ht="15">
      <c r="A12" s="112" t="s">
        <v>60</v>
      </c>
    </row>
    <row r="13" spans="1:1" ht="37.5">
      <c r="A13" s="109" t="s">
        <v>94</v>
      </c>
    </row>
    <row r="14" spans="1:1">
      <c r="A14" s="109" t="s">
        <v>95</v>
      </c>
    </row>
    <row r="15" spans="1:1" ht="25">
      <c r="A15" s="110" t="s">
        <v>96</v>
      </c>
    </row>
    <row r="16" spans="1:1">
      <c r="A16" s="104"/>
    </row>
    <row r="17" spans="1:4" s="107" customFormat="1" ht="15">
      <c r="A17" s="112" t="s">
        <v>72</v>
      </c>
    </row>
    <row r="18" spans="1:4">
      <c r="A18" s="109" t="s">
        <v>73</v>
      </c>
      <c r="B18" s="104"/>
    </row>
    <row r="19" spans="1:4">
      <c r="A19" s="112" t="s">
        <v>97</v>
      </c>
    </row>
    <row r="20" spans="1:4">
      <c r="A20" s="109" t="s">
        <v>74</v>
      </c>
      <c r="B20" s="104"/>
    </row>
    <row r="21" spans="1:4" ht="25">
      <c r="A21" s="110" t="s">
        <v>75</v>
      </c>
    </row>
    <row r="22" spans="1:4">
      <c r="A22" s="109" t="s">
        <v>76</v>
      </c>
      <c r="B22" s="108"/>
    </row>
    <row r="23" spans="1:4">
      <c r="A23" s="109" t="s">
        <v>77</v>
      </c>
      <c r="B23" s="104"/>
    </row>
    <row r="24" spans="1:4">
      <c r="A24" s="109" t="s">
        <v>107</v>
      </c>
      <c r="B24" s="104"/>
    </row>
    <row r="25" spans="1:4">
      <c r="A25" s="109" t="s">
        <v>78</v>
      </c>
      <c r="B25" s="104"/>
      <c r="C25" s="104" t="s">
        <v>56</v>
      </c>
      <c r="D25" s="104" t="s">
        <v>56</v>
      </c>
    </row>
    <row r="26" spans="1:4">
      <c r="A26" s="109" t="s">
        <v>57</v>
      </c>
    </row>
    <row r="27" spans="1:4">
      <c r="A27" s="109" t="s">
        <v>87</v>
      </c>
      <c r="B27" s="104"/>
    </row>
    <row r="28" spans="1:4">
      <c r="A28" s="109" t="s">
        <v>88</v>
      </c>
    </row>
    <row r="29" spans="1:4">
      <c r="A29" s="109" t="s">
        <v>89</v>
      </c>
    </row>
    <row r="30" spans="1:4">
      <c r="A30" s="109" t="s">
        <v>90</v>
      </c>
      <c r="B30" s="104"/>
      <c r="C30" s="104" t="s">
        <v>56</v>
      </c>
    </row>
    <row r="31" spans="1:4">
      <c r="A31" s="112" t="s">
        <v>98</v>
      </c>
    </row>
    <row r="32" spans="1:4" ht="30" customHeight="1">
      <c r="A32" s="110" t="s">
        <v>79</v>
      </c>
    </row>
    <row r="33" spans="1:2">
      <c r="A33" s="109" t="s">
        <v>58</v>
      </c>
    </row>
    <row r="34" spans="1:2">
      <c r="A34" s="109" t="s">
        <v>80</v>
      </c>
    </row>
    <row r="35" spans="1:2">
      <c r="A35" s="109" t="s">
        <v>81</v>
      </c>
      <c r="B35" s="104"/>
    </row>
    <row r="36" spans="1:2">
      <c r="A36" s="109" t="s">
        <v>82</v>
      </c>
      <c r="B36" s="104"/>
    </row>
    <row r="37" spans="1:2">
      <c r="A37" s="112" t="s">
        <v>99</v>
      </c>
    </row>
    <row r="38" spans="1:2">
      <c r="A38" s="109" t="s">
        <v>83</v>
      </c>
    </row>
    <row r="39" spans="1:2" ht="37.5">
      <c r="A39" s="111" t="s">
        <v>92</v>
      </c>
      <c r="B39" s="104"/>
    </row>
    <row r="40" spans="1:2">
      <c r="A40" s="111"/>
      <c r="B40" s="104"/>
    </row>
    <row r="41" spans="1:2" s="107" customFormat="1" ht="15">
      <c r="A41" s="112" t="s">
        <v>84</v>
      </c>
    </row>
    <row r="42" spans="1:2">
      <c r="A42" s="109" t="s">
        <v>114</v>
      </c>
    </row>
    <row r="43" spans="1:2">
      <c r="A43" s="109" t="s">
        <v>113</v>
      </c>
    </row>
    <row r="44" spans="1:2">
      <c r="A44" s="109" t="s">
        <v>100</v>
      </c>
    </row>
    <row r="45" spans="1:2">
      <c r="A45" s="109" t="s">
        <v>101</v>
      </c>
    </row>
    <row r="46" spans="1:2">
      <c r="A46" s="109" t="s">
        <v>102</v>
      </c>
    </row>
    <row r="47" spans="1:2">
      <c r="A47" s="104" t="s">
        <v>59</v>
      </c>
    </row>
    <row r="48" spans="1:2">
      <c r="A48" s="104"/>
    </row>
  </sheetData>
  <phoneticPr fontId="39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"/>
  <sheetViews>
    <sheetView showGridLines="0" zoomScale="85" zoomScaleNormal="85" workbookViewId="0">
      <selection activeCell="E21" sqref="E21"/>
    </sheetView>
  </sheetViews>
  <sheetFormatPr defaultColWidth="9" defaultRowHeight="12.5"/>
  <cols>
    <col min="1" max="1" width="28.08984375" style="24" customWidth="1"/>
    <col min="2" max="2" width="10" style="3" customWidth="1"/>
    <col min="3" max="3" width="14.36328125" style="3" customWidth="1"/>
    <col min="4" max="4" width="8" style="3" customWidth="1"/>
    <col min="5" max="5" width="38" style="3" customWidth="1"/>
    <col min="6" max="6" width="48.08984375" style="3" customWidth="1"/>
    <col min="7" max="16384" width="9" style="3"/>
  </cols>
  <sheetData>
    <row r="2" spans="1:6" s="2" customFormat="1" ht="75.75" customHeight="1">
      <c r="A2" s="1"/>
      <c r="B2" s="166" t="s">
        <v>108</v>
      </c>
      <c r="C2" s="166"/>
      <c r="D2" s="166"/>
      <c r="E2" s="166"/>
      <c r="F2" s="166"/>
    </row>
    <row r="3" spans="1:6">
      <c r="A3" s="4"/>
      <c r="B3" s="5"/>
      <c r="E3" s="6"/>
    </row>
    <row r="4" spans="1:6" ht="14.25" customHeight="1">
      <c r="A4" s="115" t="s">
        <v>0</v>
      </c>
      <c r="B4" s="167" t="s">
        <v>268</v>
      </c>
      <c r="C4" s="167"/>
      <c r="D4" s="167"/>
      <c r="E4" s="115" t="s">
        <v>1</v>
      </c>
      <c r="F4" s="7" t="s">
        <v>269</v>
      </c>
    </row>
    <row r="5" spans="1:6" ht="14.25" customHeight="1">
      <c r="A5" s="115" t="s">
        <v>2</v>
      </c>
      <c r="B5" s="167" t="s">
        <v>270</v>
      </c>
      <c r="C5" s="167"/>
      <c r="D5" s="167"/>
      <c r="E5" s="115" t="s">
        <v>5</v>
      </c>
      <c r="F5" s="229">
        <v>46244.708333333336</v>
      </c>
    </row>
    <row r="6" spans="1:6" ht="15.75" customHeight="1">
      <c r="A6" s="130" t="s">
        <v>4</v>
      </c>
      <c r="B6" s="168" t="str">
        <f>B5&amp;"_"&amp;"XXX"&amp;"_"&amp;"vx.x"</f>
        <v>CLAWBOT_XXX_vx.x</v>
      </c>
      <c r="C6" s="169"/>
      <c r="D6" s="170"/>
      <c r="E6" s="115" t="s">
        <v>6</v>
      </c>
      <c r="F6" s="97" t="s">
        <v>271</v>
      </c>
    </row>
    <row r="7" spans="1:6">
      <c r="A7" s="116"/>
      <c r="B7" s="8"/>
      <c r="E7" s="9"/>
      <c r="F7" s="5"/>
    </row>
    <row r="8" spans="1:6">
      <c r="A8" s="3"/>
    </row>
    <row r="9" spans="1:6">
      <c r="A9" s="117" t="s">
        <v>7</v>
      </c>
    </row>
    <row r="10" spans="1:6" s="10" customFormat="1">
      <c r="A10" s="11" t="s">
        <v>8</v>
      </c>
      <c r="B10" s="12" t="s">
        <v>6</v>
      </c>
      <c r="C10" s="12" t="s">
        <v>9</v>
      </c>
      <c r="D10" s="12" t="s">
        <v>10</v>
      </c>
      <c r="E10" s="12" t="s">
        <v>11</v>
      </c>
      <c r="F10" s="13" t="s">
        <v>12</v>
      </c>
    </row>
    <row r="11" spans="1:6" s="14" customFormat="1" ht="26.25" customHeight="1">
      <c r="A11" s="230">
        <v>46244.708333333336</v>
      </c>
      <c r="B11" s="15" t="s">
        <v>271</v>
      </c>
      <c r="C11" s="16" t="s">
        <v>272</v>
      </c>
      <c r="D11" s="16" t="s">
        <v>51</v>
      </c>
      <c r="E11" s="17" t="s">
        <v>273</v>
      </c>
      <c r="F11" s="98"/>
    </row>
    <row r="12" spans="1:6" s="14" customFormat="1" ht="21.75" customHeight="1">
      <c r="A12" s="18"/>
      <c r="B12" s="15"/>
      <c r="C12" s="16"/>
      <c r="D12" s="16"/>
      <c r="E12" s="16"/>
      <c r="F12" s="19"/>
    </row>
    <row r="13" spans="1:6" s="14" customFormat="1" ht="19.5" customHeight="1">
      <c r="A13" s="18"/>
      <c r="B13" s="15"/>
      <c r="C13" s="16"/>
      <c r="D13" s="16"/>
      <c r="E13" s="16"/>
      <c r="F13" s="19"/>
    </row>
    <row r="14" spans="1:6" s="14" customFormat="1" ht="21.75" customHeight="1">
      <c r="A14" s="18"/>
      <c r="B14" s="15"/>
      <c r="C14" s="16"/>
      <c r="D14" s="16"/>
      <c r="E14" s="16"/>
      <c r="F14" s="19"/>
    </row>
    <row r="15" spans="1:6" s="14" customFormat="1" ht="19.5" customHeight="1">
      <c r="A15" s="18"/>
      <c r="B15" s="15"/>
      <c r="C15" s="16"/>
      <c r="D15" s="16"/>
      <c r="E15" s="16"/>
      <c r="F15" s="19"/>
    </row>
    <row r="16" spans="1:6" s="14" customFormat="1" ht="21.75" customHeight="1">
      <c r="A16" s="18"/>
      <c r="B16" s="15"/>
      <c r="C16" s="16"/>
      <c r="D16" s="16"/>
      <c r="E16" s="16"/>
      <c r="F16" s="19"/>
    </row>
    <row r="17" spans="1:6" s="14" customFormat="1" ht="19.5" customHeight="1">
      <c r="A17" s="20"/>
      <c r="B17" s="21"/>
      <c r="C17" s="22"/>
      <c r="D17" s="22"/>
      <c r="E17" s="22"/>
      <c r="F17" s="23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6"/>
  <sheetViews>
    <sheetView zoomScale="85" zoomScaleNormal="85" workbookViewId="0">
      <selection activeCell="D26" sqref="D26"/>
    </sheetView>
  </sheetViews>
  <sheetFormatPr defaultColWidth="9" defaultRowHeight="12.5"/>
  <cols>
    <col min="1" max="1" width="7.08984375" style="49" customWidth="1"/>
    <col min="2" max="2" width="28.7265625" style="49" customWidth="1"/>
    <col min="3" max="3" width="21" style="27" customWidth="1"/>
    <col min="4" max="4" width="14.36328125" style="26" customWidth="1"/>
    <col min="5" max="5" width="41.81640625" style="26" customWidth="1"/>
    <col min="6" max="6" width="51.36328125" style="26" customWidth="1"/>
    <col min="7" max="16384" width="9" style="6"/>
  </cols>
  <sheetData>
    <row r="2" spans="1:6" ht="24.5">
      <c r="A2" s="25"/>
      <c r="B2" s="25"/>
      <c r="C2" s="28" t="s">
        <v>115</v>
      </c>
      <c r="D2" s="28"/>
      <c r="E2" s="29"/>
    </row>
    <row r="3" spans="1:6" ht="13.5" customHeight="1">
      <c r="A3" s="25"/>
      <c r="B3" s="25"/>
      <c r="D3" s="30"/>
      <c r="E3" s="30"/>
    </row>
    <row r="4" spans="1:6" ht="14.25" customHeight="1">
      <c r="A4" s="172" t="s">
        <v>0</v>
      </c>
      <c r="B4" s="172"/>
      <c r="C4" s="173" t="str">
        <f>Cover!B4</f>
        <v>Clawbot</v>
      </c>
      <c r="D4" s="174"/>
      <c r="E4" s="174"/>
      <c r="F4" s="175"/>
    </row>
    <row r="5" spans="1:6" ht="14.25" customHeight="1">
      <c r="A5" s="172" t="s">
        <v>2</v>
      </c>
      <c r="B5" s="172"/>
      <c r="C5" s="173" t="str">
        <f>Cover!B5</f>
        <v>CLAWBOT</v>
      </c>
      <c r="D5" s="174"/>
      <c r="E5" s="174"/>
      <c r="F5" s="175"/>
    </row>
    <row r="6" spans="1:6" s="31" customFormat="1" ht="12.75" customHeight="1">
      <c r="A6" s="171" t="s">
        <v>13</v>
      </c>
      <c r="B6" s="171"/>
      <c r="C6" s="176" t="s">
        <v>274</v>
      </c>
      <c r="D6" s="177"/>
      <c r="E6" s="177"/>
      <c r="F6" s="178"/>
    </row>
    <row r="7" spans="1:6">
      <c r="A7" s="32"/>
      <c r="B7" s="32"/>
      <c r="C7" s="31"/>
      <c r="D7" s="6"/>
      <c r="E7" s="6"/>
      <c r="F7" s="6"/>
    </row>
    <row r="8" spans="1:6" s="39" customFormat="1" ht="24" customHeight="1">
      <c r="A8" s="33" t="s">
        <v>14</v>
      </c>
      <c r="B8" s="34" t="s">
        <v>111</v>
      </c>
      <c r="C8" s="36" t="s">
        <v>112</v>
      </c>
      <c r="D8" s="35" t="s">
        <v>15</v>
      </c>
      <c r="E8" s="37" t="s">
        <v>16</v>
      </c>
      <c r="F8" s="38" t="s">
        <v>17</v>
      </c>
    </row>
    <row r="9" spans="1:6" ht="25">
      <c r="A9" s="99">
        <v>1</v>
      </c>
      <c r="B9" s="40" t="s">
        <v>116</v>
      </c>
      <c r="C9" s="41" t="s">
        <v>117</v>
      </c>
      <c r="D9" s="165" t="s">
        <v>275</v>
      </c>
      <c r="E9" s="42" t="s">
        <v>276</v>
      </c>
      <c r="F9" s="43" t="s">
        <v>277</v>
      </c>
    </row>
    <row r="10" spans="1:6" ht="25">
      <c r="A10" s="99">
        <v>2</v>
      </c>
      <c r="B10" s="40" t="s">
        <v>142</v>
      </c>
      <c r="C10" s="41" t="s">
        <v>143</v>
      </c>
      <c r="D10" s="165" t="s">
        <v>278</v>
      </c>
      <c r="E10" s="42" t="s">
        <v>279</v>
      </c>
      <c r="F10" s="43" t="s">
        <v>280</v>
      </c>
    </row>
    <row r="11" spans="1:6" ht="13">
      <c r="A11" s="99">
        <v>3</v>
      </c>
      <c r="B11" s="40" t="s">
        <v>155</v>
      </c>
      <c r="C11" s="41" t="s">
        <v>156</v>
      </c>
      <c r="D11" s="165" t="s">
        <v>281</v>
      </c>
      <c r="E11" s="42" t="s">
        <v>282</v>
      </c>
      <c r="F11" s="43" t="s">
        <v>283</v>
      </c>
    </row>
    <row r="12" spans="1:6" ht="25">
      <c r="A12" s="99">
        <v>4</v>
      </c>
      <c r="B12" s="40" t="s">
        <v>173</v>
      </c>
      <c r="C12" s="41" t="s">
        <v>174</v>
      </c>
      <c r="D12" s="165" t="s">
        <v>284</v>
      </c>
      <c r="E12" s="42" t="s">
        <v>285</v>
      </c>
      <c r="F12" s="43" t="s">
        <v>286</v>
      </c>
    </row>
    <row r="13" spans="1:6" ht="25">
      <c r="A13" s="99">
        <v>5</v>
      </c>
      <c r="B13" s="40" t="s">
        <v>190</v>
      </c>
      <c r="C13" s="41" t="s">
        <v>191</v>
      </c>
      <c r="D13" s="165" t="s">
        <v>287</v>
      </c>
      <c r="E13" s="42" t="s">
        <v>288</v>
      </c>
      <c r="F13" s="43" t="s">
        <v>283</v>
      </c>
    </row>
    <row r="14" spans="1:6" ht="25">
      <c r="A14" s="99">
        <v>6</v>
      </c>
      <c r="B14" s="40" t="s">
        <v>205</v>
      </c>
      <c r="C14" s="41" t="s">
        <v>206</v>
      </c>
      <c r="D14" s="165" t="s">
        <v>289</v>
      </c>
      <c r="E14" s="42" t="s">
        <v>290</v>
      </c>
      <c r="F14" s="43" t="s">
        <v>291</v>
      </c>
    </row>
    <row r="15" spans="1:6" ht="25">
      <c r="A15" s="99">
        <v>7</v>
      </c>
      <c r="B15" s="40" t="s">
        <v>227</v>
      </c>
      <c r="C15" s="41" t="s">
        <v>228</v>
      </c>
      <c r="D15" s="165" t="s">
        <v>292</v>
      </c>
      <c r="E15" s="42" t="s">
        <v>293</v>
      </c>
      <c r="F15" s="43" t="s">
        <v>294</v>
      </c>
    </row>
    <row r="16" spans="1:6" ht="37.5">
      <c r="A16" s="99">
        <v>8</v>
      </c>
      <c r="B16" s="40" t="s">
        <v>250</v>
      </c>
      <c r="C16" s="41" t="s">
        <v>251</v>
      </c>
      <c r="D16" s="165" t="s">
        <v>295</v>
      </c>
      <c r="E16" s="42" t="s">
        <v>296</v>
      </c>
      <c r="F16" s="43" t="s">
        <v>297</v>
      </c>
    </row>
    <row r="17" spans="1:6">
      <c r="A17" s="99"/>
      <c r="B17" s="40"/>
      <c r="C17" s="41"/>
      <c r="D17" s="42"/>
      <c r="E17" s="42"/>
      <c r="F17" s="43"/>
    </row>
    <row r="18" spans="1:6">
      <c r="A18" s="99"/>
      <c r="B18" s="40"/>
      <c r="C18" s="41"/>
      <c r="D18" s="42"/>
      <c r="E18" s="42"/>
      <c r="F18" s="43"/>
    </row>
    <row r="19" spans="1:6">
      <c r="A19" s="99"/>
      <c r="B19" s="40"/>
      <c r="C19" s="41"/>
      <c r="D19" s="44"/>
      <c r="E19" s="44"/>
      <c r="F19" s="43"/>
    </row>
    <row r="20" spans="1:6">
      <c r="A20" s="99"/>
      <c r="B20" s="40"/>
      <c r="C20" s="41"/>
      <c r="D20" s="44"/>
      <c r="E20" s="44"/>
      <c r="F20" s="43"/>
    </row>
    <row r="21" spans="1:6">
      <c r="A21" s="99"/>
      <c r="B21" s="40"/>
      <c r="C21" s="41"/>
      <c r="D21" s="44"/>
      <c r="E21" s="44"/>
      <c r="F21" s="43"/>
    </row>
    <row r="22" spans="1:6">
      <c r="A22" s="99"/>
      <c r="B22" s="40"/>
      <c r="C22" s="41"/>
      <c r="D22" s="44"/>
      <c r="E22" s="44"/>
      <c r="F22" s="43"/>
    </row>
    <row r="23" spans="1:6">
      <c r="A23" s="99"/>
      <c r="B23" s="40"/>
      <c r="C23" s="41"/>
      <c r="D23" s="44"/>
      <c r="E23" s="44"/>
      <c r="F23" s="43"/>
    </row>
    <row r="24" spans="1:6">
      <c r="A24" s="99"/>
      <c r="B24" s="40"/>
      <c r="C24" s="41"/>
      <c r="D24" s="44"/>
      <c r="E24" s="44"/>
      <c r="F24" s="43"/>
    </row>
    <row r="25" spans="1:6">
      <c r="A25" s="99"/>
      <c r="B25" s="40"/>
      <c r="C25" s="41"/>
      <c r="D25" s="44"/>
      <c r="E25" s="44"/>
      <c r="F25" s="43"/>
    </row>
    <row r="26" spans="1:6">
      <c r="A26" s="100"/>
      <c r="B26" s="45"/>
      <c r="C26" s="46"/>
      <c r="D26" s="47"/>
      <c r="E26" s="47"/>
      <c r="F26" s="48"/>
    </row>
  </sheetData>
  <mergeCells count="6">
    <mergeCell ref="A6:B6"/>
    <mergeCell ref="A4:B4"/>
    <mergeCell ref="A5:B5"/>
    <mergeCell ref="C4:F4"/>
    <mergeCell ref="C5:F5"/>
    <mergeCell ref="C6:F6"/>
  </mergeCells>
  <phoneticPr fontId="0" type="noConversion"/>
  <hyperlinks>
    <hyperlink ref="D9" location="methodName1!A1" display="methodName1" xr:uid="{00000000-0004-0000-0200-000000000000}"/>
    <hyperlink ref="D10" location="methodName2!A1" display="methodName2" xr:uid="{00000000-0004-0000-0200-000001000000}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28"/>
  <sheetViews>
    <sheetView topLeftCell="A10" zoomScale="85" zoomScaleNormal="85" workbookViewId="0">
      <selection activeCell="A14" sqref="A14:IV14"/>
    </sheetView>
  </sheetViews>
  <sheetFormatPr defaultColWidth="9" defaultRowHeight="12.5"/>
  <cols>
    <col min="1" max="1" width="15.36328125" style="6" customWidth="1"/>
    <col min="2" max="2" width="26.6328125" style="6" customWidth="1"/>
    <col min="3" max="3" width="12.08984375" style="6" customWidth="1"/>
    <col min="4" max="4" width="9.6328125" style="6" customWidth="1"/>
    <col min="5" max="5" width="9.81640625" style="6" customWidth="1"/>
    <col min="6" max="8" width="5.08984375" style="6" customWidth="1"/>
    <col min="9" max="9" width="21" style="6" customWidth="1"/>
    <col min="10" max="10" width="33.08984375" style="6" customWidth="1"/>
    <col min="11" max="16384" width="9" style="6"/>
  </cols>
  <sheetData>
    <row r="2" spans="1:9" ht="25.5" customHeight="1">
      <c r="A2" s="179" t="s">
        <v>18</v>
      </c>
      <c r="B2" s="179"/>
      <c r="C2" s="179"/>
      <c r="D2" s="179"/>
      <c r="E2" s="179"/>
      <c r="F2" s="179"/>
      <c r="G2" s="179"/>
      <c r="H2" s="179"/>
      <c r="I2" s="179"/>
    </row>
    <row r="3" spans="1:9" ht="14.25" customHeight="1">
      <c r="A3" s="50"/>
      <c r="B3" s="51"/>
      <c r="C3" s="51"/>
      <c r="D3" s="51"/>
      <c r="E3" s="51"/>
      <c r="F3" s="51"/>
      <c r="G3" s="51"/>
      <c r="H3" s="51"/>
      <c r="I3" s="52"/>
    </row>
    <row r="4" spans="1:9" ht="13.5" customHeight="1">
      <c r="A4" s="129" t="s">
        <v>0</v>
      </c>
      <c r="B4" s="180" t="str">
        <f>Cover!B4</f>
        <v>Clawbot</v>
      </c>
      <c r="C4" s="180"/>
      <c r="D4" s="181" t="s">
        <v>1</v>
      </c>
      <c r="E4" s="181"/>
      <c r="F4" s="182" t="s">
        <v>269</v>
      </c>
      <c r="G4" s="183"/>
      <c r="H4" s="183"/>
      <c r="I4" s="184"/>
    </row>
    <row r="5" spans="1:9" ht="13.5" customHeight="1">
      <c r="A5" s="129" t="s">
        <v>2</v>
      </c>
      <c r="B5" s="180" t="str">
        <f>Cover!B5</f>
        <v>CLAWBOT</v>
      </c>
      <c r="C5" s="180"/>
      <c r="D5" s="181" t="s">
        <v>3</v>
      </c>
      <c r="E5" s="181"/>
      <c r="F5" s="182" t="s">
        <v>298</v>
      </c>
      <c r="G5" s="183"/>
      <c r="H5" s="183"/>
      <c r="I5" s="184"/>
    </row>
    <row r="6" spans="1:9" ht="12.75" customHeight="1">
      <c r="A6" s="130" t="s">
        <v>4</v>
      </c>
      <c r="B6" s="180" t="str">
        <f>B5&amp;"_"&amp;"Test Report"&amp;"_"&amp;"vx.x"</f>
        <v>CLAWBOT_Test Report_vx.x</v>
      </c>
      <c r="C6" s="180"/>
      <c r="D6" s="181" t="s">
        <v>5</v>
      </c>
      <c r="E6" s="181"/>
      <c r="F6" s="185">
        <v>46244.708333333336</v>
      </c>
      <c r="G6" s="186"/>
      <c r="H6" s="186"/>
      <c r="I6" s="187"/>
    </row>
    <row r="7" spans="1:9" ht="15.75" customHeight="1">
      <c r="A7" s="130" t="s">
        <v>19</v>
      </c>
      <c r="B7" s="188" t="s">
        <v>299</v>
      </c>
      <c r="C7" s="188"/>
      <c r="D7" s="188"/>
      <c r="E7" s="188"/>
      <c r="F7" s="188"/>
      <c r="G7" s="188"/>
      <c r="H7" s="188"/>
      <c r="I7" s="188"/>
    </row>
    <row r="8" spans="1:9" ht="14.25" customHeight="1">
      <c r="A8" s="53"/>
      <c r="B8" s="54"/>
      <c r="C8" s="51"/>
      <c r="D8" s="51"/>
      <c r="E8" s="51"/>
      <c r="F8" s="51"/>
      <c r="G8" s="51"/>
      <c r="H8" s="51"/>
      <c r="I8" s="52"/>
    </row>
    <row r="9" spans="1:9">
      <c r="A9" s="53"/>
      <c r="B9" s="54"/>
      <c r="C9" s="51"/>
      <c r="D9" s="51"/>
      <c r="E9" s="51"/>
      <c r="F9" s="51"/>
      <c r="G9" s="51"/>
      <c r="H9" s="51"/>
      <c r="I9" s="52"/>
    </row>
    <row r="11" spans="1:9" ht="14.25" customHeight="1">
      <c r="A11" s="55" t="s">
        <v>14</v>
      </c>
      <c r="B11" s="56" t="s">
        <v>105</v>
      </c>
      <c r="C11" s="57" t="s">
        <v>20</v>
      </c>
      <c r="D11" s="56" t="s">
        <v>21</v>
      </c>
      <c r="E11" s="58" t="s">
        <v>22</v>
      </c>
      <c r="F11" s="58" t="s">
        <v>49</v>
      </c>
      <c r="G11" s="58" t="s">
        <v>51</v>
      </c>
      <c r="H11" s="58" t="s">
        <v>50</v>
      </c>
      <c r="I11" s="59" t="s">
        <v>23</v>
      </c>
    </row>
    <row r="12" spans="1:9" ht="13">
      <c r="A12" s="60">
        <v>1</v>
      </c>
      <c r="B12" s="165" t="s">
        <v>117</v>
      </c>
      <c r="C12" s="61">
        <f>IsAllowedBaseUrl!A5</f>
        <v>14</v>
      </c>
      <c r="D12" s="61">
        <f>IsAllowedBaseUrl!C5</f>
        <v>0</v>
      </c>
      <c r="E12" s="61">
        <f>IsAllowedBaseUrl!F5</f>
        <v>0</v>
      </c>
      <c r="F12" s="62">
        <f>IsAllowedBaseUrl!L5</f>
        <v>6</v>
      </c>
      <c r="G12" s="61">
        <f>IsAllowedBaseUrl!M5</f>
        <v>7</v>
      </c>
      <c r="H12" s="61">
        <f>IsAllowedBaseUrl!N5</f>
        <v>1</v>
      </c>
      <c r="I12" s="61">
        <f>IsAllowedBaseUrl!O5</f>
        <v>14</v>
      </c>
    </row>
    <row r="13" spans="1:9" ht="13">
      <c r="A13" s="60">
        <v>2</v>
      </c>
      <c r="B13" s="165" t="s">
        <v>143</v>
      </c>
      <c r="C13" s="61">
        <f>NormalizeApiKey!A5</f>
        <v>6</v>
      </c>
      <c r="D13" s="61">
        <f>NormalizeApiKey!C5</f>
        <v>0</v>
      </c>
      <c r="E13" s="61">
        <f>NormalizeApiKey!F5</f>
        <v>0</v>
      </c>
      <c r="F13" s="62">
        <f>NormalizeApiKey!L5</f>
        <v>3</v>
      </c>
      <c r="G13" s="61">
        <f>NormalizeApiKey!M5</f>
        <v>1</v>
      </c>
      <c r="H13" s="61">
        <f>NormalizeApiKey!N5</f>
        <v>2</v>
      </c>
      <c r="I13" s="61">
        <f>NormalizeApiKey!O5</f>
        <v>6</v>
      </c>
    </row>
    <row r="14" spans="1:9" ht="13">
      <c r="A14" s="60">
        <v>3</v>
      </c>
      <c r="B14" s="165" t="s">
        <v>156</v>
      </c>
      <c r="C14" s="61">
        <f>ContentLintCheck!A5</f>
        <v>10</v>
      </c>
      <c r="D14" s="61">
        <f>ContentLintCheck!C5</f>
        <v>0</v>
      </c>
      <c r="E14" s="61">
        <f>ContentLintCheck!F5</f>
        <v>0</v>
      </c>
      <c r="F14" s="62">
        <f>ContentLintCheck!L5</f>
        <v>3</v>
      </c>
      <c r="G14" s="61">
        <f>ContentLintCheck!M5</f>
        <v>6</v>
      </c>
      <c r="H14" s="61">
        <f>ContentLintCheck!N5</f>
        <v>1</v>
      </c>
      <c r="I14" s="61">
        <f>ContentLintCheck!O5</f>
        <v>10</v>
      </c>
    </row>
    <row r="15" spans="1:9" ht="13">
      <c r="A15" s="60">
        <v>4</v>
      </c>
      <c r="B15" s="165" t="s">
        <v>174</v>
      </c>
      <c r="C15" s="61">
        <f>ScenarioMatcher!A5</f>
        <v>9</v>
      </c>
      <c r="D15" s="61">
        <f>ScenarioMatcher!C5</f>
        <v>0</v>
      </c>
      <c r="E15" s="61">
        <f>ScenarioMatcher!F5</f>
        <v>0</v>
      </c>
      <c r="F15" s="62">
        <f>ScenarioMatcher!L5</f>
        <v>3</v>
      </c>
      <c r="G15" s="61">
        <f>ScenarioMatcher!M5</f>
        <v>6</v>
      </c>
      <c r="H15" s="61">
        <f>ScenarioMatcher!N5</f>
        <v>0</v>
      </c>
      <c r="I15" s="61">
        <f>ScenarioMatcher!O5</f>
        <v>9</v>
      </c>
    </row>
    <row r="16" spans="1:9" ht="13">
      <c r="A16" s="60">
        <v>5</v>
      </c>
      <c r="B16" s="165" t="s">
        <v>191</v>
      </c>
      <c r="C16" s="61">
        <f>GoldenHourResolve!A5</f>
        <v>8</v>
      </c>
      <c r="D16" s="61">
        <f>GoldenHourResolve!C5</f>
        <v>0</v>
      </c>
      <c r="E16" s="61">
        <f>GoldenHourResolve!F5</f>
        <v>0</v>
      </c>
      <c r="F16" s="62">
        <f>GoldenHourResolve!L5</f>
        <v>3</v>
      </c>
      <c r="G16" s="61">
        <f>GoldenHourResolve!M5</f>
        <v>4</v>
      </c>
      <c r="H16" s="61">
        <f>GoldenHourResolve!N5</f>
        <v>1</v>
      </c>
      <c r="I16" s="61">
        <f>GoldenHourResolve!O5</f>
        <v>8</v>
      </c>
    </row>
    <row r="17" spans="1:9" ht="13">
      <c r="A17" s="60">
        <v>6</v>
      </c>
      <c r="B17" s="165" t="s">
        <v>206</v>
      </c>
      <c r="C17" s="61">
        <f>RecurrenceCalc!A5</f>
        <v>10</v>
      </c>
      <c r="D17" s="61">
        <f>RecurrenceCalc!C5</f>
        <v>0</v>
      </c>
      <c r="E17" s="61">
        <f>RecurrenceCalc!F5</f>
        <v>0</v>
      </c>
      <c r="F17" s="62">
        <f>RecurrenceCalc!L5</f>
        <v>7</v>
      </c>
      <c r="G17" s="61">
        <f>RecurrenceCalc!M5</f>
        <v>1</v>
      </c>
      <c r="H17" s="61">
        <f>RecurrenceCalc!N5</f>
        <v>2</v>
      </c>
      <c r="I17" s="61">
        <f>RecurrenceCalc!O5</f>
        <v>10</v>
      </c>
    </row>
    <row r="18" spans="1:9" ht="13">
      <c r="A18" s="60">
        <v>7</v>
      </c>
      <c r="B18" s="165" t="s">
        <v>228</v>
      </c>
      <c r="C18" s="61">
        <f>KbSuggestionApprove!A5</f>
        <v>8</v>
      </c>
      <c r="D18" s="61">
        <f>KbSuggestionApprove!C5</f>
        <v>0</v>
      </c>
      <c r="E18" s="61">
        <f>KbSuggestionApprove!F5</f>
        <v>0</v>
      </c>
      <c r="F18" s="62">
        <f>KbSuggestionApprove!L5</f>
        <v>1</v>
      </c>
      <c r="G18" s="61">
        <f>KbSuggestionApprove!M5</f>
        <v>6</v>
      </c>
      <c r="H18" s="61">
        <f>KbSuggestionApprove!N5</f>
        <v>1</v>
      </c>
      <c r="I18" s="61">
        <f>KbSuggestionApprove!O5</f>
        <v>8</v>
      </c>
    </row>
    <row r="19" spans="1:9" ht="13">
      <c r="A19" s="60">
        <v>8</v>
      </c>
      <c r="B19" s="165" t="s">
        <v>251</v>
      </c>
      <c r="C19" s="61">
        <f>ConversationResume!A5</f>
        <v>8</v>
      </c>
      <c r="D19" s="61">
        <f>ConversationResume!C5</f>
        <v>0</v>
      </c>
      <c r="E19" s="61">
        <f>ConversationResume!F5</f>
        <v>0</v>
      </c>
      <c r="F19" s="62">
        <f>ConversationResume!L5</f>
        <v>2</v>
      </c>
      <c r="G19" s="61">
        <f>ConversationResume!M5</f>
        <v>5</v>
      </c>
      <c r="H19" s="61">
        <f>ConversationResume!N5</f>
        <v>1</v>
      </c>
      <c r="I19" s="61">
        <f>ConversationResume!O5</f>
        <v>8</v>
      </c>
    </row>
    <row r="20" spans="1:9" ht="14">
      <c r="A20" s="60"/>
      <c r="B20" s="118"/>
      <c r="C20" s="61"/>
      <c r="D20" s="61"/>
      <c r="E20" s="61"/>
      <c r="F20" s="62"/>
      <c r="G20" s="61"/>
      <c r="H20" s="61"/>
      <c r="I20" s="61"/>
    </row>
    <row r="21" spans="1:9" ht="14">
      <c r="A21" s="60"/>
      <c r="B21" s="118"/>
      <c r="C21" s="61"/>
      <c r="D21" s="61"/>
      <c r="E21" s="61"/>
      <c r="F21" s="62"/>
      <c r="G21" s="61"/>
      <c r="H21" s="61"/>
      <c r="I21" s="61"/>
    </row>
    <row r="22" spans="1:9" ht="14">
      <c r="A22" s="63"/>
      <c r="B22" s="119" t="s">
        <v>24</v>
      </c>
      <c r="C22" s="64">
        <f>SUM(C12:C19)</f>
        <v>73</v>
      </c>
      <c r="D22" s="64">
        <f>SUM(D12:D19)</f>
        <v>0</v>
      </c>
      <c r="E22" s="64">
        <f>SUM(E12:E19)</f>
        <v>0</v>
      </c>
      <c r="F22" s="64">
        <f>SUM(F12:F19)</f>
        <v>28</v>
      </c>
      <c r="G22" s="64">
        <f>SUM(G12:G19)</f>
        <v>36</v>
      </c>
      <c r="H22" s="64">
        <f>SUM(H12:H19)</f>
        <v>9</v>
      </c>
      <c r="I22" s="64">
        <f>SUM(I12:I19)</f>
        <v>73</v>
      </c>
    </row>
    <row r="23" spans="1:9">
      <c r="A23" s="65"/>
      <c r="C23" s="66"/>
      <c r="D23" s="67"/>
      <c r="E23" s="67"/>
      <c r="F23" s="67"/>
      <c r="G23" s="67"/>
      <c r="H23" s="67"/>
      <c r="I23" s="67"/>
    </row>
    <row r="24" spans="1:9">
      <c r="B24" s="131" t="s">
        <v>25</v>
      </c>
      <c r="D24" s="132">
        <f>(C22+D22)*100/(I22)</f>
        <v>100</v>
      </c>
      <c r="E24" s="6" t="s">
        <v>26</v>
      </c>
      <c r="I24" s="68"/>
    </row>
    <row r="25" spans="1:9">
      <c r="B25" s="131" t="s">
        <v>27</v>
      </c>
      <c r="D25" s="132">
        <f>C22*100/(I22)</f>
        <v>100</v>
      </c>
      <c r="E25" s="6" t="s">
        <v>26</v>
      </c>
      <c r="I25" s="68"/>
    </row>
    <row r="26" spans="1:9">
      <c r="B26" s="131" t="s">
        <v>28</v>
      </c>
      <c r="D26" s="132">
        <f>F22*100/I22</f>
        <v>38.356164383561641</v>
      </c>
      <c r="E26" s="6" t="s">
        <v>26</v>
      </c>
    </row>
    <row r="27" spans="1:9">
      <c r="B27" s="131" t="s">
        <v>29</v>
      </c>
      <c r="D27" s="132">
        <f>G22*100/I22</f>
        <v>49.315068493150683</v>
      </c>
      <c r="E27" s="6" t="s">
        <v>26</v>
      </c>
    </row>
    <row r="28" spans="1:9">
      <c r="B28" s="131" t="s">
        <v>30</v>
      </c>
      <c r="D28" s="132">
        <f>H22*100/I22</f>
        <v>12.328767123287671</v>
      </c>
      <c r="E28" s="6" t="s">
        <v>26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methodName1!A1" display="methodName1" xr:uid="{00000000-0004-0000-0300-000000000000}"/>
    <hyperlink ref="B13" location="methodName2!A1" display="methodName2" xr:uid="{00000000-0004-0000-0300-000001000000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89B8-9EF7-456A-A8D8-5A34ED4AF429}">
  <dimension ref="A1:V35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116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117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119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COUNTIF(F32:HQ32,"P")</f>
        <v>14</v>
      </c>
      <c r="B5" s="200"/>
      <c r="C5" s="197">
        <f>COUNTIF(F32:HQ32,"F")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COUNTIF(E31:HQ31,"N")</f>
        <v>6</v>
      </c>
      <c r="M5" s="128">
        <f>COUNTIF(E31:HQ31,"A")</f>
        <v>7</v>
      </c>
      <c r="N5" s="128">
        <f>COUNTIF(E31:HQ31,"B")</f>
        <v>1</v>
      </c>
      <c r="O5" s="216">
        <f>COUNTA(E7:HT7)</f>
        <v>14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 t="s">
        <v>40</v>
      </c>
      <c r="O7" s="163" t="s">
        <v>41</v>
      </c>
      <c r="P7" s="163" t="s">
        <v>42</v>
      </c>
      <c r="Q7" s="163" t="s">
        <v>43</v>
      </c>
      <c r="R7" s="163" t="s">
        <v>44</v>
      </c>
      <c r="S7" s="163" t="s">
        <v>45</v>
      </c>
      <c r="T7" s="164"/>
      <c r="U7" s="74"/>
      <c r="V7" s="71"/>
    </row>
    <row r="8" spans="1:22" ht="13.5" customHeight="1">
      <c r="A8" s="154" t="s">
        <v>65</v>
      </c>
      <c r="B8" s="155" t="s">
        <v>120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121</v>
      </c>
      <c r="E9" s="78"/>
      <c r="F9" s="120" t="s">
        <v>85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122</v>
      </c>
      <c r="E10" s="78"/>
      <c r="F10" s="120"/>
      <c r="G10" s="120" t="s">
        <v>85</v>
      </c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123</v>
      </c>
      <c r="E11" s="79"/>
      <c r="F11" s="120"/>
      <c r="G11" s="120"/>
      <c r="H11" s="120" t="s">
        <v>85</v>
      </c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124</v>
      </c>
      <c r="E12" s="80"/>
      <c r="F12" s="120"/>
      <c r="G12" s="120"/>
      <c r="H12" s="120"/>
      <c r="I12" s="120" t="s">
        <v>85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125</v>
      </c>
      <c r="E13" s="80"/>
      <c r="F13" s="120"/>
      <c r="G13" s="120"/>
      <c r="H13" s="120"/>
      <c r="I13" s="120"/>
      <c r="J13" s="120" t="s">
        <v>85</v>
      </c>
      <c r="K13" s="120" t="s">
        <v>85</v>
      </c>
      <c r="L13" s="120" t="s">
        <v>85</v>
      </c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s">
        <v>126</v>
      </c>
      <c r="E14" s="80"/>
      <c r="F14" s="120"/>
      <c r="G14" s="120"/>
      <c r="H14" s="120"/>
      <c r="I14" s="120"/>
      <c r="J14" s="120"/>
      <c r="K14" s="120"/>
      <c r="L14" s="120"/>
      <c r="M14" s="120" t="s">
        <v>85</v>
      </c>
      <c r="N14" s="120" t="s">
        <v>85</v>
      </c>
      <c r="O14" s="120" t="s">
        <v>85</v>
      </c>
      <c r="P14" s="120" t="s">
        <v>85</v>
      </c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s">
        <v>127</v>
      </c>
      <c r="E15" s="8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 t="s">
        <v>85</v>
      </c>
      <c r="R15" s="120" t="s">
        <v>85</v>
      </c>
      <c r="S15" s="120"/>
      <c r="T15" s="141"/>
      <c r="U15" s="121"/>
    </row>
    <row r="16" spans="1:22" ht="13.5" customHeight="1">
      <c r="A16" s="142"/>
      <c r="B16" s="75"/>
      <c r="C16" s="76"/>
      <c r="D16" s="77" t="s">
        <v>128</v>
      </c>
      <c r="E16" s="8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 t="s">
        <v>85</v>
      </c>
      <c r="T16" s="141"/>
      <c r="U16" s="121"/>
    </row>
    <row r="17" spans="1:20" ht="13.5" customHeight="1">
      <c r="A17" s="142"/>
      <c r="B17" s="75" t="s">
        <v>129</v>
      </c>
      <c r="C17" s="76"/>
      <c r="D17" s="210"/>
      <c r="E17" s="21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130</v>
      </c>
      <c r="E18" s="80"/>
      <c r="F18" s="120" t="s">
        <v>85</v>
      </c>
      <c r="G18" s="120" t="s">
        <v>85</v>
      </c>
      <c r="H18" s="120" t="s">
        <v>85</v>
      </c>
      <c r="I18" s="120"/>
      <c r="J18" s="120" t="s">
        <v>85</v>
      </c>
      <c r="K18" s="120"/>
      <c r="L18" s="120" t="s">
        <v>85</v>
      </c>
      <c r="M18" s="120" t="s">
        <v>85</v>
      </c>
      <c r="N18" s="120" t="s">
        <v>85</v>
      </c>
      <c r="O18" s="120" t="s">
        <v>85</v>
      </c>
      <c r="P18" s="120" t="s">
        <v>85</v>
      </c>
      <c r="Q18" s="120" t="s">
        <v>85</v>
      </c>
      <c r="R18" s="120"/>
      <c r="S18" s="120" t="s">
        <v>85</v>
      </c>
      <c r="T18" s="141"/>
    </row>
    <row r="19" spans="1:20" ht="13.5" customHeight="1">
      <c r="A19" s="142"/>
      <c r="B19" s="75"/>
      <c r="C19" s="76"/>
      <c r="D19" s="77" t="s">
        <v>131</v>
      </c>
      <c r="E19" s="80"/>
      <c r="F19" s="120"/>
      <c r="G19" s="120"/>
      <c r="H19" s="120"/>
      <c r="I19" s="120" t="s">
        <v>85</v>
      </c>
      <c r="J19" s="120"/>
      <c r="K19" s="120" t="s">
        <v>85</v>
      </c>
      <c r="L19" s="120"/>
      <c r="M19" s="120"/>
      <c r="N19" s="120"/>
      <c r="O19" s="120"/>
      <c r="P19" s="120"/>
      <c r="Q19" s="120"/>
      <c r="R19" s="120" t="s">
        <v>85</v>
      </c>
      <c r="S19" s="120"/>
      <c r="T19" s="141"/>
    </row>
    <row r="20" spans="1:20" ht="13.5" customHeight="1">
      <c r="A20" s="142"/>
      <c r="B20" s="75" t="s">
        <v>132</v>
      </c>
      <c r="C20" s="76"/>
      <c r="D20" s="77"/>
      <c r="E20" s="8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41"/>
    </row>
    <row r="21" spans="1:20" ht="13.5" customHeight="1">
      <c r="A21" s="142"/>
      <c r="B21" s="75"/>
      <c r="C21" s="76"/>
      <c r="D21" s="77" t="s">
        <v>133</v>
      </c>
      <c r="E21" s="80"/>
      <c r="F21" s="120" t="s">
        <v>85</v>
      </c>
      <c r="G21" s="120" t="s">
        <v>85</v>
      </c>
      <c r="H21" s="120" t="s">
        <v>85</v>
      </c>
      <c r="I21" s="120" t="s">
        <v>85</v>
      </c>
      <c r="J21" s="120" t="s">
        <v>85</v>
      </c>
      <c r="K21" s="120" t="s">
        <v>85</v>
      </c>
      <c r="L21" s="120"/>
      <c r="M21" s="120" t="s">
        <v>85</v>
      </c>
      <c r="N21" s="120" t="s">
        <v>85</v>
      </c>
      <c r="O21" s="120" t="s">
        <v>85</v>
      </c>
      <c r="P21" s="120" t="s">
        <v>85</v>
      </c>
      <c r="Q21" s="120" t="s">
        <v>85</v>
      </c>
      <c r="R21" s="120" t="s">
        <v>85</v>
      </c>
      <c r="S21" s="120" t="s">
        <v>85</v>
      </c>
      <c r="T21" s="141"/>
    </row>
    <row r="22" spans="1:20" ht="13.5" customHeight="1">
      <c r="A22" s="142"/>
      <c r="B22" s="75"/>
      <c r="C22" s="76"/>
      <c r="D22" s="77" t="s">
        <v>134</v>
      </c>
      <c r="E22" s="80"/>
      <c r="F22" s="120"/>
      <c r="G22" s="120"/>
      <c r="H22" s="120"/>
      <c r="I22" s="120"/>
      <c r="J22" s="120"/>
      <c r="K22" s="120"/>
      <c r="L22" s="120" t="s">
        <v>85</v>
      </c>
      <c r="M22" s="120"/>
      <c r="N22" s="120"/>
      <c r="O22" s="120"/>
      <c r="P22" s="120"/>
      <c r="Q22" s="120"/>
      <c r="R22" s="120"/>
      <c r="S22" s="120"/>
      <c r="T22" s="141"/>
    </row>
    <row r="23" spans="1:20" ht="13.5" customHeight="1">
      <c r="A23" s="142"/>
      <c r="B23" s="75" t="s">
        <v>135</v>
      </c>
      <c r="C23" s="76"/>
      <c r="D23" s="77"/>
      <c r="E23" s="8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41"/>
    </row>
    <row r="24" spans="1:20" ht="13.5" customHeight="1">
      <c r="A24" s="142"/>
      <c r="B24" s="75"/>
      <c r="C24" s="76"/>
      <c r="D24" s="77" t="s">
        <v>136</v>
      </c>
      <c r="E24" s="80"/>
      <c r="F24" s="120" t="s">
        <v>85</v>
      </c>
      <c r="G24" s="120" t="s">
        <v>85</v>
      </c>
      <c r="H24" s="120" t="s">
        <v>85</v>
      </c>
      <c r="I24" s="120" t="s">
        <v>85</v>
      </c>
      <c r="J24" s="120"/>
      <c r="K24" s="120"/>
      <c r="L24" s="120"/>
      <c r="M24" s="120" t="s">
        <v>85</v>
      </c>
      <c r="N24" s="120"/>
      <c r="O24" s="120"/>
      <c r="P24" s="120"/>
      <c r="Q24" s="120"/>
      <c r="R24" s="120"/>
      <c r="S24" s="120"/>
      <c r="T24" s="141"/>
    </row>
    <row r="25" spans="1:20" ht="13.5" customHeight="1">
      <c r="A25" s="142"/>
      <c r="B25" s="75"/>
      <c r="C25" s="76"/>
      <c r="D25" s="77" t="s">
        <v>137</v>
      </c>
      <c r="E25" s="80"/>
      <c r="F25" s="120"/>
      <c r="G25" s="120"/>
      <c r="H25" s="120"/>
      <c r="I25" s="120"/>
      <c r="J25" s="120" t="s">
        <v>85</v>
      </c>
      <c r="K25" s="120" t="s">
        <v>85</v>
      </c>
      <c r="L25" s="120" t="s">
        <v>85</v>
      </c>
      <c r="M25" s="120"/>
      <c r="N25" s="120" t="s">
        <v>85</v>
      </c>
      <c r="O25" s="120"/>
      <c r="P25" s="120"/>
      <c r="Q25" s="120" t="s">
        <v>85</v>
      </c>
      <c r="R25" s="120" t="s">
        <v>85</v>
      </c>
      <c r="S25" s="120" t="s">
        <v>85</v>
      </c>
      <c r="T25" s="141"/>
    </row>
    <row r="26" spans="1:20" ht="13.5" customHeight="1">
      <c r="A26" s="142"/>
      <c r="B26" s="75"/>
      <c r="C26" s="76"/>
      <c r="D26" s="77" t="s">
        <v>138</v>
      </c>
      <c r="E26" s="80"/>
      <c r="F26" s="120"/>
      <c r="G26" s="120"/>
      <c r="H26" s="120"/>
      <c r="I26" s="120"/>
      <c r="J26" s="120"/>
      <c r="K26" s="120"/>
      <c r="L26" s="120"/>
      <c r="M26" s="120"/>
      <c r="N26" s="120"/>
      <c r="O26" s="120" t="s">
        <v>85</v>
      </c>
      <c r="P26" s="120"/>
      <c r="Q26" s="120"/>
      <c r="R26" s="120"/>
      <c r="S26" s="120"/>
      <c r="T26" s="141"/>
    </row>
    <row r="27" spans="1:20" ht="13.5" customHeight="1" thickBot="1">
      <c r="A27" s="142"/>
      <c r="B27" s="81"/>
      <c r="C27" s="82"/>
      <c r="D27" s="83" t="s">
        <v>139</v>
      </c>
      <c r="E27" s="84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 t="s">
        <v>85</v>
      </c>
      <c r="Q27" s="122"/>
      <c r="R27" s="122"/>
      <c r="S27" s="122"/>
      <c r="T27" s="143"/>
    </row>
    <row r="28" spans="1:20" ht="13.5" customHeight="1" thickTop="1">
      <c r="A28" s="153" t="s">
        <v>66</v>
      </c>
      <c r="B28" s="85" t="s">
        <v>67</v>
      </c>
      <c r="C28" s="86"/>
      <c r="D28" s="87"/>
      <c r="E28" s="88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44"/>
    </row>
    <row r="29" spans="1:20" ht="13.5" customHeight="1">
      <c r="A29" s="152"/>
      <c r="B29" s="89"/>
      <c r="C29" s="90"/>
      <c r="D29" s="91" t="s">
        <v>140</v>
      </c>
      <c r="E29" s="92"/>
      <c r="F29" s="120"/>
      <c r="G29" s="120"/>
      <c r="H29" s="120"/>
      <c r="I29" s="120"/>
      <c r="J29" s="120"/>
      <c r="K29" s="120" t="s">
        <v>85</v>
      </c>
      <c r="L29" s="120" t="s">
        <v>85</v>
      </c>
      <c r="M29" s="120" t="s">
        <v>85</v>
      </c>
      <c r="N29" s="120"/>
      <c r="O29" s="120"/>
      <c r="P29" s="120"/>
      <c r="Q29" s="120"/>
      <c r="R29" s="120" t="s">
        <v>85</v>
      </c>
      <c r="S29" s="120"/>
      <c r="T29" s="141"/>
    </row>
    <row r="30" spans="1:20" ht="13.5" customHeight="1" thickBot="1">
      <c r="A30" s="152"/>
      <c r="B30" s="133"/>
      <c r="C30" s="134"/>
      <c r="D30" s="135" t="s">
        <v>141</v>
      </c>
      <c r="E30" s="136"/>
      <c r="F30" s="137" t="s">
        <v>85</v>
      </c>
      <c r="G30" s="137" t="s">
        <v>85</v>
      </c>
      <c r="H30" s="137" t="s">
        <v>85</v>
      </c>
      <c r="I30" s="137" t="s">
        <v>85</v>
      </c>
      <c r="J30" s="137" t="s">
        <v>85</v>
      </c>
      <c r="K30" s="137"/>
      <c r="L30" s="137"/>
      <c r="M30" s="137"/>
      <c r="N30" s="137" t="s">
        <v>85</v>
      </c>
      <c r="O30" s="137" t="s">
        <v>85</v>
      </c>
      <c r="P30" s="137" t="s">
        <v>85</v>
      </c>
      <c r="Q30" s="137" t="s">
        <v>85</v>
      </c>
      <c r="R30" s="137"/>
      <c r="S30" s="137" t="s">
        <v>85</v>
      </c>
      <c r="T30" s="145"/>
    </row>
    <row r="31" spans="1:20" ht="13.5" customHeight="1" thickTop="1">
      <c r="A31" s="153" t="s">
        <v>47</v>
      </c>
      <c r="B31" s="206" t="s">
        <v>48</v>
      </c>
      <c r="C31" s="206"/>
      <c r="D31" s="206"/>
      <c r="E31" s="138"/>
      <c r="F31" s="139" t="s">
        <v>49</v>
      </c>
      <c r="G31" s="139" t="s">
        <v>49</v>
      </c>
      <c r="H31" s="139" t="s">
        <v>51</v>
      </c>
      <c r="I31" s="139" t="s">
        <v>51</v>
      </c>
      <c r="J31" s="139" t="s">
        <v>49</v>
      </c>
      <c r="K31" s="139" t="s">
        <v>51</v>
      </c>
      <c r="L31" s="139" t="s">
        <v>51</v>
      </c>
      <c r="M31" s="139" t="s">
        <v>49</v>
      </c>
      <c r="N31" s="139" t="s">
        <v>51</v>
      </c>
      <c r="O31" s="139" t="s">
        <v>50</v>
      </c>
      <c r="P31" s="139" t="s">
        <v>51</v>
      </c>
      <c r="Q31" s="139" t="s">
        <v>49</v>
      </c>
      <c r="R31" s="139" t="s">
        <v>51</v>
      </c>
      <c r="S31" s="139" t="s">
        <v>49</v>
      </c>
      <c r="T31" s="146"/>
    </row>
    <row r="32" spans="1:20" ht="13.5" customHeight="1">
      <c r="A32" s="152"/>
      <c r="B32" s="196" t="s">
        <v>52</v>
      </c>
      <c r="C32" s="196"/>
      <c r="D32" s="196"/>
      <c r="E32" s="94"/>
      <c r="F32" s="125" t="s">
        <v>53</v>
      </c>
      <c r="G32" s="125" t="s">
        <v>53</v>
      </c>
      <c r="H32" s="125" t="s">
        <v>53</v>
      </c>
      <c r="I32" s="125" t="s">
        <v>53</v>
      </c>
      <c r="J32" s="125" t="s">
        <v>53</v>
      </c>
      <c r="K32" s="125" t="s">
        <v>53</v>
      </c>
      <c r="L32" s="125" t="s">
        <v>53</v>
      </c>
      <c r="M32" s="125" t="s">
        <v>53</v>
      </c>
      <c r="N32" s="125" t="s">
        <v>53</v>
      </c>
      <c r="O32" s="125" t="s">
        <v>53</v>
      </c>
      <c r="P32" s="125" t="s">
        <v>53</v>
      </c>
      <c r="Q32" s="125" t="s">
        <v>53</v>
      </c>
      <c r="R32" s="125" t="s">
        <v>53</v>
      </c>
      <c r="S32" s="125" t="s">
        <v>53</v>
      </c>
      <c r="T32" s="147"/>
    </row>
    <row r="33" spans="1:20" ht="13.5" customHeight="1">
      <c r="A33" s="152"/>
      <c r="B33" s="204" t="s">
        <v>54</v>
      </c>
      <c r="C33" s="204"/>
      <c r="D33" s="204"/>
      <c r="E33" s="95"/>
      <c r="F33" s="96">
        <v>46244.708333333336</v>
      </c>
      <c r="G33" s="96">
        <v>46244.708333333336</v>
      </c>
      <c r="H33" s="96">
        <v>46244.708333333336</v>
      </c>
      <c r="I33" s="96">
        <v>46244.708333333336</v>
      </c>
      <c r="J33" s="96">
        <v>46244.708333333336</v>
      </c>
      <c r="K33" s="96">
        <v>46244.708333333336</v>
      </c>
      <c r="L33" s="96">
        <v>46244.708333333336</v>
      </c>
      <c r="M33" s="96">
        <v>46244.708333333336</v>
      </c>
      <c r="N33" s="96">
        <v>46244.708333333336</v>
      </c>
      <c r="O33" s="96">
        <v>46244.708333333336</v>
      </c>
      <c r="P33" s="96">
        <v>46244.708333333336</v>
      </c>
      <c r="Q33" s="96">
        <v>46244.708333333336</v>
      </c>
      <c r="R33" s="96">
        <v>46244.708333333336</v>
      </c>
      <c r="S33" s="96">
        <v>46244.708333333336</v>
      </c>
      <c r="T33" s="148"/>
    </row>
    <row r="34" spans="1:20" ht="10.5" thickBot="1">
      <c r="A34" s="158"/>
      <c r="B34" s="205" t="s">
        <v>55</v>
      </c>
      <c r="C34" s="205"/>
      <c r="D34" s="205"/>
      <c r="E34" s="149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1"/>
    </row>
    <row r="35" spans="1:20" ht="10.5" thickTop="1">
      <c r="A35" s="140"/>
    </row>
  </sheetData>
  <mergeCells count="24">
    <mergeCell ref="B32:D32"/>
    <mergeCell ref="B33:D33"/>
    <mergeCell ref="B34:D34"/>
    <mergeCell ref="A5:B5"/>
    <mergeCell ref="C5:E5"/>
    <mergeCell ref="F5:K5"/>
    <mergeCell ref="O5:T5"/>
    <mergeCell ref="D17:E17"/>
    <mergeCell ref="B31:D31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32:T32" xr:uid="{97B0EC33-D839-4F9F-965F-B83059B7E40A}">
      <formula1>"P,F, "</formula1>
    </dataValidation>
    <dataValidation type="list" allowBlank="1" showInputMessage="1" showErrorMessage="1" sqref="F31:T31" xr:uid="{A6F5BB14-3167-461D-B57D-2C4DE9245BD5}">
      <formula1>"N,A,B, "</formula1>
    </dataValidation>
    <dataValidation type="list" allowBlank="1" showInputMessage="1" showErrorMessage="1" sqref="F8:T30" xr:uid="{34DD239A-B5C2-4AE0-B646-FD35A34F863C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A357-CE4A-490A-A173-84DF2982B3D8}">
  <dimension ref="A1:V22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142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143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144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COUNTIF(F19:HQ19,"P")</f>
        <v>6</v>
      </c>
      <c r="B5" s="200"/>
      <c r="C5" s="197">
        <f>COUNTIF(F19:HQ19,"F")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COUNTIF(E18:HQ18,"N")</f>
        <v>3</v>
      </c>
      <c r="M5" s="128">
        <f>COUNTIF(E18:HQ18,"A")</f>
        <v>1</v>
      </c>
      <c r="N5" s="128">
        <f>COUNTIF(E18:HQ18,"B")</f>
        <v>2</v>
      </c>
      <c r="O5" s="216">
        <f>COUNTA(E7:HT7)</f>
        <v>6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/>
      <c r="M7" s="163"/>
      <c r="N7" s="163"/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145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146</v>
      </c>
      <c r="E9" s="78"/>
      <c r="F9" s="120" t="s">
        <v>85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147</v>
      </c>
      <c r="E10" s="78"/>
      <c r="F10" s="120"/>
      <c r="G10" s="120" t="s">
        <v>85</v>
      </c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148</v>
      </c>
      <c r="E11" s="79"/>
      <c r="F11" s="120"/>
      <c r="G11" s="120"/>
      <c r="H11" s="120" t="s">
        <v>85</v>
      </c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149</v>
      </c>
      <c r="E12" s="80"/>
      <c r="F12" s="120"/>
      <c r="G12" s="120"/>
      <c r="H12" s="120"/>
      <c r="I12" s="120" t="s">
        <v>85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150</v>
      </c>
      <c r="E13" s="80"/>
      <c r="F13" s="120"/>
      <c r="G13" s="120"/>
      <c r="H13" s="120"/>
      <c r="I13" s="120"/>
      <c r="J13" s="120" t="s">
        <v>85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 thickBot="1">
      <c r="A14" s="142"/>
      <c r="B14" s="81"/>
      <c r="C14" s="82"/>
      <c r="D14" s="83" t="s">
        <v>151</v>
      </c>
      <c r="E14" s="84"/>
      <c r="F14" s="122"/>
      <c r="G14" s="122"/>
      <c r="H14" s="122"/>
      <c r="I14" s="122"/>
      <c r="J14" s="122"/>
      <c r="K14" s="122" t="s">
        <v>85</v>
      </c>
      <c r="L14" s="122"/>
      <c r="M14" s="122"/>
      <c r="N14" s="122"/>
      <c r="O14" s="122"/>
      <c r="P14" s="122"/>
      <c r="Q14" s="122"/>
      <c r="R14" s="122"/>
      <c r="S14" s="122"/>
      <c r="T14" s="143"/>
    </row>
    <row r="15" spans="1:22" ht="13.5" customHeight="1" thickTop="1">
      <c r="A15" s="153" t="s">
        <v>66</v>
      </c>
      <c r="B15" s="85" t="s">
        <v>152</v>
      </c>
      <c r="C15" s="86"/>
      <c r="D15" s="87"/>
      <c r="E15" s="88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44"/>
    </row>
    <row r="16" spans="1:22" ht="13.5" customHeight="1">
      <c r="A16" s="152"/>
      <c r="B16" s="89"/>
      <c r="C16" s="90"/>
      <c r="D16" s="91" t="s">
        <v>153</v>
      </c>
      <c r="E16" s="92"/>
      <c r="F16" s="120"/>
      <c r="G16" s="120"/>
      <c r="H16" s="120"/>
      <c r="I16" s="120"/>
      <c r="J16" s="120"/>
      <c r="K16" s="120" t="s">
        <v>85</v>
      </c>
      <c r="L16" s="120"/>
      <c r="M16" s="120"/>
      <c r="N16" s="120"/>
      <c r="O16" s="120"/>
      <c r="P16" s="120"/>
      <c r="Q16" s="120"/>
      <c r="R16" s="120"/>
      <c r="S16" s="120"/>
      <c r="T16" s="141"/>
    </row>
    <row r="17" spans="1:20" ht="13.5" customHeight="1" thickBot="1">
      <c r="A17" s="152"/>
      <c r="B17" s="133"/>
      <c r="C17" s="134"/>
      <c r="D17" s="135" t="s">
        <v>154</v>
      </c>
      <c r="E17" s="136"/>
      <c r="F17" s="137" t="s">
        <v>85</v>
      </c>
      <c r="G17" s="137" t="s">
        <v>85</v>
      </c>
      <c r="H17" s="137" t="s">
        <v>85</v>
      </c>
      <c r="I17" s="137" t="s">
        <v>85</v>
      </c>
      <c r="J17" s="137" t="s">
        <v>85</v>
      </c>
      <c r="K17" s="137"/>
      <c r="L17" s="137"/>
      <c r="M17" s="137"/>
      <c r="N17" s="137"/>
      <c r="O17" s="137"/>
      <c r="P17" s="137"/>
      <c r="Q17" s="137"/>
      <c r="R17" s="137"/>
      <c r="S17" s="137"/>
      <c r="T17" s="145"/>
    </row>
    <row r="18" spans="1:20" ht="13.5" customHeight="1" thickTop="1">
      <c r="A18" s="153" t="s">
        <v>47</v>
      </c>
      <c r="B18" s="206" t="s">
        <v>48</v>
      </c>
      <c r="C18" s="206"/>
      <c r="D18" s="206"/>
      <c r="E18" s="138"/>
      <c r="F18" s="139" t="s">
        <v>49</v>
      </c>
      <c r="G18" s="139" t="s">
        <v>49</v>
      </c>
      <c r="H18" s="139" t="s">
        <v>50</v>
      </c>
      <c r="I18" s="139" t="s">
        <v>50</v>
      </c>
      <c r="J18" s="139" t="s">
        <v>51</v>
      </c>
      <c r="K18" s="139" t="s">
        <v>49</v>
      </c>
      <c r="L18" s="139"/>
      <c r="M18" s="139"/>
      <c r="N18" s="139"/>
      <c r="O18" s="139"/>
      <c r="P18" s="139"/>
      <c r="Q18" s="139"/>
      <c r="R18" s="139"/>
      <c r="S18" s="139"/>
      <c r="T18" s="146"/>
    </row>
    <row r="19" spans="1:20" ht="13.5" customHeight="1">
      <c r="A19" s="152"/>
      <c r="B19" s="196" t="s">
        <v>52</v>
      </c>
      <c r="C19" s="196"/>
      <c r="D19" s="196"/>
      <c r="E19" s="94"/>
      <c r="F19" s="125" t="s">
        <v>53</v>
      </c>
      <c r="G19" s="125" t="s">
        <v>53</v>
      </c>
      <c r="H19" s="125" t="s">
        <v>53</v>
      </c>
      <c r="I19" s="125" t="s">
        <v>53</v>
      </c>
      <c r="J19" s="125" t="s">
        <v>53</v>
      </c>
      <c r="K19" s="125" t="s">
        <v>53</v>
      </c>
      <c r="L19" s="125"/>
      <c r="M19" s="125"/>
      <c r="N19" s="125"/>
      <c r="O19" s="125"/>
      <c r="P19" s="125"/>
      <c r="Q19" s="125"/>
      <c r="R19" s="125"/>
      <c r="S19" s="125"/>
      <c r="T19" s="147"/>
    </row>
    <row r="20" spans="1:20" ht="13.5" customHeight="1">
      <c r="A20" s="152"/>
      <c r="B20" s="204" t="s">
        <v>54</v>
      </c>
      <c r="C20" s="204"/>
      <c r="D20" s="204"/>
      <c r="E20" s="95"/>
      <c r="F20" s="96">
        <v>46244.708333333336</v>
      </c>
      <c r="G20" s="96">
        <v>46244.708333333336</v>
      </c>
      <c r="H20" s="96">
        <v>46244.708333333336</v>
      </c>
      <c r="I20" s="96">
        <v>46244.708333333336</v>
      </c>
      <c r="J20" s="96">
        <v>46244.708333333336</v>
      </c>
      <c r="K20" s="96">
        <v>46244.708333333336</v>
      </c>
      <c r="L20" s="96"/>
      <c r="M20" s="96"/>
      <c r="N20" s="96"/>
      <c r="O20" s="96"/>
      <c r="P20" s="96"/>
      <c r="Q20" s="96"/>
      <c r="R20" s="96"/>
      <c r="S20" s="96"/>
      <c r="T20" s="148"/>
    </row>
    <row r="21" spans="1:20" ht="10.5" thickBot="1">
      <c r="A21" s="158"/>
      <c r="B21" s="205" t="s">
        <v>55</v>
      </c>
      <c r="C21" s="205"/>
      <c r="D21" s="205"/>
      <c r="E21" s="149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1"/>
    </row>
    <row r="22" spans="1:20" ht="10.5" thickTop="1">
      <c r="A22" s="140"/>
    </row>
  </sheetData>
  <mergeCells count="23">
    <mergeCell ref="B19:D19"/>
    <mergeCell ref="B20:D20"/>
    <mergeCell ref="B21:D21"/>
    <mergeCell ref="A5:B5"/>
    <mergeCell ref="C5:E5"/>
    <mergeCell ref="F5:K5"/>
    <mergeCell ref="O5:T5"/>
    <mergeCell ref="B18:D18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19:T19" xr:uid="{A66E3841-9F94-4C1D-80E3-C44F1834B682}">
      <formula1>"P,F, "</formula1>
    </dataValidation>
    <dataValidation type="list" allowBlank="1" showInputMessage="1" showErrorMessage="1" sqref="F18:T18" xr:uid="{B9A0CF34-F871-43E7-A568-38022126D499}">
      <formula1>"N,A,B, "</formula1>
    </dataValidation>
    <dataValidation type="list" allowBlank="1" showInputMessage="1" showErrorMessage="1" sqref="F8:T17" xr:uid="{AC13ED04-4AA6-4022-A0E8-6B8F7F9E545E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9A9A-8F6B-4748-8220-69E6AA26B9DA}">
  <dimension ref="A1:V31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155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156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157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COUNTIF(F28:HQ28,"P")</f>
        <v>10</v>
      </c>
      <c r="B5" s="200"/>
      <c r="C5" s="197">
        <f>COUNTIF(F28:HQ28,"F")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COUNTIF(E27:HQ27,"N")</f>
        <v>3</v>
      </c>
      <c r="M5" s="128">
        <f>COUNTIF(E27:HQ27,"A")</f>
        <v>6</v>
      </c>
      <c r="N5" s="128">
        <f>COUNTIF(E27:HQ27,"B")</f>
        <v>1</v>
      </c>
      <c r="O5" s="216">
        <f>COUNTA(E7:HT7)</f>
        <v>10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 t="s">
        <v>40</v>
      </c>
      <c r="O7" s="163" t="s">
        <v>41</v>
      </c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158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46</v>
      </c>
      <c r="E9" s="78"/>
      <c r="F9" s="120" t="s">
        <v>85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147</v>
      </c>
      <c r="E10" s="78"/>
      <c r="F10" s="120"/>
      <c r="G10" s="120" t="s">
        <v>85</v>
      </c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159</v>
      </c>
      <c r="E11" s="79"/>
      <c r="F11" s="120"/>
      <c r="G11" s="120"/>
      <c r="H11" s="120" t="s">
        <v>85</v>
      </c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160</v>
      </c>
      <c r="E12" s="80"/>
      <c r="F12" s="120"/>
      <c r="G12" s="120"/>
      <c r="H12" s="120"/>
      <c r="I12" s="120" t="s">
        <v>85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161</v>
      </c>
      <c r="E13" s="80"/>
      <c r="F13" s="120"/>
      <c r="G13" s="120"/>
      <c r="H13" s="120"/>
      <c r="I13" s="120"/>
      <c r="J13" s="120" t="s">
        <v>85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s">
        <v>162</v>
      </c>
      <c r="E14" s="80"/>
      <c r="F14" s="120"/>
      <c r="G14" s="120"/>
      <c r="H14" s="120"/>
      <c r="I14" s="120"/>
      <c r="J14" s="120"/>
      <c r="K14" s="120" t="s">
        <v>85</v>
      </c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s">
        <v>163</v>
      </c>
      <c r="E15" s="80"/>
      <c r="F15" s="120"/>
      <c r="G15" s="120"/>
      <c r="H15" s="120"/>
      <c r="I15" s="120"/>
      <c r="J15" s="120"/>
      <c r="K15" s="120"/>
      <c r="L15" s="120" t="s">
        <v>85</v>
      </c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/>
      <c r="C16" s="76"/>
      <c r="D16" s="77" t="s">
        <v>164</v>
      </c>
      <c r="E16" s="80"/>
      <c r="F16" s="120"/>
      <c r="G16" s="120"/>
      <c r="H16" s="120"/>
      <c r="I16" s="120"/>
      <c r="J16" s="120"/>
      <c r="K16" s="120"/>
      <c r="L16" s="120"/>
      <c r="M16" s="120" t="s">
        <v>85</v>
      </c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 t="s">
        <v>165</v>
      </c>
      <c r="E17" s="210"/>
      <c r="F17" s="120"/>
      <c r="G17" s="120"/>
      <c r="H17" s="120"/>
      <c r="I17" s="120"/>
      <c r="J17" s="120"/>
      <c r="K17" s="120"/>
      <c r="L17" s="120"/>
      <c r="M17" s="120"/>
      <c r="N17" s="120" t="s">
        <v>85</v>
      </c>
      <c r="O17" s="120"/>
      <c r="P17" s="120"/>
      <c r="Q17" s="120"/>
      <c r="R17" s="120"/>
      <c r="S17" s="120"/>
      <c r="T17" s="141"/>
    </row>
    <row r="18" spans="1:20" ht="13.5" customHeight="1" thickBot="1">
      <c r="A18" s="142"/>
      <c r="B18" s="81"/>
      <c r="C18" s="82"/>
      <c r="D18" s="83" t="s">
        <v>166</v>
      </c>
      <c r="E18" s="84"/>
      <c r="F18" s="122"/>
      <c r="G18" s="122"/>
      <c r="H18" s="122"/>
      <c r="I18" s="122"/>
      <c r="J18" s="122"/>
      <c r="K18" s="122"/>
      <c r="L18" s="122"/>
      <c r="M18" s="122"/>
      <c r="N18" s="122"/>
      <c r="O18" s="122" t="s">
        <v>85</v>
      </c>
      <c r="P18" s="122"/>
      <c r="Q18" s="122"/>
      <c r="R18" s="122"/>
      <c r="S18" s="122"/>
      <c r="T18" s="143"/>
    </row>
    <row r="19" spans="1:20" ht="13.5" customHeight="1" thickTop="1">
      <c r="A19" s="153" t="s">
        <v>66</v>
      </c>
      <c r="B19" s="85" t="s">
        <v>167</v>
      </c>
      <c r="C19" s="86"/>
      <c r="D19" s="87"/>
      <c r="E19" s="88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44"/>
    </row>
    <row r="20" spans="1:20" ht="13.5" customHeight="1">
      <c r="A20" s="152"/>
      <c r="B20" s="89"/>
      <c r="C20" s="90"/>
      <c r="D20" s="91" t="b">
        <v>1</v>
      </c>
      <c r="E20" s="92"/>
      <c r="F20" s="120" t="s">
        <v>85</v>
      </c>
      <c r="G20" s="120" t="s">
        <v>85</v>
      </c>
      <c r="H20" s="120" t="s">
        <v>85</v>
      </c>
      <c r="I20" s="120" t="s">
        <v>85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41"/>
    </row>
    <row r="21" spans="1:20" ht="13.5" customHeight="1">
      <c r="A21" s="152"/>
      <c r="B21" s="89"/>
      <c r="C21" s="124"/>
      <c r="D21" s="91" t="b">
        <v>0</v>
      </c>
      <c r="E21" s="93"/>
      <c r="F21" s="120"/>
      <c r="G21" s="120"/>
      <c r="H21" s="120"/>
      <c r="I21" s="120"/>
      <c r="J21" s="120" t="s">
        <v>85</v>
      </c>
      <c r="K21" s="120" t="s">
        <v>85</v>
      </c>
      <c r="L21" s="120" t="s">
        <v>85</v>
      </c>
      <c r="M21" s="120" t="s">
        <v>85</v>
      </c>
      <c r="N21" s="120" t="s">
        <v>85</v>
      </c>
      <c r="O21" s="120" t="s">
        <v>85</v>
      </c>
      <c r="P21" s="120"/>
      <c r="Q21" s="120"/>
      <c r="R21" s="120"/>
      <c r="S21" s="120"/>
      <c r="T21" s="141"/>
    </row>
    <row r="22" spans="1:20" ht="13.5" customHeight="1">
      <c r="A22" s="152"/>
      <c r="B22" s="89" t="s">
        <v>168</v>
      </c>
      <c r="C22" s="124"/>
      <c r="D22" s="91"/>
      <c r="E22" s="93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41"/>
    </row>
    <row r="23" spans="1:20" ht="13.5" customHeight="1">
      <c r="A23" s="152"/>
      <c r="B23" s="89"/>
      <c r="C23" s="124"/>
      <c r="D23" s="91" t="s">
        <v>169</v>
      </c>
      <c r="E23" s="93"/>
      <c r="F23" s="120" t="s">
        <v>85</v>
      </c>
      <c r="G23" s="120" t="s">
        <v>85</v>
      </c>
      <c r="H23" s="120" t="s">
        <v>85</v>
      </c>
      <c r="I23" s="120" t="s">
        <v>85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41"/>
    </row>
    <row r="24" spans="1:20" ht="13.5" customHeight="1">
      <c r="A24" s="152"/>
      <c r="B24" s="89"/>
      <c r="C24" s="124"/>
      <c r="D24" s="91" t="s">
        <v>170</v>
      </c>
      <c r="E24" s="93"/>
      <c r="F24" s="120"/>
      <c r="G24" s="120"/>
      <c r="H24" s="120"/>
      <c r="I24" s="120"/>
      <c r="J24" s="120" t="s">
        <v>85</v>
      </c>
      <c r="K24" s="120" t="s">
        <v>85</v>
      </c>
      <c r="L24" s="120"/>
      <c r="M24" s="120"/>
      <c r="N24" s="120"/>
      <c r="O24" s="120"/>
      <c r="P24" s="120"/>
      <c r="Q24" s="120"/>
      <c r="R24" s="120"/>
      <c r="S24" s="120"/>
      <c r="T24" s="141"/>
    </row>
    <row r="25" spans="1:20" ht="13.5" customHeight="1">
      <c r="A25" s="152"/>
      <c r="B25" s="89"/>
      <c r="C25" s="124"/>
      <c r="D25" s="91" t="s">
        <v>171</v>
      </c>
      <c r="E25" s="93"/>
      <c r="F25" s="120"/>
      <c r="G25" s="120"/>
      <c r="H25" s="120"/>
      <c r="I25" s="120"/>
      <c r="J25" s="120"/>
      <c r="K25" s="120"/>
      <c r="L25" s="120" t="s">
        <v>85</v>
      </c>
      <c r="M25" s="120" t="s">
        <v>85</v>
      </c>
      <c r="N25" s="120"/>
      <c r="O25" s="120"/>
      <c r="P25" s="120"/>
      <c r="Q25" s="120"/>
      <c r="R25" s="120"/>
      <c r="S25" s="120"/>
      <c r="T25" s="141"/>
    </row>
    <row r="26" spans="1:20" ht="13.5" customHeight="1" thickBot="1">
      <c r="A26" s="152"/>
      <c r="B26" s="133"/>
      <c r="C26" s="134"/>
      <c r="D26" s="135" t="s">
        <v>172</v>
      </c>
      <c r="E26" s="136"/>
      <c r="F26" s="137"/>
      <c r="G26" s="137"/>
      <c r="H26" s="137"/>
      <c r="I26" s="137"/>
      <c r="J26" s="137"/>
      <c r="K26" s="137"/>
      <c r="L26" s="137"/>
      <c r="M26" s="137"/>
      <c r="N26" s="137" t="s">
        <v>85</v>
      </c>
      <c r="O26" s="137" t="s">
        <v>85</v>
      </c>
      <c r="P26" s="137"/>
      <c r="Q26" s="137"/>
      <c r="R26" s="137"/>
      <c r="S26" s="137"/>
      <c r="T26" s="145"/>
    </row>
    <row r="27" spans="1:20" ht="13.5" customHeight="1" thickTop="1">
      <c r="A27" s="153" t="s">
        <v>47</v>
      </c>
      <c r="B27" s="206" t="s">
        <v>48</v>
      </c>
      <c r="C27" s="206"/>
      <c r="D27" s="206"/>
      <c r="E27" s="138"/>
      <c r="F27" s="139" t="s">
        <v>49</v>
      </c>
      <c r="G27" s="139" t="s">
        <v>49</v>
      </c>
      <c r="H27" s="139" t="s">
        <v>49</v>
      </c>
      <c r="I27" s="139" t="s">
        <v>50</v>
      </c>
      <c r="J27" s="139" t="s">
        <v>51</v>
      </c>
      <c r="K27" s="139" t="s">
        <v>51</v>
      </c>
      <c r="L27" s="139" t="s">
        <v>51</v>
      </c>
      <c r="M27" s="139" t="s">
        <v>51</v>
      </c>
      <c r="N27" s="139" t="s">
        <v>51</v>
      </c>
      <c r="O27" s="139" t="s">
        <v>51</v>
      </c>
      <c r="P27" s="139"/>
      <c r="Q27" s="139"/>
      <c r="R27" s="139"/>
      <c r="S27" s="139"/>
      <c r="T27" s="146"/>
    </row>
    <row r="28" spans="1:20" ht="13.5" customHeight="1">
      <c r="A28" s="152"/>
      <c r="B28" s="196" t="s">
        <v>52</v>
      </c>
      <c r="C28" s="196"/>
      <c r="D28" s="196"/>
      <c r="E28" s="94"/>
      <c r="F28" s="125" t="s">
        <v>53</v>
      </c>
      <c r="G28" s="125" t="s">
        <v>53</v>
      </c>
      <c r="H28" s="125" t="s">
        <v>53</v>
      </c>
      <c r="I28" s="125" t="s">
        <v>53</v>
      </c>
      <c r="J28" s="125" t="s">
        <v>53</v>
      </c>
      <c r="K28" s="125" t="s">
        <v>53</v>
      </c>
      <c r="L28" s="125" t="s">
        <v>53</v>
      </c>
      <c r="M28" s="125" t="s">
        <v>53</v>
      </c>
      <c r="N28" s="125" t="s">
        <v>53</v>
      </c>
      <c r="O28" s="125" t="s">
        <v>53</v>
      </c>
      <c r="P28" s="125"/>
      <c r="Q28" s="125"/>
      <c r="R28" s="125"/>
      <c r="S28" s="125"/>
      <c r="T28" s="147"/>
    </row>
    <row r="29" spans="1:20" ht="13.5" customHeight="1">
      <c r="A29" s="152"/>
      <c r="B29" s="204" t="s">
        <v>54</v>
      </c>
      <c r="C29" s="204"/>
      <c r="D29" s="204"/>
      <c r="E29" s="95"/>
      <c r="F29" s="96">
        <v>46244.708333333336</v>
      </c>
      <c r="G29" s="96">
        <v>46244.708333333336</v>
      </c>
      <c r="H29" s="96">
        <v>46244.708333333336</v>
      </c>
      <c r="I29" s="96">
        <v>46244.708333333336</v>
      </c>
      <c r="J29" s="96">
        <v>46244.708333333336</v>
      </c>
      <c r="K29" s="96">
        <v>46244.708333333336</v>
      </c>
      <c r="L29" s="96">
        <v>46244.708333333336</v>
      </c>
      <c r="M29" s="96">
        <v>46244.708333333336</v>
      </c>
      <c r="N29" s="96">
        <v>46244.708333333336</v>
      </c>
      <c r="O29" s="96">
        <v>46244.708333333336</v>
      </c>
      <c r="P29" s="96"/>
      <c r="Q29" s="96"/>
      <c r="R29" s="96"/>
      <c r="S29" s="96"/>
      <c r="T29" s="148"/>
    </row>
    <row r="30" spans="1:20" ht="10.5" thickBot="1">
      <c r="A30" s="158"/>
      <c r="B30" s="205" t="s">
        <v>55</v>
      </c>
      <c r="C30" s="205"/>
      <c r="D30" s="205"/>
      <c r="E30" s="149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1"/>
    </row>
    <row r="31" spans="1:20" ht="10.5" thickTop="1">
      <c r="A31" s="140"/>
    </row>
  </sheetData>
  <mergeCells count="24">
    <mergeCell ref="B28:D28"/>
    <mergeCell ref="B29:D29"/>
    <mergeCell ref="B30:D30"/>
    <mergeCell ref="A5:B5"/>
    <mergeCell ref="C5:E5"/>
    <mergeCell ref="F5:K5"/>
    <mergeCell ref="O5:T5"/>
    <mergeCell ref="D17:E17"/>
    <mergeCell ref="B27:D27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28:T28" xr:uid="{C8FDC845-C972-4017-A398-134C4C7307E0}">
      <formula1>"P,F, "</formula1>
    </dataValidation>
    <dataValidation type="list" allowBlank="1" showInputMessage="1" showErrorMessage="1" sqref="F27:T27" xr:uid="{73D99095-7FE8-4C9F-8F17-C50398A5F261}">
      <formula1>"N,A,B, "</formula1>
    </dataValidation>
    <dataValidation type="list" allowBlank="1" showInputMessage="1" showErrorMessage="1" sqref="F8:T26" xr:uid="{4C7D66DE-D374-4EFF-A9FE-9BF02CE27CB2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FF60-0CD6-4B7C-BC86-424B7737C937}">
  <dimension ref="A1:V30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173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174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175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COUNTIF(F27:HQ27,"P")</f>
        <v>9</v>
      </c>
      <c r="B5" s="200"/>
      <c r="C5" s="197">
        <f>COUNTIF(F27:HQ27,"F")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COUNTIF(E26:HQ26,"N")</f>
        <v>3</v>
      </c>
      <c r="M5" s="128">
        <f>COUNTIF(E26:HQ26,"A")</f>
        <v>6</v>
      </c>
      <c r="N5" s="128">
        <f>COUNTIF(E26:HQ26,"B")</f>
        <v>0</v>
      </c>
      <c r="O5" s="216">
        <f>COUNTA(E7:HT7)</f>
        <v>9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 t="s">
        <v>40</v>
      </c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176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146</v>
      </c>
      <c r="E9" s="78"/>
      <c r="F9" s="120" t="s">
        <v>85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177</v>
      </c>
      <c r="E10" s="78"/>
      <c r="F10" s="120"/>
      <c r="G10" s="120" t="s">
        <v>85</v>
      </c>
      <c r="H10" s="120" t="s">
        <v>85</v>
      </c>
      <c r="I10" s="120"/>
      <c r="J10" s="120"/>
      <c r="K10" s="120"/>
      <c r="L10" s="120" t="s">
        <v>85</v>
      </c>
      <c r="M10" s="120" t="s">
        <v>85</v>
      </c>
      <c r="N10" s="120" t="s">
        <v>85</v>
      </c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178</v>
      </c>
      <c r="E11" s="79"/>
      <c r="F11" s="120"/>
      <c r="G11" s="120"/>
      <c r="H11" s="120"/>
      <c r="I11" s="120" t="s">
        <v>85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179</v>
      </c>
      <c r="E12" s="80"/>
      <c r="F12" s="120"/>
      <c r="G12" s="120"/>
      <c r="H12" s="120"/>
      <c r="I12" s="120"/>
      <c r="J12" s="120" t="s">
        <v>85</v>
      </c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180</v>
      </c>
      <c r="E13" s="80"/>
      <c r="F13" s="120"/>
      <c r="G13" s="120"/>
      <c r="H13" s="120"/>
      <c r="I13" s="120"/>
      <c r="J13" s="120"/>
      <c r="K13" s="120" t="s">
        <v>85</v>
      </c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 t="s">
        <v>181</v>
      </c>
      <c r="C14" s="76"/>
      <c r="D14" s="77"/>
      <c r="E14" s="8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s">
        <v>133</v>
      </c>
      <c r="E15" s="80"/>
      <c r="F15" s="120"/>
      <c r="G15" s="120" t="s">
        <v>85</v>
      </c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/>
      <c r="C16" s="76"/>
      <c r="D16" s="77" t="s">
        <v>182</v>
      </c>
      <c r="E16" s="80"/>
      <c r="F16" s="120" t="s">
        <v>85</v>
      </c>
      <c r="G16" s="120"/>
      <c r="H16" s="120" t="s">
        <v>85</v>
      </c>
      <c r="I16" s="120" t="s">
        <v>85</v>
      </c>
      <c r="J16" s="120" t="s">
        <v>85</v>
      </c>
      <c r="K16" s="120" t="s">
        <v>85</v>
      </c>
      <c r="L16" s="120"/>
      <c r="M16" s="120"/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 t="s">
        <v>183</v>
      </c>
      <c r="E17" s="210"/>
      <c r="F17" s="120"/>
      <c r="G17" s="120"/>
      <c r="H17" s="120"/>
      <c r="I17" s="120"/>
      <c r="J17" s="120"/>
      <c r="K17" s="120"/>
      <c r="L17" s="120" t="s">
        <v>85</v>
      </c>
      <c r="M17" s="120" t="s">
        <v>85</v>
      </c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184</v>
      </c>
      <c r="E18" s="80"/>
      <c r="F18" s="120"/>
      <c r="G18" s="120"/>
      <c r="H18" s="120"/>
      <c r="I18" s="120"/>
      <c r="J18" s="120"/>
      <c r="K18" s="120"/>
      <c r="L18" s="120"/>
      <c r="M18" s="120"/>
      <c r="N18" s="120" t="s">
        <v>85</v>
      </c>
      <c r="O18" s="120"/>
      <c r="P18" s="120"/>
      <c r="Q18" s="120"/>
      <c r="R18" s="120"/>
      <c r="S18" s="120"/>
      <c r="T18" s="141"/>
    </row>
    <row r="19" spans="1:20" ht="13.5" customHeight="1">
      <c r="A19" s="142"/>
      <c r="B19" s="75" t="s">
        <v>185</v>
      </c>
      <c r="C19" s="76"/>
      <c r="D19" s="77"/>
      <c r="E19" s="8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41"/>
    </row>
    <row r="20" spans="1:20" ht="13.5" customHeight="1">
      <c r="A20" s="142"/>
      <c r="B20" s="75"/>
      <c r="C20" s="76"/>
      <c r="D20" s="77" t="s">
        <v>46</v>
      </c>
      <c r="E20" s="80"/>
      <c r="F20" s="120" t="s">
        <v>85</v>
      </c>
      <c r="G20" s="120" t="s">
        <v>85</v>
      </c>
      <c r="H20" s="120" t="s">
        <v>85</v>
      </c>
      <c r="I20" s="120" t="s">
        <v>85</v>
      </c>
      <c r="J20" s="120" t="s">
        <v>85</v>
      </c>
      <c r="K20" s="120" t="s">
        <v>85</v>
      </c>
      <c r="L20" s="120"/>
      <c r="M20" s="120"/>
      <c r="N20" s="120"/>
      <c r="O20" s="120"/>
      <c r="P20" s="120"/>
      <c r="Q20" s="120"/>
      <c r="R20" s="120"/>
      <c r="S20" s="120"/>
      <c r="T20" s="141"/>
    </row>
    <row r="21" spans="1:20" ht="13.5" customHeight="1">
      <c r="A21" s="142"/>
      <c r="B21" s="75"/>
      <c r="C21" s="76"/>
      <c r="D21" s="77" t="s">
        <v>186</v>
      </c>
      <c r="E21" s="80"/>
      <c r="F21" s="120"/>
      <c r="G21" s="120"/>
      <c r="H21" s="120"/>
      <c r="I21" s="120"/>
      <c r="J21" s="120"/>
      <c r="K21" s="120"/>
      <c r="L21" s="120" t="s">
        <v>85</v>
      </c>
      <c r="M21" s="120"/>
      <c r="N21" s="120"/>
      <c r="O21" s="120"/>
      <c r="P21" s="120"/>
      <c r="Q21" s="120"/>
      <c r="R21" s="120"/>
      <c r="S21" s="120"/>
      <c r="T21" s="141"/>
    </row>
    <row r="22" spans="1:20" ht="13.5" customHeight="1" thickBot="1">
      <c r="A22" s="142"/>
      <c r="B22" s="81"/>
      <c r="C22" s="82"/>
      <c r="D22" s="83" t="s">
        <v>187</v>
      </c>
      <c r="E22" s="84"/>
      <c r="F22" s="122"/>
      <c r="G22" s="122"/>
      <c r="H22" s="122"/>
      <c r="I22" s="122"/>
      <c r="J22" s="122"/>
      <c r="K22" s="122"/>
      <c r="L22" s="122"/>
      <c r="M22" s="122" t="s">
        <v>85</v>
      </c>
      <c r="N22" s="122" t="s">
        <v>85</v>
      </c>
      <c r="O22" s="122"/>
      <c r="P22" s="122"/>
      <c r="Q22" s="122"/>
      <c r="R22" s="122"/>
      <c r="S22" s="122"/>
      <c r="T22" s="143"/>
    </row>
    <row r="23" spans="1:20" ht="13.5" customHeight="1" thickTop="1">
      <c r="A23" s="153" t="s">
        <v>66</v>
      </c>
      <c r="B23" s="85" t="s">
        <v>67</v>
      </c>
      <c r="C23" s="86"/>
      <c r="D23" s="87"/>
      <c r="E23" s="88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44"/>
    </row>
    <row r="24" spans="1:20" ht="13.5" customHeight="1">
      <c r="A24" s="152"/>
      <c r="B24" s="89"/>
      <c r="C24" s="90"/>
      <c r="D24" s="91" t="s">
        <v>188</v>
      </c>
      <c r="E24" s="92"/>
      <c r="F24" s="120" t="s">
        <v>85</v>
      </c>
      <c r="G24" s="120" t="s">
        <v>85</v>
      </c>
      <c r="H24" s="120"/>
      <c r="I24" s="120"/>
      <c r="J24" s="120"/>
      <c r="K24" s="120"/>
      <c r="L24" s="120"/>
      <c r="M24" s="120" t="s">
        <v>85</v>
      </c>
      <c r="N24" s="120"/>
      <c r="O24" s="120"/>
      <c r="P24" s="120"/>
      <c r="Q24" s="120"/>
      <c r="R24" s="120"/>
      <c r="S24" s="120"/>
      <c r="T24" s="141"/>
    </row>
    <row r="25" spans="1:20" ht="13.5" customHeight="1" thickBot="1">
      <c r="A25" s="152"/>
      <c r="B25" s="133"/>
      <c r="C25" s="134"/>
      <c r="D25" s="135" t="s">
        <v>189</v>
      </c>
      <c r="E25" s="136"/>
      <c r="F25" s="137"/>
      <c r="G25" s="137"/>
      <c r="H25" s="137" t="s">
        <v>85</v>
      </c>
      <c r="I25" s="137" t="s">
        <v>85</v>
      </c>
      <c r="J25" s="137" t="s">
        <v>85</v>
      </c>
      <c r="K25" s="137" t="s">
        <v>85</v>
      </c>
      <c r="L25" s="137" t="s">
        <v>85</v>
      </c>
      <c r="M25" s="137"/>
      <c r="N25" s="137" t="s">
        <v>85</v>
      </c>
      <c r="O25" s="137"/>
      <c r="P25" s="137"/>
      <c r="Q25" s="137"/>
      <c r="R25" s="137"/>
      <c r="S25" s="137"/>
      <c r="T25" s="145"/>
    </row>
    <row r="26" spans="1:20" ht="13.5" customHeight="1" thickTop="1">
      <c r="A26" s="153" t="s">
        <v>47</v>
      </c>
      <c r="B26" s="206" t="s">
        <v>48</v>
      </c>
      <c r="C26" s="206"/>
      <c r="D26" s="206"/>
      <c r="E26" s="138"/>
      <c r="F26" s="139" t="s">
        <v>49</v>
      </c>
      <c r="G26" s="139" t="s">
        <v>49</v>
      </c>
      <c r="H26" s="139" t="s">
        <v>49</v>
      </c>
      <c r="I26" s="139" t="s">
        <v>51</v>
      </c>
      <c r="J26" s="139" t="s">
        <v>51</v>
      </c>
      <c r="K26" s="139" t="s">
        <v>51</v>
      </c>
      <c r="L26" s="139" t="s">
        <v>51</v>
      </c>
      <c r="M26" s="139" t="s">
        <v>51</v>
      </c>
      <c r="N26" s="139" t="s">
        <v>51</v>
      </c>
      <c r="O26" s="139"/>
      <c r="P26" s="139"/>
      <c r="Q26" s="139"/>
      <c r="R26" s="139"/>
      <c r="S26" s="139"/>
      <c r="T26" s="146"/>
    </row>
    <row r="27" spans="1:20" ht="13.5" customHeight="1">
      <c r="A27" s="152"/>
      <c r="B27" s="196" t="s">
        <v>52</v>
      </c>
      <c r="C27" s="196"/>
      <c r="D27" s="196"/>
      <c r="E27" s="94"/>
      <c r="F27" s="125" t="s">
        <v>53</v>
      </c>
      <c r="G27" s="125" t="s">
        <v>53</v>
      </c>
      <c r="H27" s="125" t="s">
        <v>53</v>
      </c>
      <c r="I27" s="125" t="s">
        <v>53</v>
      </c>
      <c r="J27" s="125" t="s">
        <v>53</v>
      </c>
      <c r="K27" s="125" t="s">
        <v>53</v>
      </c>
      <c r="L27" s="125" t="s">
        <v>53</v>
      </c>
      <c r="M27" s="125" t="s">
        <v>53</v>
      </c>
      <c r="N27" s="125" t="s">
        <v>53</v>
      </c>
      <c r="O27" s="125"/>
      <c r="P27" s="125"/>
      <c r="Q27" s="125"/>
      <c r="R27" s="125"/>
      <c r="S27" s="125"/>
      <c r="T27" s="147"/>
    </row>
    <row r="28" spans="1:20" ht="13.5" customHeight="1">
      <c r="A28" s="152"/>
      <c r="B28" s="204" t="s">
        <v>54</v>
      </c>
      <c r="C28" s="204"/>
      <c r="D28" s="204"/>
      <c r="E28" s="95"/>
      <c r="F28" s="96">
        <v>46244.708333333336</v>
      </c>
      <c r="G28" s="96">
        <v>46244.708333333336</v>
      </c>
      <c r="H28" s="96">
        <v>46244.708333333336</v>
      </c>
      <c r="I28" s="96">
        <v>46244.708333333336</v>
      </c>
      <c r="J28" s="96">
        <v>46244.708333333336</v>
      </c>
      <c r="K28" s="96">
        <v>46244.708333333336</v>
      </c>
      <c r="L28" s="96">
        <v>46244.708333333336</v>
      </c>
      <c r="M28" s="96">
        <v>46244.708333333336</v>
      </c>
      <c r="N28" s="96">
        <v>46244.708333333336</v>
      </c>
      <c r="O28" s="96"/>
      <c r="P28" s="96"/>
      <c r="Q28" s="96"/>
      <c r="R28" s="96"/>
      <c r="S28" s="96"/>
      <c r="T28" s="148"/>
    </row>
    <row r="29" spans="1:20" ht="10.5" thickBot="1">
      <c r="A29" s="158"/>
      <c r="B29" s="205" t="s">
        <v>55</v>
      </c>
      <c r="C29" s="205"/>
      <c r="D29" s="205"/>
      <c r="E29" s="149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1"/>
    </row>
    <row r="30" spans="1:20" ht="10.5" thickTop="1">
      <c r="A30" s="140"/>
    </row>
  </sheetData>
  <mergeCells count="24">
    <mergeCell ref="B27:D27"/>
    <mergeCell ref="B28:D28"/>
    <mergeCell ref="B29:D29"/>
    <mergeCell ref="A5:B5"/>
    <mergeCell ref="C5:E5"/>
    <mergeCell ref="F5:K5"/>
    <mergeCell ref="O5:T5"/>
    <mergeCell ref="D17:E17"/>
    <mergeCell ref="B26:D26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27:T27" xr:uid="{5A8AFBC2-777D-4AC7-8DA7-598B6E745D9C}">
      <formula1>"P,F, "</formula1>
    </dataValidation>
    <dataValidation type="list" allowBlank="1" showInputMessage="1" showErrorMessage="1" sqref="F26:T26" xr:uid="{470697F1-282E-4D68-B611-2B7465B2B3FC}">
      <formula1>"N,A,B, "</formula1>
    </dataValidation>
    <dataValidation type="list" allowBlank="1" showInputMessage="1" showErrorMessage="1" sqref="F8:T25" xr:uid="{555DFAD5-6012-4C44-AD4B-A912D7229981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C9D8-DB22-4C61-9E79-FD37DD5AEE6C}">
  <dimension ref="A1:V27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190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191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192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COUNTIF(F24:HQ24,"P")</f>
        <v>8</v>
      </c>
      <c r="B5" s="200"/>
      <c r="C5" s="197">
        <f>COUNTIF(F24:HQ24,"F")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COUNTIF(E23:HQ23,"N")</f>
        <v>3</v>
      </c>
      <c r="M5" s="128">
        <f>COUNTIF(E23:HQ23,"A")</f>
        <v>4</v>
      </c>
      <c r="N5" s="128">
        <f>COUNTIF(E23:HQ23,"B")</f>
        <v>1</v>
      </c>
      <c r="O5" s="216">
        <f>COUNTA(E7:HT7)</f>
        <v>8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/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193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186</v>
      </c>
      <c r="E9" s="78"/>
      <c r="F9" s="120" t="s">
        <v>85</v>
      </c>
      <c r="G9" s="120" t="s">
        <v>85</v>
      </c>
      <c r="H9" s="120" t="s">
        <v>85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194</v>
      </c>
      <c r="E10" s="78"/>
      <c r="F10" s="120"/>
      <c r="G10" s="120"/>
      <c r="H10" s="120"/>
      <c r="I10" s="120" t="s">
        <v>85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195</v>
      </c>
      <c r="E11" s="79"/>
      <c r="F11" s="120"/>
      <c r="G11" s="120"/>
      <c r="H11" s="120"/>
      <c r="I11" s="120"/>
      <c r="J11" s="120"/>
      <c r="K11" s="120"/>
      <c r="L11" s="120"/>
      <c r="M11" s="120" t="s">
        <v>85</v>
      </c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196</v>
      </c>
      <c r="E12" s="8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187</v>
      </c>
      <c r="E13" s="80"/>
      <c r="F13" s="120"/>
      <c r="G13" s="120"/>
      <c r="H13" s="120"/>
      <c r="I13" s="120"/>
      <c r="J13" s="120" t="s">
        <v>85</v>
      </c>
      <c r="K13" s="120"/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s">
        <v>197</v>
      </c>
      <c r="E14" s="80"/>
      <c r="F14" s="120"/>
      <c r="G14" s="120"/>
      <c r="H14" s="120"/>
      <c r="I14" s="120"/>
      <c r="J14" s="120"/>
      <c r="K14" s="120" t="s">
        <v>85</v>
      </c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s">
        <v>198</v>
      </c>
      <c r="E15" s="80"/>
      <c r="F15" s="120"/>
      <c r="G15" s="120"/>
      <c r="H15" s="120"/>
      <c r="I15" s="120"/>
      <c r="J15" s="120"/>
      <c r="K15" s="120"/>
      <c r="L15" s="120" t="s">
        <v>85</v>
      </c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 t="s">
        <v>199</v>
      </c>
      <c r="C16" s="76"/>
      <c r="D16" s="77"/>
      <c r="E16" s="8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 t="s">
        <v>200</v>
      </c>
      <c r="E17" s="210"/>
      <c r="F17" s="120" t="s">
        <v>85</v>
      </c>
      <c r="G17" s="120"/>
      <c r="H17" s="120"/>
      <c r="I17" s="120" t="s">
        <v>85</v>
      </c>
      <c r="J17" s="120" t="s">
        <v>85</v>
      </c>
      <c r="K17" s="120" t="s">
        <v>85</v>
      </c>
      <c r="L17" s="120" t="s">
        <v>85</v>
      </c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201</v>
      </c>
      <c r="E18" s="80"/>
      <c r="F18" s="120"/>
      <c r="G18" s="120" t="s">
        <v>85</v>
      </c>
      <c r="H18" s="120"/>
      <c r="I18" s="120"/>
      <c r="J18" s="120"/>
      <c r="K18" s="120"/>
      <c r="L18" s="120"/>
      <c r="M18" s="120" t="s">
        <v>85</v>
      </c>
      <c r="N18" s="120"/>
      <c r="O18" s="120"/>
      <c r="P18" s="120"/>
      <c r="Q18" s="120"/>
      <c r="R18" s="120"/>
      <c r="S18" s="120"/>
      <c r="T18" s="141"/>
    </row>
    <row r="19" spans="1:20" ht="13.5" customHeight="1" thickBot="1">
      <c r="A19" s="142"/>
      <c r="B19" s="81"/>
      <c r="C19" s="82"/>
      <c r="D19" s="83" t="s">
        <v>202</v>
      </c>
      <c r="E19" s="84"/>
      <c r="F19" s="122"/>
      <c r="G19" s="122"/>
      <c r="H19" s="122" t="s">
        <v>85</v>
      </c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43"/>
    </row>
    <row r="20" spans="1:20" ht="13.5" customHeight="1" thickTop="1">
      <c r="A20" s="153" t="s">
        <v>66</v>
      </c>
      <c r="B20" s="85" t="s">
        <v>67</v>
      </c>
      <c r="C20" s="86"/>
      <c r="D20" s="87"/>
      <c r="E20" s="88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44"/>
    </row>
    <row r="21" spans="1:20" ht="13.5" customHeight="1">
      <c r="A21" s="152"/>
      <c r="B21" s="89"/>
      <c r="C21" s="90"/>
      <c r="D21" s="91" t="s">
        <v>203</v>
      </c>
      <c r="E21" s="92"/>
      <c r="F21" s="120" t="s">
        <v>85</v>
      </c>
      <c r="G21" s="120"/>
      <c r="H21" s="120"/>
      <c r="I21" s="120" t="s">
        <v>85</v>
      </c>
      <c r="J21" s="120" t="s">
        <v>85</v>
      </c>
      <c r="K21" s="120" t="s">
        <v>85</v>
      </c>
      <c r="L21" s="120" t="s">
        <v>85</v>
      </c>
      <c r="M21" s="120"/>
      <c r="N21" s="120"/>
      <c r="O21" s="120"/>
      <c r="P21" s="120"/>
      <c r="Q21" s="120"/>
      <c r="R21" s="120"/>
      <c r="S21" s="120"/>
      <c r="T21" s="141"/>
    </row>
    <row r="22" spans="1:20" ht="13.5" customHeight="1" thickBot="1">
      <c r="A22" s="152"/>
      <c r="B22" s="133"/>
      <c r="C22" s="134"/>
      <c r="D22" s="135" t="s">
        <v>204</v>
      </c>
      <c r="E22" s="136"/>
      <c r="F22" s="137"/>
      <c r="G22" s="137" t="s">
        <v>85</v>
      </c>
      <c r="H22" s="137" t="s">
        <v>85</v>
      </c>
      <c r="I22" s="137"/>
      <c r="J22" s="137"/>
      <c r="K22" s="137"/>
      <c r="L22" s="137"/>
      <c r="M22" s="137" t="s">
        <v>85</v>
      </c>
      <c r="N22" s="137"/>
      <c r="O22" s="137"/>
      <c r="P22" s="137"/>
      <c r="Q22" s="137"/>
      <c r="R22" s="137"/>
      <c r="S22" s="137"/>
      <c r="T22" s="145"/>
    </row>
    <row r="23" spans="1:20" ht="13.5" customHeight="1" thickTop="1">
      <c r="A23" s="153" t="s">
        <v>47</v>
      </c>
      <c r="B23" s="206" t="s">
        <v>48</v>
      </c>
      <c r="C23" s="206"/>
      <c r="D23" s="206"/>
      <c r="E23" s="138"/>
      <c r="F23" s="139" t="s">
        <v>49</v>
      </c>
      <c r="G23" s="139" t="s">
        <v>51</v>
      </c>
      <c r="H23" s="139" t="s">
        <v>50</v>
      </c>
      <c r="I23" s="139" t="s">
        <v>49</v>
      </c>
      <c r="J23" s="139" t="s">
        <v>49</v>
      </c>
      <c r="K23" s="139" t="s">
        <v>51</v>
      </c>
      <c r="L23" s="139" t="s">
        <v>51</v>
      </c>
      <c r="M23" s="139" t="s">
        <v>51</v>
      </c>
      <c r="N23" s="139"/>
      <c r="O23" s="139"/>
      <c r="P23" s="139"/>
      <c r="Q23" s="139"/>
      <c r="R23" s="139"/>
      <c r="S23" s="139"/>
      <c r="T23" s="146"/>
    </row>
    <row r="24" spans="1:20" ht="13.5" customHeight="1">
      <c r="A24" s="152"/>
      <c r="B24" s="196" t="s">
        <v>52</v>
      </c>
      <c r="C24" s="196"/>
      <c r="D24" s="196"/>
      <c r="E24" s="94"/>
      <c r="F24" s="125" t="s">
        <v>53</v>
      </c>
      <c r="G24" s="125" t="s">
        <v>53</v>
      </c>
      <c r="H24" s="125" t="s">
        <v>53</v>
      </c>
      <c r="I24" s="125" t="s">
        <v>53</v>
      </c>
      <c r="J24" s="125" t="s">
        <v>53</v>
      </c>
      <c r="K24" s="125" t="s">
        <v>53</v>
      </c>
      <c r="L24" s="125" t="s">
        <v>53</v>
      </c>
      <c r="M24" s="125" t="s">
        <v>53</v>
      </c>
      <c r="N24" s="125"/>
      <c r="O24" s="125"/>
      <c r="P24" s="125"/>
      <c r="Q24" s="125"/>
      <c r="R24" s="125"/>
      <c r="S24" s="125"/>
      <c r="T24" s="147"/>
    </row>
    <row r="25" spans="1:20" ht="13.5" customHeight="1">
      <c r="A25" s="152"/>
      <c r="B25" s="204" t="s">
        <v>54</v>
      </c>
      <c r="C25" s="204"/>
      <c r="D25" s="204"/>
      <c r="E25" s="95"/>
      <c r="F25" s="96">
        <v>46244.708333333336</v>
      </c>
      <c r="G25" s="96">
        <v>46244.708333333336</v>
      </c>
      <c r="H25" s="96">
        <v>46244.708333333336</v>
      </c>
      <c r="I25" s="96">
        <v>46244.708333333336</v>
      </c>
      <c r="J25" s="96">
        <v>46244.708333333336</v>
      </c>
      <c r="K25" s="96">
        <v>46244.708333333336</v>
      </c>
      <c r="L25" s="96">
        <v>46244.708333333336</v>
      </c>
      <c r="M25" s="96">
        <v>46244.708333333336</v>
      </c>
      <c r="N25" s="96"/>
      <c r="O25" s="96"/>
      <c r="P25" s="96"/>
      <c r="Q25" s="96"/>
      <c r="R25" s="96"/>
      <c r="S25" s="96"/>
      <c r="T25" s="148"/>
    </row>
    <row r="26" spans="1:20" ht="10.5" thickBot="1">
      <c r="A26" s="158"/>
      <c r="B26" s="205" t="s">
        <v>55</v>
      </c>
      <c r="C26" s="205"/>
      <c r="D26" s="205"/>
      <c r="E26" s="149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1"/>
    </row>
    <row r="27" spans="1:20" ht="10.5" thickTop="1">
      <c r="A27" s="140"/>
    </row>
  </sheetData>
  <mergeCells count="24">
    <mergeCell ref="B24:D24"/>
    <mergeCell ref="B25:D25"/>
    <mergeCell ref="B26:D26"/>
    <mergeCell ref="A5:B5"/>
    <mergeCell ref="C5:E5"/>
    <mergeCell ref="F5:K5"/>
    <mergeCell ref="O5:T5"/>
    <mergeCell ref="D17:E17"/>
    <mergeCell ref="B23:D23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24:T24" xr:uid="{D34F7BE6-23F7-4AE7-A06F-5842004F2DCD}">
      <formula1>"P,F, "</formula1>
    </dataValidation>
    <dataValidation type="list" allowBlank="1" showInputMessage="1" showErrorMessage="1" sqref="F23:T23" xr:uid="{2D76A5A9-5806-4946-98C2-E1E2DAA1EAB3}">
      <formula1>"N,A,B, "</formula1>
    </dataValidation>
    <dataValidation type="list" allowBlank="1" showInputMessage="1" showErrorMessage="1" sqref="F8:T22" xr:uid="{4FA123D0-68CC-407D-8A58-72608AB8C2EB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4BC2-A475-4070-A7F4-DB7588C8075E}">
  <dimension ref="A1:V33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205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206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207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COUNTIF(F30:HQ30,"P")</f>
        <v>10</v>
      </c>
      <c r="B5" s="200"/>
      <c r="C5" s="197">
        <f>COUNTIF(F30:HQ30,"F")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COUNTIF(E29:HQ29,"N")</f>
        <v>7</v>
      </c>
      <c r="M5" s="128">
        <f>COUNTIF(E29:HQ29,"A")</f>
        <v>1</v>
      </c>
      <c r="N5" s="128">
        <f>COUNTIF(E29:HQ29,"B")</f>
        <v>2</v>
      </c>
      <c r="O5" s="216">
        <f>COUNTA(E7:HT7)</f>
        <v>10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 t="s">
        <v>40</v>
      </c>
      <c r="O7" s="163" t="s">
        <v>41</v>
      </c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208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209</v>
      </c>
      <c r="E9" s="78"/>
      <c r="F9" s="120" t="s">
        <v>85</v>
      </c>
      <c r="G9" s="120" t="s">
        <v>85</v>
      </c>
      <c r="H9" s="120" t="s">
        <v>85</v>
      </c>
      <c r="I9" s="120" t="s">
        <v>85</v>
      </c>
      <c r="J9" s="120" t="s">
        <v>85</v>
      </c>
      <c r="K9" s="120" t="s">
        <v>85</v>
      </c>
      <c r="L9" s="120" t="s">
        <v>85</v>
      </c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210</v>
      </c>
      <c r="E10" s="78"/>
      <c r="F10" s="120"/>
      <c r="G10" s="120"/>
      <c r="H10" s="120"/>
      <c r="I10" s="120"/>
      <c r="J10" s="120"/>
      <c r="K10" s="120"/>
      <c r="L10" s="120"/>
      <c r="M10" s="120" t="s">
        <v>85</v>
      </c>
      <c r="N10" s="120" t="s">
        <v>85</v>
      </c>
      <c r="O10" s="120" t="s">
        <v>85</v>
      </c>
      <c r="P10" s="120"/>
      <c r="Q10" s="120"/>
      <c r="R10" s="120"/>
      <c r="S10" s="120"/>
      <c r="T10" s="141"/>
    </row>
    <row r="11" spans="1:22" ht="13.5" customHeight="1">
      <c r="A11" s="142"/>
      <c r="B11" s="75" t="s">
        <v>211</v>
      </c>
      <c r="C11" s="76"/>
      <c r="D11" s="77"/>
      <c r="E11" s="79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212</v>
      </c>
      <c r="E12" s="80"/>
      <c r="F12" s="120" t="s">
        <v>85</v>
      </c>
      <c r="G12" s="120"/>
      <c r="H12" s="120"/>
      <c r="I12" s="120"/>
      <c r="J12" s="120"/>
      <c r="K12" s="120"/>
      <c r="L12" s="120"/>
      <c r="M12" s="120"/>
      <c r="N12" s="120"/>
      <c r="O12" s="120" t="s">
        <v>85</v>
      </c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213</v>
      </c>
      <c r="E13" s="80"/>
      <c r="F13" s="120"/>
      <c r="G13" s="120" t="s">
        <v>85</v>
      </c>
      <c r="H13" s="120"/>
      <c r="I13" s="120"/>
      <c r="J13" s="120"/>
      <c r="K13" s="120"/>
      <c r="L13" s="120"/>
      <c r="M13" s="120" t="s">
        <v>85</v>
      </c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s">
        <v>214</v>
      </c>
      <c r="E14" s="80"/>
      <c r="F14" s="120"/>
      <c r="G14" s="120"/>
      <c r="H14" s="120" t="s">
        <v>85</v>
      </c>
      <c r="I14" s="120"/>
      <c r="J14" s="120" t="s">
        <v>85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s">
        <v>215</v>
      </c>
      <c r="E15" s="80"/>
      <c r="F15" s="120"/>
      <c r="G15" s="120"/>
      <c r="H15" s="120"/>
      <c r="I15" s="120" t="s">
        <v>85</v>
      </c>
      <c r="J15" s="120"/>
      <c r="K15" s="120" t="s">
        <v>85</v>
      </c>
      <c r="L15" s="120"/>
      <c r="M15" s="120"/>
      <c r="N15" s="120" t="s">
        <v>85</v>
      </c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/>
      <c r="C16" s="76"/>
      <c r="D16" s="77" t="s">
        <v>216</v>
      </c>
      <c r="E16" s="80"/>
      <c r="F16" s="120"/>
      <c r="G16" s="120"/>
      <c r="H16" s="120"/>
      <c r="I16" s="120"/>
      <c r="J16" s="120"/>
      <c r="K16" s="120"/>
      <c r="L16" s="120" t="s">
        <v>85</v>
      </c>
      <c r="M16" s="120"/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 t="s">
        <v>217</v>
      </c>
      <c r="C17" s="76"/>
      <c r="D17" s="210"/>
      <c r="E17" s="21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218</v>
      </c>
      <c r="E18" s="80"/>
      <c r="F18" s="120" t="s">
        <v>85</v>
      </c>
      <c r="G18" s="120" t="s">
        <v>85</v>
      </c>
      <c r="H18" s="120" t="s">
        <v>85</v>
      </c>
      <c r="I18" s="120" t="s">
        <v>85</v>
      </c>
      <c r="J18" s="120"/>
      <c r="K18" s="120"/>
      <c r="L18" s="120" t="s">
        <v>85</v>
      </c>
      <c r="M18" s="120" t="s">
        <v>85</v>
      </c>
      <c r="N18" s="120" t="s">
        <v>85</v>
      </c>
      <c r="O18" s="120" t="s">
        <v>85</v>
      </c>
      <c r="P18" s="120"/>
      <c r="Q18" s="120"/>
      <c r="R18" s="120"/>
      <c r="S18" s="120"/>
      <c r="T18" s="141"/>
    </row>
    <row r="19" spans="1:20" ht="13.5" customHeight="1">
      <c r="A19" s="142"/>
      <c r="B19" s="75"/>
      <c r="C19" s="76"/>
      <c r="D19" s="77" t="s">
        <v>219</v>
      </c>
      <c r="E19" s="80"/>
      <c r="F19" s="120"/>
      <c r="G19" s="120"/>
      <c r="H19" s="120"/>
      <c r="I19" s="120"/>
      <c r="J19" s="120" t="s">
        <v>85</v>
      </c>
      <c r="K19" s="120"/>
      <c r="L19" s="120"/>
      <c r="M19" s="120"/>
      <c r="N19" s="120"/>
      <c r="O19" s="120"/>
      <c r="P19" s="120"/>
      <c r="Q19" s="120"/>
      <c r="R19" s="120"/>
      <c r="S19" s="120"/>
      <c r="T19" s="141"/>
    </row>
    <row r="20" spans="1:20" ht="13.5" customHeight="1" thickBot="1">
      <c r="A20" s="142"/>
      <c r="B20" s="81"/>
      <c r="C20" s="82"/>
      <c r="D20" s="83" t="s">
        <v>220</v>
      </c>
      <c r="E20" s="84"/>
      <c r="F20" s="122"/>
      <c r="G20" s="122"/>
      <c r="H20" s="122"/>
      <c r="I20" s="122"/>
      <c r="J20" s="122"/>
      <c r="K20" s="122" t="s">
        <v>85</v>
      </c>
      <c r="L20" s="122"/>
      <c r="M20" s="122"/>
      <c r="N20" s="122"/>
      <c r="O20" s="122"/>
      <c r="P20" s="122"/>
      <c r="Q20" s="122"/>
      <c r="R20" s="122"/>
      <c r="S20" s="122"/>
      <c r="T20" s="143"/>
    </row>
    <row r="21" spans="1:20" ht="13.5" customHeight="1" thickTop="1">
      <c r="A21" s="153" t="s">
        <v>66</v>
      </c>
      <c r="B21" s="85" t="s">
        <v>67</v>
      </c>
      <c r="C21" s="86"/>
      <c r="D21" s="87"/>
      <c r="E21" s="88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44"/>
    </row>
    <row r="22" spans="1:20" ht="13.5" customHeight="1">
      <c r="A22" s="152"/>
      <c r="B22" s="89"/>
      <c r="C22" s="90"/>
      <c r="D22" s="91" t="s">
        <v>221</v>
      </c>
      <c r="E22" s="92"/>
      <c r="F22" s="120" t="s">
        <v>85</v>
      </c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41"/>
    </row>
    <row r="23" spans="1:20" ht="13.5" customHeight="1">
      <c r="A23" s="152"/>
      <c r="B23" s="89"/>
      <c r="C23" s="124"/>
      <c r="D23" s="91" t="s">
        <v>222</v>
      </c>
      <c r="E23" s="93"/>
      <c r="F23" s="120"/>
      <c r="G23" s="120" t="s">
        <v>85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41"/>
    </row>
    <row r="24" spans="1:20" ht="13.5" customHeight="1">
      <c r="A24" s="152"/>
      <c r="B24" s="89"/>
      <c r="C24" s="124"/>
      <c r="D24" s="91" t="s">
        <v>223</v>
      </c>
      <c r="E24" s="93"/>
      <c r="F24" s="120"/>
      <c r="G24" s="120"/>
      <c r="H24" s="120" t="s">
        <v>85</v>
      </c>
      <c r="I24" s="120"/>
      <c r="J24" s="120" t="s">
        <v>85</v>
      </c>
      <c r="K24" s="120"/>
      <c r="L24" s="120"/>
      <c r="M24" s="120"/>
      <c r="N24" s="120"/>
      <c r="O24" s="120"/>
      <c r="P24" s="120"/>
      <c r="Q24" s="120"/>
      <c r="R24" s="120"/>
      <c r="S24" s="120"/>
      <c r="T24" s="141"/>
    </row>
    <row r="25" spans="1:20" ht="13.5" customHeight="1">
      <c r="A25" s="152"/>
      <c r="B25" s="89"/>
      <c r="C25" s="124"/>
      <c r="D25" s="91" t="s">
        <v>224</v>
      </c>
      <c r="E25" s="93"/>
      <c r="F25" s="120"/>
      <c r="G25" s="120"/>
      <c r="H25" s="120"/>
      <c r="I25" s="120" t="s">
        <v>85</v>
      </c>
      <c r="J25" s="120"/>
      <c r="K25" s="120" t="s">
        <v>85</v>
      </c>
      <c r="L25" s="120"/>
      <c r="M25" s="120"/>
      <c r="N25" s="120"/>
      <c r="O25" s="120"/>
      <c r="P25" s="120"/>
      <c r="Q25" s="120"/>
      <c r="R25" s="120"/>
      <c r="S25" s="120"/>
      <c r="T25" s="141"/>
    </row>
    <row r="26" spans="1:20" ht="13.5" customHeight="1">
      <c r="A26" s="152"/>
      <c r="B26" s="89"/>
      <c r="C26" s="124"/>
      <c r="D26" s="91" t="s">
        <v>225</v>
      </c>
      <c r="E26" s="93"/>
      <c r="F26" s="120"/>
      <c r="G26" s="120"/>
      <c r="H26" s="120"/>
      <c r="I26" s="120"/>
      <c r="J26" s="120"/>
      <c r="K26" s="120"/>
      <c r="L26" s="120"/>
      <c r="M26" s="120" t="s">
        <v>85</v>
      </c>
      <c r="N26" s="120" t="s">
        <v>85</v>
      </c>
      <c r="O26" s="120" t="s">
        <v>85</v>
      </c>
      <c r="P26" s="120"/>
      <c r="Q26" s="120"/>
      <c r="R26" s="120"/>
      <c r="S26" s="120"/>
      <c r="T26" s="141"/>
    </row>
    <row r="27" spans="1:20" ht="13.5" customHeight="1">
      <c r="A27" s="152"/>
      <c r="B27" s="89" t="s">
        <v>68</v>
      </c>
      <c r="C27" s="124"/>
      <c r="D27" s="91"/>
      <c r="E27" s="93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41"/>
    </row>
    <row r="28" spans="1:20" ht="13.5" customHeight="1" thickBot="1">
      <c r="A28" s="152"/>
      <c r="B28" s="133"/>
      <c r="C28" s="134"/>
      <c r="D28" s="135" t="s">
        <v>226</v>
      </c>
      <c r="E28" s="136"/>
      <c r="F28" s="137"/>
      <c r="G28" s="137"/>
      <c r="H28" s="137"/>
      <c r="I28" s="137"/>
      <c r="J28" s="137"/>
      <c r="K28" s="137"/>
      <c r="L28" s="137" t="s">
        <v>85</v>
      </c>
      <c r="M28" s="137"/>
      <c r="N28" s="137"/>
      <c r="O28" s="137"/>
      <c r="P28" s="137"/>
      <c r="Q28" s="137"/>
      <c r="R28" s="137"/>
      <c r="S28" s="137"/>
      <c r="T28" s="145"/>
    </row>
    <row r="29" spans="1:20" ht="13.5" customHeight="1" thickTop="1">
      <c r="A29" s="153" t="s">
        <v>47</v>
      </c>
      <c r="B29" s="206" t="s">
        <v>48</v>
      </c>
      <c r="C29" s="206"/>
      <c r="D29" s="206"/>
      <c r="E29" s="138"/>
      <c r="F29" s="139" t="s">
        <v>49</v>
      </c>
      <c r="G29" s="139" t="s">
        <v>49</v>
      </c>
      <c r="H29" s="139" t="s">
        <v>49</v>
      </c>
      <c r="I29" s="139" t="s">
        <v>49</v>
      </c>
      <c r="J29" s="139" t="s">
        <v>50</v>
      </c>
      <c r="K29" s="139" t="s">
        <v>50</v>
      </c>
      <c r="L29" s="139" t="s">
        <v>51</v>
      </c>
      <c r="M29" s="139" t="s">
        <v>49</v>
      </c>
      <c r="N29" s="139" t="s">
        <v>49</v>
      </c>
      <c r="O29" s="139" t="s">
        <v>49</v>
      </c>
      <c r="P29" s="139"/>
      <c r="Q29" s="139"/>
      <c r="R29" s="139"/>
      <c r="S29" s="139"/>
      <c r="T29" s="146"/>
    </row>
    <row r="30" spans="1:20" ht="13.5" customHeight="1">
      <c r="A30" s="152"/>
      <c r="B30" s="196" t="s">
        <v>52</v>
      </c>
      <c r="C30" s="196"/>
      <c r="D30" s="196"/>
      <c r="E30" s="94"/>
      <c r="F30" s="125" t="s">
        <v>53</v>
      </c>
      <c r="G30" s="125" t="s">
        <v>53</v>
      </c>
      <c r="H30" s="125" t="s">
        <v>53</v>
      </c>
      <c r="I30" s="125" t="s">
        <v>53</v>
      </c>
      <c r="J30" s="125" t="s">
        <v>53</v>
      </c>
      <c r="K30" s="125" t="s">
        <v>53</v>
      </c>
      <c r="L30" s="125" t="s">
        <v>53</v>
      </c>
      <c r="M30" s="125" t="s">
        <v>53</v>
      </c>
      <c r="N30" s="125" t="s">
        <v>53</v>
      </c>
      <c r="O30" s="125" t="s">
        <v>53</v>
      </c>
      <c r="P30" s="125"/>
      <c r="Q30" s="125"/>
      <c r="R30" s="125"/>
      <c r="S30" s="125"/>
      <c r="T30" s="147"/>
    </row>
    <row r="31" spans="1:20" ht="13.5" customHeight="1">
      <c r="A31" s="152"/>
      <c r="B31" s="204" t="s">
        <v>54</v>
      </c>
      <c r="C31" s="204"/>
      <c r="D31" s="204"/>
      <c r="E31" s="95"/>
      <c r="F31" s="96">
        <v>46244.708333333336</v>
      </c>
      <c r="G31" s="96">
        <v>46244.708333333336</v>
      </c>
      <c r="H31" s="96">
        <v>46244.708333333336</v>
      </c>
      <c r="I31" s="96">
        <v>46244.708333333336</v>
      </c>
      <c r="J31" s="96">
        <v>46244.708333333336</v>
      </c>
      <c r="K31" s="96">
        <v>46244.708333333336</v>
      </c>
      <c r="L31" s="96">
        <v>46244.708333333336</v>
      </c>
      <c r="M31" s="96">
        <v>46244.708333333336</v>
      </c>
      <c r="N31" s="96">
        <v>46244.708333333336</v>
      </c>
      <c r="O31" s="96">
        <v>46244.708333333336</v>
      </c>
      <c r="P31" s="96"/>
      <c r="Q31" s="96"/>
      <c r="R31" s="96"/>
      <c r="S31" s="96"/>
      <c r="T31" s="148"/>
    </row>
    <row r="32" spans="1:20" ht="10.5" thickBot="1">
      <c r="A32" s="158"/>
      <c r="B32" s="205" t="s">
        <v>55</v>
      </c>
      <c r="C32" s="205"/>
      <c r="D32" s="205"/>
      <c r="E32" s="149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1"/>
    </row>
    <row r="33" spans="1:1" ht="10.5" thickTop="1">
      <c r="A33" s="140"/>
    </row>
  </sheetData>
  <mergeCells count="24">
    <mergeCell ref="B30:D30"/>
    <mergeCell ref="B31:D31"/>
    <mergeCell ref="B32:D32"/>
    <mergeCell ref="A5:B5"/>
    <mergeCell ref="C5:E5"/>
    <mergeCell ref="F5:K5"/>
    <mergeCell ref="O5:T5"/>
    <mergeCell ref="D17:E17"/>
    <mergeCell ref="B29:D29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30:T30" xr:uid="{9FBAFEE9-76F5-45BB-8F45-EF83C8F62505}">
      <formula1>"P,F, "</formula1>
    </dataValidation>
    <dataValidation type="list" allowBlank="1" showInputMessage="1" showErrorMessage="1" sqref="F29:T29" xr:uid="{18FF30E9-1C5D-48B9-B41F-D7597542FC3F}">
      <formula1>"N,A,B, "</formula1>
    </dataValidation>
    <dataValidation type="list" allowBlank="1" showInputMessage="1" showErrorMessage="1" sqref="F8:T28" xr:uid="{B24DC799-2B07-43F0-A44E-6DC0E5DE2017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C7BB-380D-47C2-B1F5-B0A5B9670D61}">
  <dimension ref="A1:V34"/>
  <sheetViews>
    <sheetView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227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228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229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COUNTIF(F31:HQ31,"P")</f>
        <v>8</v>
      </c>
      <c r="B5" s="200"/>
      <c r="C5" s="197">
        <f>COUNTIF(F31:HQ31,"F")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COUNTIF(E30:HQ30,"N")</f>
        <v>1</v>
      </c>
      <c r="M5" s="128">
        <f>COUNTIF(E30:HQ30,"A")</f>
        <v>6</v>
      </c>
      <c r="N5" s="128">
        <f>COUNTIF(E30:HQ30,"B")</f>
        <v>1</v>
      </c>
      <c r="O5" s="216">
        <f>COUNTA(E7:HT7)</f>
        <v>8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/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230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231</v>
      </c>
      <c r="E9" s="78"/>
      <c r="F9" s="120" t="s">
        <v>85</v>
      </c>
      <c r="G9" s="120" t="s">
        <v>85</v>
      </c>
      <c r="H9" s="120" t="s">
        <v>85</v>
      </c>
      <c r="I9" s="120" t="s">
        <v>85</v>
      </c>
      <c r="J9" s="120" t="s">
        <v>85</v>
      </c>
      <c r="K9" s="120"/>
      <c r="L9" s="120" t="s">
        <v>85</v>
      </c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232</v>
      </c>
      <c r="E10" s="78"/>
      <c r="F10" s="120"/>
      <c r="G10" s="120"/>
      <c r="H10" s="120"/>
      <c r="I10" s="120"/>
      <c r="J10" s="120"/>
      <c r="K10" s="120" t="s">
        <v>85</v>
      </c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233</v>
      </c>
      <c r="E11" s="79"/>
      <c r="F11" s="120"/>
      <c r="G11" s="120"/>
      <c r="H11" s="120"/>
      <c r="I11" s="120"/>
      <c r="J11" s="120"/>
      <c r="K11" s="120"/>
      <c r="L11" s="120"/>
      <c r="M11" s="120" t="s">
        <v>85</v>
      </c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 t="s">
        <v>234</v>
      </c>
      <c r="C12" s="76"/>
      <c r="D12" s="77"/>
      <c r="E12" s="8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/>
      <c r="C13" s="76"/>
      <c r="D13" s="77" t="s">
        <v>235</v>
      </c>
      <c r="E13" s="80"/>
      <c r="F13" s="120" t="s">
        <v>85</v>
      </c>
      <c r="G13" s="120" t="s">
        <v>85</v>
      </c>
      <c r="H13" s="120" t="s">
        <v>85</v>
      </c>
      <c r="I13" s="120" t="s">
        <v>85</v>
      </c>
      <c r="J13" s="120"/>
      <c r="K13" s="120" t="s">
        <v>85</v>
      </c>
      <c r="L13" s="120" t="s">
        <v>85</v>
      </c>
      <c r="M13" s="120" t="s">
        <v>85</v>
      </c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s">
        <v>236</v>
      </c>
      <c r="E14" s="80"/>
      <c r="F14" s="120"/>
      <c r="G14" s="120"/>
      <c r="H14" s="120"/>
      <c r="I14" s="120"/>
      <c r="J14" s="120" t="s">
        <v>85</v>
      </c>
      <c r="K14" s="120"/>
      <c r="L14" s="120"/>
      <c r="M14" s="120"/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 t="s">
        <v>237</v>
      </c>
      <c r="C15" s="76"/>
      <c r="D15" s="77"/>
      <c r="E15" s="8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/>
      <c r="C16" s="76"/>
      <c r="D16" s="77" t="s">
        <v>238</v>
      </c>
      <c r="E16" s="80"/>
      <c r="F16" s="120" t="s">
        <v>85</v>
      </c>
      <c r="G16" s="120"/>
      <c r="H16" s="120"/>
      <c r="I16" s="120"/>
      <c r="J16" s="120" t="s">
        <v>85</v>
      </c>
      <c r="K16" s="120" t="s">
        <v>85</v>
      </c>
      <c r="L16" s="120" t="s">
        <v>85</v>
      </c>
      <c r="M16" s="120" t="s">
        <v>85</v>
      </c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 t="s">
        <v>239</v>
      </c>
      <c r="E17" s="210"/>
      <c r="F17" s="120"/>
      <c r="G17" s="120" t="s">
        <v>85</v>
      </c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240</v>
      </c>
      <c r="E18" s="80"/>
      <c r="F18" s="120"/>
      <c r="G18" s="120"/>
      <c r="H18" s="120" t="s">
        <v>85</v>
      </c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41"/>
    </row>
    <row r="19" spans="1:20" ht="13.5" customHeight="1">
      <c r="A19" s="142"/>
      <c r="B19" s="75"/>
      <c r="C19" s="76"/>
      <c r="D19" s="77" t="s">
        <v>241</v>
      </c>
      <c r="E19" s="80"/>
      <c r="F19" s="120"/>
      <c r="G19" s="120"/>
      <c r="H19" s="120"/>
      <c r="I19" s="120" t="s">
        <v>85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41"/>
    </row>
    <row r="20" spans="1:20" ht="13.5" customHeight="1">
      <c r="A20" s="142"/>
      <c r="B20" s="75" t="s">
        <v>242</v>
      </c>
      <c r="C20" s="76"/>
      <c r="D20" s="77"/>
      <c r="E20" s="8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41"/>
    </row>
    <row r="21" spans="1:20" ht="13.5" customHeight="1">
      <c r="A21" s="142"/>
      <c r="B21" s="75"/>
      <c r="C21" s="76"/>
      <c r="D21" s="77" t="s">
        <v>243</v>
      </c>
      <c r="E21" s="80"/>
      <c r="F21" s="120" t="s">
        <v>85</v>
      </c>
      <c r="G21" s="120" t="s">
        <v>85</v>
      </c>
      <c r="H21" s="120" t="s">
        <v>85</v>
      </c>
      <c r="I21" s="120" t="s">
        <v>85</v>
      </c>
      <c r="J21" s="120" t="s">
        <v>85</v>
      </c>
      <c r="K21" s="120" t="s">
        <v>85</v>
      </c>
      <c r="L21" s="120"/>
      <c r="M21" s="120" t="s">
        <v>85</v>
      </c>
      <c r="N21" s="120"/>
      <c r="O21" s="120"/>
      <c r="P21" s="120"/>
      <c r="Q21" s="120"/>
      <c r="R21" s="120"/>
      <c r="S21" s="120"/>
      <c r="T21" s="141"/>
    </row>
    <row r="22" spans="1:20" ht="13.5" customHeight="1" thickBot="1">
      <c r="A22" s="142"/>
      <c r="B22" s="81"/>
      <c r="C22" s="82"/>
      <c r="D22" s="83" t="s">
        <v>244</v>
      </c>
      <c r="E22" s="84"/>
      <c r="F22" s="122"/>
      <c r="G22" s="122"/>
      <c r="H22" s="122"/>
      <c r="I22" s="122"/>
      <c r="J22" s="122"/>
      <c r="K22" s="122"/>
      <c r="L22" s="122" t="s">
        <v>85</v>
      </c>
      <c r="M22" s="122"/>
      <c r="N22" s="122"/>
      <c r="O22" s="122"/>
      <c r="P22" s="122"/>
      <c r="Q22" s="122"/>
      <c r="R22" s="122"/>
      <c r="S22" s="122"/>
      <c r="T22" s="143"/>
    </row>
    <row r="23" spans="1:20" ht="13.5" customHeight="1" thickTop="1">
      <c r="A23" s="153" t="s">
        <v>66</v>
      </c>
      <c r="B23" s="85" t="s">
        <v>245</v>
      </c>
      <c r="C23" s="86"/>
      <c r="D23" s="87"/>
      <c r="E23" s="88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44"/>
    </row>
    <row r="24" spans="1:20" ht="13.5" customHeight="1">
      <c r="A24" s="152"/>
      <c r="B24" s="89"/>
      <c r="C24" s="90"/>
      <c r="D24" s="91" t="b">
        <v>1</v>
      </c>
      <c r="E24" s="92"/>
      <c r="F24" s="120" t="s">
        <v>85</v>
      </c>
      <c r="G24" s="120" t="s">
        <v>85</v>
      </c>
      <c r="H24" s="120"/>
      <c r="I24" s="120"/>
      <c r="J24" s="120"/>
      <c r="K24" s="120"/>
      <c r="L24" s="120" t="s">
        <v>85</v>
      </c>
      <c r="M24" s="120"/>
      <c r="N24" s="120"/>
      <c r="O24" s="120"/>
      <c r="P24" s="120"/>
      <c r="Q24" s="120"/>
      <c r="R24" s="120"/>
      <c r="S24" s="120"/>
      <c r="T24" s="141"/>
    </row>
    <row r="25" spans="1:20" ht="13.5" customHeight="1">
      <c r="A25" s="152"/>
      <c r="B25" s="89"/>
      <c r="C25" s="124"/>
      <c r="D25" s="91" t="b">
        <v>0</v>
      </c>
      <c r="E25" s="93"/>
      <c r="F25" s="120"/>
      <c r="G25" s="120"/>
      <c r="H25" s="120" t="s">
        <v>85</v>
      </c>
      <c r="I25" s="120" t="s">
        <v>85</v>
      </c>
      <c r="J25" s="120" t="s">
        <v>85</v>
      </c>
      <c r="K25" s="120" t="s">
        <v>85</v>
      </c>
      <c r="L25" s="120"/>
      <c r="M25" s="120" t="s">
        <v>85</v>
      </c>
      <c r="N25" s="120"/>
      <c r="O25" s="120"/>
      <c r="P25" s="120"/>
      <c r="Q25" s="120"/>
      <c r="R25" s="120"/>
      <c r="S25" s="120"/>
      <c r="T25" s="141"/>
    </row>
    <row r="26" spans="1:20" ht="13.5" customHeight="1">
      <c r="A26" s="152"/>
      <c r="B26" s="89" t="s">
        <v>246</v>
      </c>
      <c r="C26" s="124"/>
      <c r="D26" s="91"/>
      <c r="E26" s="93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41"/>
    </row>
    <row r="27" spans="1:20" ht="13.5" customHeight="1">
      <c r="A27" s="152"/>
      <c r="B27" s="89"/>
      <c r="C27" s="124"/>
      <c r="D27" s="91" t="s">
        <v>247</v>
      </c>
      <c r="E27" s="93"/>
      <c r="F27" s="120" t="s">
        <v>85</v>
      </c>
      <c r="G27" s="120" t="s">
        <v>85</v>
      </c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41"/>
    </row>
    <row r="28" spans="1:20" ht="13.5" customHeight="1">
      <c r="A28" s="152"/>
      <c r="B28" s="89"/>
      <c r="C28" s="124"/>
      <c r="D28" s="91" t="s">
        <v>248</v>
      </c>
      <c r="E28" s="93"/>
      <c r="F28" s="120"/>
      <c r="G28" s="120"/>
      <c r="H28" s="120"/>
      <c r="I28" s="120"/>
      <c r="J28" s="120"/>
      <c r="K28" s="120"/>
      <c r="L28" s="120" t="s">
        <v>85</v>
      </c>
      <c r="M28" s="120"/>
      <c r="N28" s="120"/>
      <c r="O28" s="120"/>
      <c r="P28" s="120"/>
      <c r="Q28" s="120"/>
      <c r="R28" s="120"/>
      <c r="S28" s="120"/>
      <c r="T28" s="141"/>
    </row>
    <row r="29" spans="1:20" ht="13.5" customHeight="1" thickBot="1">
      <c r="A29" s="152"/>
      <c r="B29" s="133"/>
      <c r="C29" s="134"/>
      <c r="D29" s="135" t="s">
        <v>249</v>
      </c>
      <c r="E29" s="136"/>
      <c r="F29" s="137"/>
      <c r="G29" s="137"/>
      <c r="H29" s="137"/>
      <c r="I29" s="137"/>
      <c r="J29" s="137"/>
      <c r="K29" s="137" t="s">
        <v>85</v>
      </c>
      <c r="L29" s="137"/>
      <c r="M29" s="137" t="s">
        <v>85</v>
      </c>
      <c r="N29" s="137"/>
      <c r="O29" s="137"/>
      <c r="P29" s="137"/>
      <c r="Q29" s="137"/>
      <c r="R29" s="137"/>
      <c r="S29" s="137"/>
      <c r="T29" s="145"/>
    </row>
    <row r="30" spans="1:20" ht="13.5" customHeight="1" thickTop="1">
      <c r="A30" s="153" t="s">
        <v>47</v>
      </c>
      <c r="B30" s="206" t="s">
        <v>48</v>
      </c>
      <c r="C30" s="206"/>
      <c r="D30" s="206"/>
      <c r="E30" s="138"/>
      <c r="F30" s="139" t="s">
        <v>49</v>
      </c>
      <c r="G30" s="139" t="s">
        <v>50</v>
      </c>
      <c r="H30" s="139" t="s">
        <v>51</v>
      </c>
      <c r="I30" s="139" t="s">
        <v>51</v>
      </c>
      <c r="J30" s="139" t="s">
        <v>51</v>
      </c>
      <c r="K30" s="139" t="s">
        <v>51</v>
      </c>
      <c r="L30" s="139" t="s">
        <v>51</v>
      </c>
      <c r="M30" s="139" t="s">
        <v>51</v>
      </c>
      <c r="N30" s="139"/>
      <c r="O30" s="139"/>
      <c r="P30" s="139"/>
      <c r="Q30" s="139"/>
      <c r="R30" s="139"/>
      <c r="S30" s="139"/>
      <c r="T30" s="146"/>
    </row>
    <row r="31" spans="1:20" ht="13.5" customHeight="1">
      <c r="A31" s="152"/>
      <c r="B31" s="196" t="s">
        <v>52</v>
      </c>
      <c r="C31" s="196"/>
      <c r="D31" s="196"/>
      <c r="E31" s="94"/>
      <c r="F31" s="125" t="s">
        <v>53</v>
      </c>
      <c r="G31" s="125" t="s">
        <v>53</v>
      </c>
      <c r="H31" s="125" t="s">
        <v>53</v>
      </c>
      <c r="I31" s="125" t="s">
        <v>53</v>
      </c>
      <c r="J31" s="125" t="s">
        <v>53</v>
      </c>
      <c r="K31" s="125" t="s">
        <v>53</v>
      </c>
      <c r="L31" s="125" t="s">
        <v>53</v>
      </c>
      <c r="M31" s="125" t="s">
        <v>53</v>
      </c>
      <c r="N31" s="125"/>
      <c r="O31" s="125"/>
      <c r="P31" s="125"/>
      <c r="Q31" s="125"/>
      <c r="R31" s="125"/>
      <c r="S31" s="125"/>
      <c r="T31" s="147"/>
    </row>
    <row r="32" spans="1:20" ht="13.5" customHeight="1">
      <c r="A32" s="152"/>
      <c r="B32" s="204" t="s">
        <v>54</v>
      </c>
      <c r="C32" s="204"/>
      <c r="D32" s="204"/>
      <c r="E32" s="95"/>
      <c r="F32" s="96">
        <v>46244.708333333336</v>
      </c>
      <c r="G32" s="96">
        <v>46244.708333333336</v>
      </c>
      <c r="H32" s="96">
        <v>46244.708333333336</v>
      </c>
      <c r="I32" s="96">
        <v>46244.708333333336</v>
      </c>
      <c r="J32" s="96">
        <v>46244.708333333336</v>
      </c>
      <c r="K32" s="96">
        <v>46244.708333333336</v>
      </c>
      <c r="L32" s="96">
        <v>46244.708333333336</v>
      </c>
      <c r="M32" s="96">
        <v>46244.708333333336</v>
      </c>
      <c r="N32" s="96"/>
      <c r="O32" s="96"/>
      <c r="P32" s="96"/>
      <c r="Q32" s="96"/>
      <c r="R32" s="96"/>
      <c r="S32" s="96"/>
      <c r="T32" s="148"/>
    </row>
    <row r="33" spans="1:20" ht="10.5" thickBot="1">
      <c r="A33" s="158"/>
      <c r="B33" s="205" t="s">
        <v>55</v>
      </c>
      <c r="C33" s="205"/>
      <c r="D33" s="205"/>
      <c r="E33" s="149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1"/>
    </row>
    <row r="34" spans="1:20" ht="10.5" thickTop="1">
      <c r="A34" s="140"/>
    </row>
  </sheetData>
  <mergeCells count="24">
    <mergeCell ref="B31:D31"/>
    <mergeCell ref="B32:D32"/>
    <mergeCell ref="B33:D33"/>
    <mergeCell ref="A5:B5"/>
    <mergeCell ref="C5:E5"/>
    <mergeCell ref="F5:K5"/>
    <mergeCell ref="O5:T5"/>
    <mergeCell ref="D17:E17"/>
    <mergeCell ref="B30:D30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31:T31" xr:uid="{65791501-063C-4CB3-AB75-B5B312F04B32}">
      <formula1>"P,F, "</formula1>
    </dataValidation>
    <dataValidation type="list" allowBlank="1" showInputMessage="1" showErrorMessage="1" sqref="F30:T30" xr:uid="{A6177CD8-9AB8-484E-A2A8-17BBE1F5A0B4}">
      <formula1>"N,A,B, "</formula1>
    </dataValidation>
    <dataValidation type="list" allowBlank="1" showInputMessage="1" showErrorMessage="1" sqref="F8:T29" xr:uid="{314B2964-0E17-4367-BD72-1FDF868F9DC4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BB88-7840-4DC4-B9F6-9CA76BA36BAD}">
  <dimension ref="A1:V29"/>
  <sheetViews>
    <sheetView tabSelected="1" workbookViewId="0">
      <pane ySplit="7" topLeftCell="A8" activePane="bottomLeft" state="frozen"/>
      <selection pane="bottomLeft" sqref="A1:IV1"/>
    </sheetView>
  </sheetViews>
  <sheetFormatPr defaultColWidth="9" defaultRowHeight="13.5" customHeight="1"/>
  <cols>
    <col min="1" max="1" width="8.08984375" style="69" customWidth="1"/>
    <col min="2" max="2" width="13.36328125" style="73" customWidth="1"/>
    <col min="3" max="3" width="10.81640625" style="69" customWidth="1"/>
    <col min="4" max="4" width="11.36328125" style="70" customWidth="1"/>
    <col min="5" max="5" width="1.81640625" style="69" hidden="1" customWidth="1"/>
    <col min="6" max="7" width="2.81640625" style="69" bestFit="1" customWidth="1"/>
    <col min="8" max="8" width="2.81640625" style="69" customWidth="1"/>
    <col min="9" max="10" width="2.81640625" style="69" bestFit="1" customWidth="1"/>
    <col min="11" max="19" width="2.81640625" style="69" customWidth="1"/>
    <col min="20" max="20" width="2.81640625" style="69" bestFit="1" customWidth="1"/>
    <col min="21" max="21" width="2.81640625" style="69" customWidth="1"/>
    <col min="22" max="16384" width="9" style="69"/>
  </cols>
  <sheetData>
    <row r="1" spans="1:22" ht="13.5" customHeight="1">
      <c r="A1" s="189" t="s">
        <v>109</v>
      </c>
      <c r="B1" s="190"/>
      <c r="C1" s="191" t="s">
        <v>250</v>
      </c>
      <c r="D1" s="192"/>
      <c r="E1" s="193"/>
      <c r="F1" s="194" t="s">
        <v>110</v>
      </c>
      <c r="G1" s="195"/>
      <c r="H1" s="195"/>
      <c r="I1" s="195"/>
      <c r="J1" s="195"/>
      <c r="K1" s="195"/>
      <c r="L1" s="220" t="s">
        <v>251</v>
      </c>
      <c r="M1" s="221"/>
      <c r="N1" s="221"/>
      <c r="O1" s="221"/>
      <c r="P1" s="221"/>
      <c r="Q1" s="221"/>
      <c r="R1" s="221"/>
      <c r="S1" s="221"/>
      <c r="T1" s="222"/>
      <c r="V1" s="71"/>
    </row>
    <row r="2" spans="1:22" ht="13.5" customHeight="1">
      <c r="A2" s="202" t="s">
        <v>61</v>
      </c>
      <c r="B2" s="203"/>
      <c r="C2" s="207" t="s">
        <v>31</v>
      </c>
      <c r="D2" s="208"/>
      <c r="E2" s="209"/>
      <c r="F2" s="225" t="s">
        <v>62</v>
      </c>
      <c r="G2" s="226"/>
      <c r="H2" s="226"/>
      <c r="I2" s="226"/>
      <c r="J2" s="226"/>
      <c r="K2" s="227"/>
      <c r="L2" s="208" t="s">
        <v>118</v>
      </c>
      <c r="M2" s="208"/>
      <c r="N2" s="208"/>
      <c r="O2" s="126"/>
      <c r="P2" s="126"/>
      <c r="Q2" s="126"/>
      <c r="R2" s="126"/>
      <c r="S2" s="126"/>
      <c r="T2" s="127"/>
    </row>
    <row r="3" spans="1:22" ht="13.5" customHeight="1">
      <c r="A3" s="202" t="s">
        <v>63</v>
      </c>
      <c r="B3" s="203"/>
      <c r="C3" s="213" t="s">
        <v>252</v>
      </c>
      <c r="D3" s="213"/>
      <c r="E3" s="213"/>
      <c r="F3" s="214"/>
      <c r="G3" s="214"/>
      <c r="H3" s="214"/>
      <c r="I3" s="214"/>
      <c r="J3" s="214"/>
      <c r="K3" s="214"/>
      <c r="L3" s="213"/>
      <c r="M3" s="213"/>
      <c r="N3" s="213"/>
      <c r="O3" s="213"/>
      <c r="P3" s="213"/>
      <c r="Q3" s="213"/>
      <c r="R3" s="213"/>
      <c r="S3" s="213"/>
      <c r="T3" s="213"/>
    </row>
    <row r="4" spans="1:22" ht="13.5" customHeight="1">
      <c r="A4" s="211" t="s">
        <v>20</v>
      </c>
      <c r="B4" s="212"/>
      <c r="C4" s="223" t="s">
        <v>21</v>
      </c>
      <c r="D4" s="215"/>
      <c r="E4" s="224"/>
      <c r="F4" s="223" t="s">
        <v>22</v>
      </c>
      <c r="G4" s="215"/>
      <c r="H4" s="215"/>
      <c r="I4" s="215"/>
      <c r="J4" s="215"/>
      <c r="K4" s="228"/>
      <c r="L4" s="215" t="s">
        <v>64</v>
      </c>
      <c r="M4" s="215"/>
      <c r="N4" s="215"/>
      <c r="O4" s="218" t="s">
        <v>23</v>
      </c>
      <c r="P4" s="215"/>
      <c r="Q4" s="215"/>
      <c r="R4" s="215"/>
      <c r="S4" s="215"/>
      <c r="T4" s="219"/>
      <c r="V4" s="71"/>
    </row>
    <row r="5" spans="1:22" ht="13.5" customHeight="1" thickBot="1">
      <c r="A5" s="201">
        <f>COUNTIF(F26:HQ26,"P")</f>
        <v>8</v>
      </c>
      <c r="B5" s="200"/>
      <c r="C5" s="197">
        <f>COUNTIF(F26:HQ26,"F")</f>
        <v>0</v>
      </c>
      <c r="D5" s="198"/>
      <c r="E5" s="200"/>
      <c r="F5" s="197">
        <f>SUM(O5,- A5,- C5)</f>
        <v>0</v>
      </c>
      <c r="G5" s="198"/>
      <c r="H5" s="198"/>
      <c r="I5" s="198"/>
      <c r="J5" s="198"/>
      <c r="K5" s="199"/>
      <c r="L5" s="128">
        <f>COUNTIF(E25:HQ25,"N")</f>
        <v>2</v>
      </c>
      <c r="M5" s="128">
        <f>COUNTIF(E25:HQ25,"A")</f>
        <v>5</v>
      </c>
      <c r="N5" s="128">
        <f>COUNTIF(E25:HQ25,"B")</f>
        <v>1</v>
      </c>
      <c r="O5" s="216">
        <f>COUNTA(E7:HT7)</f>
        <v>8</v>
      </c>
      <c r="P5" s="198"/>
      <c r="Q5" s="198"/>
      <c r="R5" s="198"/>
      <c r="S5" s="198"/>
      <c r="T5" s="217"/>
      <c r="U5" s="72"/>
    </row>
    <row r="6" spans="1:22" ht="10.5" thickBot="1"/>
    <row r="7" spans="1:22" ht="46.5" customHeight="1" thickTop="1" thickBot="1">
      <c r="A7" s="159"/>
      <c r="B7" s="160"/>
      <c r="C7" s="161"/>
      <c r="D7" s="162"/>
      <c r="E7" s="161"/>
      <c r="F7" s="163" t="s">
        <v>32</v>
      </c>
      <c r="G7" s="163" t="s">
        <v>33</v>
      </c>
      <c r="H7" s="163" t="s">
        <v>34</v>
      </c>
      <c r="I7" s="163" t="s">
        <v>35</v>
      </c>
      <c r="J7" s="163" t="s">
        <v>36</v>
      </c>
      <c r="K7" s="163" t="s">
        <v>37</v>
      </c>
      <c r="L7" s="163" t="s">
        <v>38</v>
      </c>
      <c r="M7" s="163" t="s">
        <v>39</v>
      </c>
      <c r="N7" s="163"/>
      <c r="O7" s="163"/>
      <c r="P7" s="163"/>
      <c r="Q7" s="163"/>
      <c r="R7" s="163"/>
      <c r="S7" s="163"/>
      <c r="T7" s="164"/>
      <c r="U7" s="74"/>
      <c r="V7" s="71"/>
    </row>
    <row r="8" spans="1:22" ht="13.5" customHeight="1">
      <c r="A8" s="154" t="s">
        <v>65</v>
      </c>
      <c r="B8" s="155" t="s">
        <v>253</v>
      </c>
      <c r="C8" s="156"/>
      <c r="D8" s="157"/>
      <c r="E8" s="78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44"/>
    </row>
    <row r="9" spans="1:22" ht="13.5" customHeight="1">
      <c r="A9" s="142"/>
      <c r="B9" s="75"/>
      <c r="C9" s="76"/>
      <c r="D9" s="77" t="s">
        <v>254</v>
      </c>
      <c r="E9" s="78"/>
      <c r="F9" s="120" t="s">
        <v>85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41"/>
      <c r="V9" s="71"/>
    </row>
    <row r="10" spans="1:22" ht="13.5" customHeight="1">
      <c r="A10" s="142"/>
      <c r="B10" s="75"/>
      <c r="C10" s="76"/>
      <c r="D10" s="77" t="s">
        <v>255</v>
      </c>
      <c r="E10" s="78"/>
      <c r="F10" s="120"/>
      <c r="G10" s="120" t="s">
        <v>85</v>
      </c>
      <c r="H10" s="120" t="s">
        <v>85</v>
      </c>
      <c r="I10" s="120" t="s">
        <v>85</v>
      </c>
      <c r="J10" s="120" t="s">
        <v>85</v>
      </c>
      <c r="K10" s="120"/>
      <c r="L10" s="120"/>
      <c r="M10" s="120"/>
      <c r="N10" s="120"/>
      <c r="O10" s="120"/>
      <c r="P10" s="120"/>
      <c r="Q10" s="120"/>
      <c r="R10" s="120"/>
      <c r="S10" s="120"/>
      <c r="T10" s="141"/>
    </row>
    <row r="11" spans="1:22" ht="13.5" customHeight="1">
      <c r="A11" s="142"/>
      <c r="B11" s="75"/>
      <c r="C11" s="76"/>
      <c r="D11" s="77" t="s">
        <v>256</v>
      </c>
      <c r="E11" s="79"/>
      <c r="F11" s="120"/>
      <c r="G11" s="120"/>
      <c r="H11" s="120"/>
      <c r="I11" s="120"/>
      <c r="J11" s="120"/>
      <c r="K11" s="120" t="s">
        <v>85</v>
      </c>
      <c r="L11" s="120"/>
      <c r="M11" s="120"/>
      <c r="N11" s="120"/>
      <c r="O11" s="120"/>
      <c r="P11" s="120"/>
      <c r="Q11" s="120"/>
      <c r="R11" s="120"/>
      <c r="S11" s="120"/>
      <c r="T11" s="141"/>
    </row>
    <row r="12" spans="1:22" ht="13.5" customHeight="1">
      <c r="A12" s="142"/>
      <c r="B12" s="75"/>
      <c r="C12" s="76"/>
      <c r="D12" s="77" t="s">
        <v>257</v>
      </c>
      <c r="E12" s="80"/>
      <c r="F12" s="120"/>
      <c r="G12" s="120"/>
      <c r="H12" s="120"/>
      <c r="I12" s="120"/>
      <c r="J12" s="120"/>
      <c r="K12" s="120"/>
      <c r="L12" s="120" t="s">
        <v>85</v>
      </c>
      <c r="M12" s="120" t="s">
        <v>85</v>
      </c>
      <c r="N12" s="120"/>
      <c r="O12" s="120"/>
      <c r="P12" s="120"/>
      <c r="Q12" s="120"/>
      <c r="R12" s="120"/>
      <c r="S12" s="120"/>
      <c r="T12" s="141"/>
    </row>
    <row r="13" spans="1:22" ht="13.5" customHeight="1">
      <c r="A13" s="142"/>
      <c r="B13" s="75" t="s">
        <v>258</v>
      </c>
      <c r="C13" s="76"/>
      <c r="D13" s="77"/>
      <c r="E13" s="8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41"/>
    </row>
    <row r="14" spans="1:22" ht="13.5" customHeight="1">
      <c r="A14" s="142"/>
      <c r="B14" s="75"/>
      <c r="C14" s="76"/>
      <c r="D14" s="77" t="b">
        <v>1</v>
      </c>
      <c r="E14" s="80"/>
      <c r="F14" s="120" t="s">
        <v>85</v>
      </c>
      <c r="G14" s="120"/>
      <c r="H14" s="120"/>
      <c r="I14" s="120" t="s">
        <v>85</v>
      </c>
      <c r="J14" s="120" t="s">
        <v>85</v>
      </c>
      <c r="K14" s="120" t="s">
        <v>85</v>
      </c>
      <c r="L14" s="120" t="s">
        <v>85</v>
      </c>
      <c r="M14" s="120" t="s">
        <v>85</v>
      </c>
      <c r="N14" s="120"/>
      <c r="O14" s="120"/>
      <c r="P14" s="120"/>
      <c r="Q14" s="120"/>
      <c r="R14" s="120"/>
      <c r="S14" s="120"/>
      <c r="T14" s="141"/>
    </row>
    <row r="15" spans="1:22" ht="13.5" customHeight="1">
      <c r="A15" s="142"/>
      <c r="B15" s="75"/>
      <c r="C15" s="76"/>
      <c r="D15" s="77" t="b">
        <v>0</v>
      </c>
      <c r="E15" s="80"/>
      <c r="F15" s="120"/>
      <c r="G15" s="120" t="s">
        <v>85</v>
      </c>
      <c r="H15" s="120" t="s">
        <v>85</v>
      </c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41"/>
      <c r="U15" s="121"/>
    </row>
    <row r="16" spans="1:22" ht="13.5" customHeight="1">
      <c r="A16" s="142"/>
      <c r="B16" s="75" t="s">
        <v>259</v>
      </c>
      <c r="C16" s="76"/>
      <c r="D16" s="77"/>
      <c r="E16" s="8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41"/>
      <c r="U16" s="121"/>
    </row>
    <row r="17" spans="1:20" ht="13.5" customHeight="1">
      <c r="A17" s="142"/>
      <c r="B17" s="75"/>
      <c r="C17" s="76"/>
      <c r="D17" s="210" t="s">
        <v>260</v>
      </c>
      <c r="E17" s="210"/>
      <c r="F17" s="120"/>
      <c r="G17" s="120" t="s">
        <v>85</v>
      </c>
      <c r="H17" s="120"/>
      <c r="I17" s="120"/>
      <c r="J17" s="120"/>
      <c r="K17" s="120" t="s">
        <v>85</v>
      </c>
      <c r="L17" s="120" t="s">
        <v>85</v>
      </c>
      <c r="M17" s="120"/>
      <c r="N17" s="120"/>
      <c r="O17" s="120"/>
      <c r="P17" s="120"/>
      <c r="Q17" s="120"/>
      <c r="R17" s="120"/>
      <c r="S17" s="120"/>
      <c r="T17" s="141"/>
    </row>
    <row r="18" spans="1:20" ht="13.5" customHeight="1">
      <c r="A18" s="142"/>
      <c r="B18" s="75"/>
      <c r="C18" s="76"/>
      <c r="D18" s="77" t="s">
        <v>261</v>
      </c>
      <c r="E18" s="80"/>
      <c r="F18" s="120"/>
      <c r="G18" s="120"/>
      <c r="H18" s="120" t="s">
        <v>85</v>
      </c>
      <c r="I18" s="120" t="s">
        <v>85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41"/>
    </row>
    <row r="19" spans="1:20" ht="13.5" customHeight="1" thickBot="1">
      <c r="A19" s="142"/>
      <c r="B19" s="81"/>
      <c r="C19" s="82"/>
      <c r="D19" s="83" t="s">
        <v>262</v>
      </c>
      <c r="E19" s="84"/>
      <c r="F19" s="122" t="s">
        <v>85</v>
      </c>
      <c r="G19" s="122"/>
      <c r="H19" s="122"/>
      <c r="I19" s="122"/>
      <c r="J19" s="122" t="s">
        <v>85</v>
      </c>
      <c r="K19" s="122"/>
      <c r="L19" s="122"/>
      <c r="M19" s="122" t="s">
        <v>85</v>
      </c>
      <c r="N19" s="122"/>
      <c r="O19" s="122"/>
      <c r="P19" s="122"/>
      <c r="Q19" s="122"/>
      <c r="R19" s="122"/>
      <c r="S19" s="122"/>
      <c r="T19" s="143"/>
    </row>
    <row r="20" spans="1:20" ht="13.5" customHeight="1" thickTop="1">
      <c r="A20" s="153" t="s">
        <v>66</v>
      </c>
      <c r="B20" s="85" t="s">
        <v>263</v>
      </c>
      <c r="C20" s="86"/>
      <c r="D20" s="87"/>
      <c r="E20" s="88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44"/>
    </row>
    <row r="21" spans="1:20" ht="13.5" customHeight="1">
      <c r="A21" s="152"/>
      <c r="B21" s="89"/>
      <c r="C21" s="90"/>
      <c r="D21" s="91" t="s">
        <v>264</v>
      </c>
      <c r="E21" s="92"/>
      <c r="F21" s="120"/>
      <c r="G21" s="120" t="s">
        <v>85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41"/>
    </row>
    <row r="22" spans="1:20" ht="13.5" customHeight="1">
      <c r="A22" s="152"/>
      <c r="B22" s="89"/>
      <c r="C22" s="124"/>
      <c r="D22" s="91" t="s">
        <v>265</v>
      </c>
      <c r="E22" s="93"/>
      <c r="F22" s="120"/>
      <c r="G22" s="120"/>
      <c r="H22" s="120" t="s">
        <v>85</v>
      </c>
      <c r="I22" s="120" t="s">
        <v>85</v>
      </c>
      <c r="J22" s="120" t="s">
        <v>85</v>
      </c>
      <c r="K22" s="120"/>
      <c r="L22" s="120"/>
      <c r="M22" s="120"/>
      <c r="N22" s="120"/>
      <c r="O22" s="120"/>
      <c r="P22" s="120"/>
      <c r="Q22" s="120"/>
      <c r="R22" s="120"/>
      <c r="S22" s="120"/>
      <c r="T22" s="141"/>
    </row>
    <row r="23" spans="1:20" ht="13.5" customHeight="1">
      <c r="A23" s="152"/>
      <c r="B23" s="89"/>
      <c r="C23" s="124"/>
      <c r="D23" s="91" t="s">
        <v>266</v>
      </c>
      <c r="E23" s="93"/>
      <c r="F23" s="120" t="s">
        <v>85</v>
      </c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41"/>
    </row>
    <row r="24" spans="1:20" ht="13.5" customHeight="1" thickBot="1">
      <c r="A24" s="152"/>
      <c r="B24" s="133"/>
      <c r="C24" s="134"/>
      <c r="D24" s="135" t="s">
        <v>267</v>
      </c>
      <c r="E24" s="136"/>
      <c r="F24" s="137"/>
      <c r="G24" s="137"/>
      <c r="H24" s="137"/>
      <c r="I24" s="137"/>
      <c r="J24" s="137"/>
      <c r="K24" s="137" t="s">
        <v>85</v>
      </c>
      <c r="L24" s="137" t="s">
        <v>85</v>
      </c>
      <c r="M24" s="137" t="s">
        <v>85</v>
      </c>
      <c r="N24" s="137"/>
      <c r="O24" s="137"/>
      <c r="P24" s="137"/>
      <c r="Q24" s="137"/>
      <c r="R24" s="137"/>
      <c r="S24" s="137"/>
      <c r="T24" s="145"/>
    </row>
    <row r="25" spans="1:20" ht="13.5" customHeight="1" thickTop="1">
      <c r="A25" s="153" t="s">
        <v>47</v>
      </c>
      <c r="B25" s="206" t="s">
        <v>48</v>
      </c>
      <c r="C25" s="206"/>
      <c r="D25" s="206"/>
      <c r="E25" s="138"/>
      <c r="F25" s="139" t="s">
        <v>49</v>
      </c>
      <c r="G25" s="139" t="s">
        <v>49</v>
      </c>
      <c r="H25" s="139" t="s">
        <v>51</v>
      </c>
      <c r="I25" s="139" t="s">
        <v>51</v>
      </c>
      <c r="J25" s="139" t="s">
        <v>50</v>
      </c>
      <c r="K25" s="139" t="s">
        <v>51</v>
      </c>
      <c r="L25" s="139" t="s">
        <v>51</v>
      </c>
      <c r="M25" s="139" t="s">
        <v>51</v>
      </c>
      <c r="N25" s="139"/>
      <c r="O25" s="139"/>
      <c r="P25" s="139"/>
      <c r="Q25" s="139"/>
      <c r="R25" s="139"/>
      <c r="S25" s="139"/>
      <c r="T25" s="146"/>
    </row>
    <row r="26" spans="1:20" ht="13.5" customHeight="1">
      <c r="A26" s="152"/>
      <c r="B26" s="196" t="s">
        <v>52</v>
      </c>
      <c r="C26" s="196"/>
      <c r="D26" s="196"/>
      <c r="E26" s="94"/>
      <c r="F26" s="125" t="s">
        <v>53</v>
      </c>
      <c r="G26" s="125" t="s">
        <v>53</v>
      </c>
      <c r="H26" s="125" t="s">
        <v>53</v>
      </c>
      <c r="I26" s="125" t="s">
        <v>53</v>
      </c>
      <c r="J26" s="125" t="s">
        <v>53</v>
      </c>
      <c r="K26" s="125" t="s">
        <v>53</v>
      </c>
      <c r="L26" s="125" t="s">
        <v>53</v>
      </c>
      <c r="M26" s="125" t="s">
        <v>53</v>
      </c>
      <c r="N26" s="125"/>
      <c r="O26" s="125"/>
      <c r="P26" s="125"/>
      <c r="Q26" s="125"/>
      <c r="R26" s="125"/>
      <c r="S26" s="125"/>
      <c r="T26" s="147"/>
    </row>
    <row r="27" spans="1:20" ht="13.5" customHeight="1">
      <c r="A27" s="152"/>
      <c r="B27" s="204" t="s">
        <v>54</v>
      </c>
      <c r="C27" s="204"/>
      <c r="D27" s="204"/>
      <c r="E27" s="95"/>
      <c r="F27" s="96">
        <v>46244.708333333336</v>
      </c>
      <c r="G27" s="96">
        <v>46244.708333333336</v>
      </c>
      <c r="H27" s="96">
        <v>46244.708333333336</v>
      </c>
      <c r="I27" s="96">
        <v>46244.708333333336</v>
      </c>
      <c r="J27" s="96">
        <v>46244.708333333336</v>
      </c>
      <c r="K27" s="96">
        <v>46244.708333333336</v>
      </c>
      <c r="L27" s="96">
        <v>46244.708333333336</v>
      </c>
      <c r="M27" s="96">
        <v>46244.708333333336</v>
      </c>
      <c r="N27" s="96"/>
      <c r="O27" s="96"/>
      <c r="P27" s="96"/>
      <c r="Q27" s="96"/>
      <c r="R27" s="96"/>
      <c r="S27" s="96"/>
      <c r="T27" s="148"/>
    </row>
    <row r="28" spans="1:20" ht="10.5" thickBot="1">
      <c r="A28" s="158"/>
      <c r="B28" s="205" t="s">
        <v>55</v>
      </c>
      <c r="C28" s="205"/>
      <c r="D28" s="205"/>
      <c r="E28" s="149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1"/>
    </row>
    <row r="29" spans="1:20" ht="10.5" thickTop="1">
      <c r="A29" s="140"/>
    </row>
  </sheetData>
  <mergeCells count="24">
    <mergeCell ref="B26:D26"/>
    <mergeCell ref="B27:D27"/>
    <mergeCell ref="B28:D28"/>
    <mergeCell ref="A5:B5"/>
    <mergeCell ref="C5:E5"/>
    <mergeCell ref="F5:K5"/>
    <mergeCell ref="O5:T5"/>
    <mergeCell ref="D17:E17"/>
    <mergeCell ref="B25:D25"/>
    <mergeCell ref="A3:B3"/>
    <mergeCell ref="C3:T3"/>
    <mergeCell ref="A4:B4"/>
    <mergeCell ref="C4:E4"/>
    <mergeCell ref="F4:K4"/>
    <mergeCell ref="L4:N4"/>
    <mergeCell ref="O4:T4"/>
    <mergeCell ref="A1:B1"/>
    <mergeCell ref="C1:E1"/>
    <mergeCell ref="F1:K1"/>
    <mergeCell ref="L1:T1"/>
    <mergeCell ref="A2:B2"/>
    <mergeCell ref="C2:E2"/>
    <mergeCell ref="F2:K2"/>
    <mergeCell ref="L2:N2"/>
  </mergeCells>
  <dataValidations count="3">
    <dataValidation type="list" allowBlank="1" showInputMessage="1" showErrorMessage="1" sqref="F26:T26" xr:uid="{EF4E0E4F-B704-4ED5-9492-0C81DFE41EE4}">
      <formula1>"P,F, "</formula1>
    </dataValidation>
    <dataValidation type="list" allowBlank="1" showInputMessage="1" showErrorMessage="1" sqref="F25:T25" xr:uid="{5D374FCF-6086-46A8-9C66-054BA57318D0}">
      <formula1>"N,A,B, "</formula1>
    </dataValidation>
    <dataValidation type="list" allowBlank="1" showInputMessage="1" showErrorMessage="1" sqref="F8:T24" xr:uid="{D83E9454-F718-4F04-A51E-DA2C601B5BA6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Guideline</vt:lpstr>
      <vt:lpstr>Cover</vt:lpstr>
      <vt:lpstr>MethodList</vt:lpstr>
      <vt:lpstr>Statistics</vt:lpstr>
      <vt:lpstr>IsAllowedBaseUrl</vt:lpstr>
      <vt:lpstr>NormalizeApiKey</vt:lpstr>
      <vt:lpstr>ContentLintCheck</vt:lpstr>
      <vt:lpstr>ScenarioMatcher</vt:lpstr>
      <vt:lpstr>GoldenHourResolve</vt:lpstr>
      <vt:lpstr>RecurrenceCalc</vt:lpstr>
      <vt:lpstr>KbSuggestionApprove</vt:lpstr>
      <vt:lpstr>ConversationResume</vt:lpstr>
      <vt:lpstr>ContentLintCheck!Print_Area</vt:lpstr>
      <vt:lpstr>ConversationResume!Print_Area</vt:lpstr>
      <vt:lpstr>GoldenHourResolve!Print_Area</vt:lpstr>
      <vt:lpstr>Guideline!Print_Area</vt:lpstr>
      <vt:lpstr>IsAllowedBaseUrl!Print_Area</vt:lpstr>
      <vt:lpstr>KbSuggestionApprove!Print_Area</vt:lpstr>
      <vt:lpstr>MethodList!Print_Area</vt:lpstr>
      <vt:lpstr>NormalizeApiKey!Print_Area</vt:lpstr>
      <vt:lpstr>RecurrenceCalc!Print_Area</vt:lpstr>
      <vt:lpstr>ScenarioMatcher!Print_Area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Võ Thành Đạt</cp:lastModifiedBy>
  <cp:lastPrinted>2008-03-12T04:05:49Z</cp:lastPrinted>
  <dcterms:created xsi:type="dcterms:W3CDTF">2007-10-09T09:39:48Z</dcterms:created>
  <dcterms:modified xsi:type="dcterms:W3CDTF">2026-08-11T14:57:57Z</dcterms:modified>
</cp:coreProperties>
</file>