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y Drive\FuWorks\SEP490\"/>
    </mc:Choice>
  </mc:AlternateContent>
  <xr:revisionPtr revIDLastSave="0" documentId="13_ncr:1_{52EE1D7C-9C69-4077-BB11-5AE5943DC147}" xr6:coauthVersionLast="47" xr6:coauthVersionMax="47" xr10:uidLastSave="{00000000-0000-0000-0000-000000000000}"/>
  <bookViews>
    <workbookView xWindow="-98" yWindow="-98" windowWidth="19396" windowHeight="11596" tabRatio="821" activeTab="5" xr2:uid="{00000000-000D-0000-FFFF-FFFF00000000}"/>
  </bookViews>
  <sheets>
    <sheet name="Cover" sheetId="9" r:id="rId1"/>
    <sheet name="Test Cases" sheetId="2" r:id="rId2"/>
    <sheet name="Test Statistics" sheetId="5" r:id="rId3"/>
    <sheet name="Feature Name1" sheetId="3" r:id="rId4"/>
    <sheet name="Feature Name2" sheetId="8" r:id="rId5"/>
    <sheet name="SecurityTest" sheetId="10" r:id="rId6"/>
  </sheets>
  <definedNames>
    <definedName name="_xlnm._FilterDatabase" localSheetId="3" hidden="1">'Feature Name1'!$A$10:$P$18</definedName>
    <definedName name="_xlnm._FilterDatabase" localSheetId="4" hidden="1">'Feature Name2'!$A$10:$P$17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<sst xmlns="http://schemas.openxmlformats.org/spreadsheetml/2006/main" count="237" uniqueCount="117">
  <si>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</si>
  <si>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</si>
  <si>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</si>
  <si>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</si>
  <si>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</si>
  <si>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</si>
  <si>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</si>
  <si>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</si>
  <si>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</si>
  <si>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</si>
  <si>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</si>
  <si>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</si>
  <si>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</si>
  <si>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</si>
  <si>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</si>
  <si>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</si>
  <si>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</si>
  <si>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</si>
  <si>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</si>
  <si>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</si>
  <si>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</si>
  <si>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</si>
  <si>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</si>
  <si>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</si>
  <si>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</si>
  <si>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</si>
  <si>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</si>
  <si>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</si>
  <si>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</si>
  <si>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</si>
  <si>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</si>
  <si>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</si>
  <si>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</si>
  <si>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</si>
  <si>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</si>
  <si>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</si>
  <si>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</si>
  <si>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</si>
  <si>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</si>
  <si>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</si>
  <si>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</si>
  <si>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</si>
  <si>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</si>
  <si>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</si>
  <si>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</si>
  <si>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</si>
  <si>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</si>
  <si>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</si>
  <si>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</si>
  <si>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</si>
  <si>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</si>
  <si>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</si>
  <si>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</si>
  <si>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</si>
  <si>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</si>
  <si>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</si>
  <si>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</si>
  <si>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</si>
  <si>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</si>
  <si>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</si>
  <si>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</si>
  <si>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</si>
  <si>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</si>
  <si>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</si>
  <si>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</si>
  <si>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</si>
  <si>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</si>
  <si>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</si>
  <si>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</si>
  <si>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</si>
  <si>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</si>
  <si>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</si>
  <si>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</si>
  <si>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</si>
  <si>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</si>
  <si>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</si>
  <si>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</si>
  <si>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&lt;List of documents which are refered in this version.&gt;</t>
  </si>
  <si>
    <t>Defect IDs</t>
  </si>
  <si>
    <t>INTEGRATION TEST REPORT DOCUMENT</t>
  </si>
  <si>
    <t>INTEGRATION TEST STATISTICS</t>
  </si>
  <si>
    <t>Scenario Name</t>
  </si>
  <si>
    <t>Role / Session</t>
  </si>
  <si>
    <t>Coverage Technique</t>
  </si>
  <si>
    <t>Given</t>
  </si>
  <si>
    <t>When</t>
  </si>
  <si>
    <t>Then (Expected: HTTP Status / Visibility)</t>
  </si>
  <si>
    <t>Status</t>
  </si>
  <si>
    <t>Defect ID</t>
  </si>
  <si>
    <t>TC-SEC-001</t>
  </si>
  <si>
    <t>Internal note KHÔNG hiển thị cho Customer</t>
  </si>
  <si>
    <t>Customer (own order)</t>
  </si>
  <si>
    <t>Use Case Testing</t>
  </si>
  <si>
    <t>Order có internal note từ Staff</t>
  </si>
  <si>
    <t>GET /orders/{id} với session Customer</t>
  </si>
  <si>
    <t>HTML response KHÔNG chứa nội dung note ở bất kỳ đâu (kiểm tra page source, không chỉ UI)</t>
  </si>
  <si>
    <t>Not Run</t>
  </si>
  <si>
    <t>TC-SEC-002</t>
  </si>
  <si>
    <t>Staff chỉ truy cập đơn được assign</t>
  </si>
  <si>
    <t>Staff (not assigned)</t>
  </si>
  <si>
    <t>Order id=2 được assign cho Staff khác</t>
  </si>
  <si>
    <t>GET /staff/orders/2 với session staff_02</t>
  </si>
  <si>
    <t>HTTP 403 Forbidden</t>
  </si>
  <si>
    <t>TC-SEC-003</t>
  </si>
  <si>
    <t>Unauthenticated request đến protected URL</t>
  </si>
  <si>
    <t>(không có session)</t>
  </si>
  <si>
    <t>Error Guessing</t>
  </si>
  <si>
    <t>Không có session/cookie</t>
  </si>
  <si>
    <t>GET /staff/orders</t>
  </si>
  <si>
    <t>302 redirect đến /login</t>
  </si>
  <si>
    <t>TC-SEC-004</t>
  </si>
  <si>
    <t>Sai email/password → thông báo lỗi giống nhau</t>
  </si>
  <si>
    <t>(no session)</t>
  </si>
  <si>
    <t>Decision Table</t>
  </si>
  <si>
    <t>Không có account với email "x@y.com"</t>
  </si>
  <si>
    <t>POST /login với email không tồn tại / password sai</t>
  </si>
  <si>
    <t>Thông báo lỗi giống hệt nhau cho cả 2 trường hợp — không tiết lộ email tồn tại hay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</si>
</sst>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8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FF1F4E79"/>
        <bgColor rgb="FF1F4E79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7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  <xf numFmtId="0" fontId="24" fillId="0" borderId="0"/>
  </cellStyleXfs>
  <cellXfs count="148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0" fontId="24" fillId="0" borderId="0" xfId="6"/>
    <xf numFmtId="0" fontId="26" fillId="0" borderId="35" xfId="6" applyFont="1" applyBorder="1" applyAlignment="1">
      <alignment vertical="top" wrapText="1"/>
    </xf>
    <xf numFmtId="0" fontId="26" fillId="0" borderId="36" xfId="6" applyFont="1" applyBorder="1" applyAlignment="1">
      <alignment vertical="top" wrapText="1"/>
    </xf>
    <xf numFmtId="0" fontId="25" fillId="7" borderId="26" xfId="6" applyFont="1" applyFill="1" applyBorder="1" applyAlignment="1">
      <alignment horizontal="center" vertical="center" wrapText="1"/>
    </xf>
    <xf numFmtId="0" fontId="27" fillId="0" borderId="26" xfId="6" applyFont="1" applyBorder="1" applyAlignment="1">
      <alignment vertical="top" wrapText="1"/>
    </xf>
  </cellXfs>
  <cellStyles count="7">
    <cellStyle name="Hyperlink" xfId="1" builtinId="8"/>
    <cellStyle name="Normal" xfId="0" builtinId="0"/>
    <cellStyle name="Normal 2" xfId="6" xr:uid="{40A84A53-4CD2-4949-BE3A-4A7CB2F049FF}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>
      <selection activeCell="B3" sqref="B3"/>
    </sheetView>
  </sheetViews>
  <sheetFormatPr defaultColWidth="9" defaultRowHeight="12.75"/>
  <cols>
    <col min="1" max="1" width="28.13281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328125" style="99" customWidth="1"/>
    <col min="7" max="256" width="9" style="99"/>
    <col min="257" max="257" width="28.13281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328125" style="99" customWidth="1"/>
    <col min="263" max="512" width="9" style="99"/>
    <col min="513" max="513" width="28.13281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328125" style="99" customWidth="1"/>
    <col min="519" max="768" width="9" style="99"/>
    <col min="769" max="769" width="28.13281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328125" style="99" customWidth="1"/>
    <col min="775" max="1024" width="9" style="99"/>
    <col min="1025" max="1025" width="28.13281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328125" style="99" customWidth="1"/>
    <col min="1031" max="1280" width="9" style="99"/>
    <col min="1281" max="1281" width="28.13281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328125" style="99" customWidth="1"/>
    <col min="1287" max="1536" width="9" style="99"/>
    <col min="1537" max="1537" width="28.13281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328125" style="99" customWidth="1"/>
    <col min="1543" max="1792" width="9" style="99"/>
    <col min="1793" max="1793" width="28.13281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328125" style="99" customWidth="1"/>
    <col min="1799" max="2048" width="9" style="99"/>
    <col min="2049" max="2049" width="28.13281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328125" style="99" customWidth="1"/>
    <col min="2055" max="2304" width="9" style="99"/>
    <col min="2305" max="2305" width="28.13281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328125" style="99" customWidth="1"/>
    <col min="2311" max="2560" width="9" style="99"/>
    <col min="2561" max="2561" width="28.13281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328125" style="99" customWidth="1"/>
    <col min="2567" max="2816" width="9" style="99"/>
    <col min="2817" max="2817" width="28.13281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328125" style="99" customWidth="1"/>
    <col min="2823" max="3072" width="9" style="99"/>
    <col min="3073" max="3073" width="28.13281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328125" style="99" customWidth="1"/>
    <col min="3079" max="3328" width="9" style="99"/>
    <col min="3329" max="3329" width="28.13281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328125" style="99" customWidth="1"/>
    <col min="3335" max="3584" width="9" style="99"/>
    <col min="3585" max="3585" width="28.13281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328125" style="99" customWidth="1"/>
    <col min="3591" max="3840" width="9" style="99"/>
    <col min="3841" max="3841" width="28.13281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328125" style="99" customWidth="1"/>
    <col min="3847" max="4096" width="9" style="99"/>
    <col min="4097" max="4097" width="28.13281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328125" style="99" customWidth="1"/>
    <col min="4103" max="4352" width="9" style="99"/>
    <col min="4353" max="4353" width="28.13281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328125" style="99" customWidth="1"/>
    <col min="4359" max="4608" width="9" style="99"/>
    <col min="4609" max="4609" width="28.13281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328125" style="99" customWidth="1"/>
    <col min="4615" max="4864" width="9" style="99"/>
    <col min="4865" max="4865" width="28.13281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328125" style="99" customWidth="1"/>
    <col min="4871" max="5120" width="9" style="99"/>
    <col min="5121" max="5121" width="28.13281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328125" style="99" customWidth="1"/>
    <col min="5127" max="5376" width="9" style="99"/>
    <col min="5377" max="5377" width="28.13281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328125" style="99" customWidth="1"/>
    <col min="5383" max="5632" width="9" style="99"/>
    <col min="5633" max="5633" width="28.13281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328125" style="99" customWidth="1"/>
    <col min="5639" max="5888" width="9" style="99"/>
    <col min="5889" max="5889" width="28.13281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328125" style="99" customWidth="1"/>
    <col min="5895" max="6144" width="9" style="99"/>
    <col min="6145" max="6145" width="28.13281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328125" style="99" customWidth="1"/>
    <col min="6151" max="6400" width="9" style="99"/>
    <col min="6401" max="6401" width="28.13281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328125" style="99" customWidth="1"/>
    <col min="6407" max="6656" width="9" style="99"/>
    <col min="6657" max="6657" width="28.13281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328125" style="99" customWidth="1"/>
    <col min="6663" max="6912" width="9" style="99"/>
    <col min="6913" max="6913" width="28.13281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328125" style="99" customWidth="1"/>
    <col min="6919" max="7168" width="9" style="99"/>
    <col min="7169" max="7169" width="28.13281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328125" style="99" customWidth="1"/>
    <col min="7175" max="7424" width="9" style="99"/>
    <col min="7425" max="7425" width="28.13281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328125" style="99" customWidth="1"/>
    <col min="7431" max="7680" width="9" style="99"/>
    <col min="7681" max="7681" width="28.13281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328125" style="99" customWidth="1"/>
    <col min="7687" max="7936" width="9" style="99"/>
    <col min="7937" max="7937" width="28.13281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328125" style="99" customWidth="1"/>
    <col min="7943" max="8192" width="9" style="99"/>
    <col min="8193" max="8193" width="28.13281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328125" style="99" customWidth="1"/>
    <col min="8199" max="8448" width="9" style="99"/>
    <col min="8449" max="8449" width="28.13281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328125" style="99" customWidth="1"/>
    <col min="8455" max="8704" width="9" style="99"/>
    <col min="8705" max="8705" width="28.13281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328125" style="99" customWidth="1"/>
    <col min="8711" max="8960" width="9" style="99"/>
    <col min="8961" max="8961" width="28.13281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328125" style="99" customWidth="1"/>
    <col min="8967" max="9216" width="9" style="99"/>
    <col min="9217" max="9217" width="28.13281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328125" style="99" customWidth="1"/>
    <col min="9223" max="9472" width="9" style="99"/>
    <col min="9473" max="9473" width="28.13281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328125" style="99" customWidth="1"/>
    <col min="9479" max="9728" width="9" style="99"/>
    <col min="9729" max="9729" width="28.13281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328125" style="99" customWidth="1"/>
    <col min="9735" max="9984" width="9" style="99"/>
    <col min="9985" max="9985" width="28.13281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328125" style="99" customWidth="1"/>
    <col min="9991" max="10240" width="9" style="99"/>
    <col min="10241" max="10241" width="28.13281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328125" style="99" customWidth="1"/>
    <col min="10247" max="10496" width="9" style="99"/>
    <col min="10497" max="10497" width="28.13281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328125" style="99" customWidth="1"/>
    <col min="10503" max="10752" width="9" style="99"/>
    <col min="10753" max="10753" width="28.13281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328125" style="99" customWidth="1"/>
    <col min="10759" max="11008" width="9" style="99"/>
    <col min="11009" max="11009" width="28.13281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328125" style="99" customWidth="1"/>
    <col min="11015" max="11264" width="9" style="99"/>
    <col min="11265" max="11265" width="28.13281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328125" style="99" customWidth="1"/>
    <col min="11271" max="11520" width="9" style="99"/>
    <col min="11521" max="11521" width="28.13281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328125" style="99" customWidth="1"/>
    <col min="11527" max="11776" width="9" style="99"/>
    <col min="11777" max="11777" width="28.13281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328125" style="99" customWidth="1"/>
    <col min="11783" max="12032" width="9" style="99"/>
    <col min="12033" max="12033" width="28.13281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328125" style="99" customWidth="1"/>
    <col min="12039" max="12288" width="9" style="99"/>
    <col min="12289" max="12289" width="28.13281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328125" style="99" customWidth="1"/>
    <col min="12295" max="12544" width="9" style="99"/>
    <col min="12545" max="12545" width="28.13281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328125" style="99" customWidth="1"/>
    <col min="12551" max="12800" width="9" style="99"/>
    <col min="12801" max="12801" width="28.13281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328125" style="99" customWidth="1"/>
    <col min="12807" max="13056" width="9" style="99"/>
    <col min="13057" max="13057" width="28.13281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328125" style="99" customWidth="1"/>
    <col min="13063" max="13312" width="9" style="99"/>
    <col min="13313" max="13313" width="28.13281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328125" style="99" customWidth="1"/>
    <col min="13319" max="13568" width="9" style="99"/>
    <col min="13569" max="13569" width="28.13281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328125" style="99" customWidth="1"/>
    <col min="13575" max="13824" width="9" style="99"/>
    <col min="13825" max="13825" width="28.13281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328125" style="99" customWidth="1"/>
    <col min="13831" max="14080" width="9" style="99"/>
    <col min="14081" max="14081" width="28.13281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328125" style="99" customWidth="1"/>
    <col min="14087" max="14336" width="9" style="99"/>
    <col min="14337" max="14337" width="28.13281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328125" style="99" customWidth="1"/>
    <col min="14343" max="14592" width="9" style="99"/>
    <col min="14593" max="14593" width="28.13281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328125" style="99" customWidth="1"/>
    <col min="14599" max="14848" width="9" style="99"/>
    <col min="14849" max="14849" width="28.13281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328125" style="99" customWidth="1"/>
    <col min="14855" max="15104" width="9" style="99"/>
    <col min="15105" max="15105" width="28.13281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328125" style="99" customWidth="1"/>
    <col min="15111" max="15360" width="9" style="99"/>
    <col min="15361" max="15361" width="28.13281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328125" style="99" customWidth="1"/>
    <col min="15367" max="15616" width="9" style="99"/>
    <col min="15617" max="15617" width="28.13281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328125" style="99" customWidth="1"/>
    <col min="15623" max="15872" width="9" style="99"/>
    <col min="15873" max="15873" width="28.13281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328125" style="99" customWidth="1"/>
    <col min="15879" max="16128" width="9" style="99"/>
    <col min="16129" max="16129" width="28.13281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328125" style="99" customWidth="1"/>
    <col min="16135" max="16384" width="9" style="99"/>
  </cols>
  <sheetData>
    <row r="2" spans="1:6" s="96" customFormat="1" ht="75.75" customHeight="1">
      <c r="A2" s="95"/>
      <c r="B2" s="127" t="s">
        <v>79</v>
      </c>
      <c r="C2" s="127"/>
      <c r="D2" s="127"/>
      <c r="E2" s="127"/>
      <c r="F2" s="127"/>
    </row>
    <row r="3" spans="1:6">
      <c r="A3" s="97"/>
      <c r="B3" s="98"/>
      <c r="E3" s="100"/>
    </row>
    <row r="4" spans="1:6" ht="14.25" customHeight="1">
      <c r="A4" s="101" t="s">
        <v>0</v>
      </c>
      <c r="B4" s="128" t="s">
        <v>1</v>
      </c>
      <c r="C4" s="128"/>
      <c r="D4" s="128"/>
      <c r="E4" s="101" t="s">
        <v>2</v>
      </c>
      <c r="F4" s="102"/>
    </row>
    <row r="5" spans="1:6" ht="14.25" customHeight="1">
      <c r="A5" s="101" t="s">
        <v>3</v>
      </c>
      <c r="B5" s="128" t="s">
        <v>4</v>
      </c>
      <c r="C5" s="128"/>
      <c r="D5" s="128"/>
      <c r="E5" s="101" t="s">
        <v>7</v>
      </c>
      <c r="F5" s="103" t="s">
        <v>45</v>
      </c>
    </row>
    <row r="6" spans="1:6" ht="15.75" customHeight="1">
      <c r="A6" s="104" t="s">
        <v>6</v>
      </c>
      <c r="B6" s="129" t="str">
        <f>B5&amp;"_"&amp;"XXX"&amp;"_"&amp;"vx.x"</f>
        <v>&lt;Project Code&gt;_XXX_vx.x</v>
      </c>
      <c r="C6" s="130"/>
      <c r="D6" s="131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77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zoomScaleNormal="100" workbookViewId="0">
      <selection activeCell="D13" sqref="D13"/>
    </sheetView>
  </sheetViews>
  <sheetFormatPr defaultColWidth="9" defaultRowHeight="12.75"/>
  <cols>
    <col min="1" max="1" width="1.33203125" style="1" customWidth="1"/>
    <col min="2" max="2" width="11.796875" style="3" customWidth="1"/>
    <col min="3" max="3" width="26.46484375" style="4" customWidth="1"/>
    <col min="4" max="4" width="17.1328125" style="4" customWidth="1"/>
    <col min="5" max="5" width="28.1328125" style="4" customWidth="1"/>
    <col min="6" max="6" width="30.6640625" style="4" customWidth="1"/>
    <col min="7" max="16384" width="9" style="1"/>
  </cols>
  <sheetData>
    <row r="1" spans="2:6" ht="24.4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4" t="s">
        <v>0</v>
      </c>
      <c r="C3" s="134"/>
      <c r="D3" s="135" t="e">
        <f>#REF!</f>
        <v>#REF!</v>
      </c>
      <c r="E3" s="135"/>
      <c r="F3" s="135"/>
    </row>
    <row r="4" spans="2:6">
      <c r="B4" s="134" t="s">
        <v>3</v>
      </c>
      <c r="C4" s="134"/>
      <c r="D4" s="135" t="e">
        <f>#REF!</f>
        <v>#REF!</v>
      </c>
      <c r="E4" s="135"/>
      <c r="F4" s="135"/>
    </row>
    <row r="5" spans="2:6" s="9" customFormat="1" ht="84.75" customHeight="1">
      <c r="B5" s="132" t="s">
        <v>17</v>
      </c>
      <c r="C5" s="132"/>
      <c r="D5" s="133" t="s">
        <v>18</v>
      </c>
      <c r="E5" s="133"/>
      <c r="F5" s="13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>
      <c r="B9" s="19">
        <v>1</v>
      </c>
      <c r="C9" s="20" t="s">
        <v>24</v>
      </c>
      <c r="D9" s="94" t="s">
        <v>56</v>
      </c>
      <c r="E9" s="21"/>
      <c r="F9" s="22"/>
    </row>
    <row r="10" spans="2:6">
      <c r="B10" s="19">
        <v>2</v>
      </c>
      <c r="C10" s="20" t="s">
        <v>25</v>
      </c>
      <c r="D10" s="94" t="s">
        <v>56</v>
      </c>
      <c r="E10" s="21"/>
      <c r="F10" s="22"/>
    </row>
    <row r="11" spans="2:6">
      <c r="B11" s="19">
        <v>3</v>
      </c>
      <c r="C11" s="20" t="s">
        <v>26</v>
      </c>
      <c r="D11" s="94" t="s">
        <v>56</v>
      </c>
      <c r="E11" s="21"/>
      <c r="F11" s="22"/>
    </row>
    <row r="12" spans="2:6">
      <c r="B12" s="19">
        <v>4</v>
      </c>
      <c r="C12" s="20" t="s">
        <v>27</v>
      </c>
      <c r="D12" s="94" t="s">
        <v>57</v>
      </c>
      <c r="E12" s="21"/>
      <c r="F12" s="22"/>
    </row>
    <row r="13" spans="2:6">
      <c r="B13" s="19">
        <v>5</v>
      </c>
      <c r="C13" s="20" t="s">
        <v>28</v>
      </c>
      <c r="D13" s="94" t="s">
        <v>57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85" zoomScaleNormal="85" workbookViewId="0">
      <selection activeCell="B2" sqref="B2"/>
    </sheetView>
  </sheetViews>
  <sheetFormatPr defaultColWidth="9" defaultRowHeight="12.75"/>
  <cols>
    <col min="1" max="1" width="4.4648437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6484375" style="1" customWidth="1"/>
    <col min="9" max="9" width="33.1328125" style="1" customWidth="1"/>
    <col min="10" max="16384" width="9" style="1"/>
  </cols>
  <sheetData>
    <row r="1" spans="1:8" ht="25.5" customHeight="1">
      <c r="B1" s="138" t="s">
        <v>80</v>
      </c>
      <c r="C1" s="138"/>
      <c r="D1" s="138"/>
      <c r="E1" s="138"/>
      <c r="F1" s="138"/>
      <c r="G1" s="138"/>
      <c r="H1" s="138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5" t="s">
        <v>1</v>
      </c>
      <c r="D3" s="135"/>
      <c r="E3" s="136" t="s">
        <v>2</v>
      </c>
      <c r="F3" s="136"/>
      <c r="G3" s="50"/>
      <c r="H3" s="51"/>
    </row>
    <row r="4" spans="1:8" ht="12" customHeight="1">
      <c r="B4" s="2" t="s">
        <v>3</v>
      </c>
      <c r="C4" s="135" t="s">
        <v>4</v>
      </c>
      <c r="D4" s="135"/>
      <c r="E4" s="136" t="s">
        <v>5</v>
      </c>
      <c r="F4" s="136"/>
      <c r="G4" s="50"/>
      <c r="H4" s="51"/>
    </row>
    <row r="5" spans="1:8" ht="12" customHeight="1">
      <c r="B5" s="52" t="s">
        <v>6</v>
      </c>
      <c r="C5" s="135" t="str">
        <f>C4&amp;"_"&amp;"Test Report"&amp;"_"&amp;"vx.x"</f>
        <v>&lt;Project Code&gt;_Test Report_vx.x</v>
      </c>
      <c r="D5" s="135"/>
      <c r="E5" s="136" t="s">
        <v>7</v>
      </c>
      <c r="F5" s="136"/>
      <c r="G5" s="50"/>
      <c r="H5" s="53" t="s">
        <v>45</v>
      </c>
    </row>
    <row r="6" spans="1:8" ht="21.75" customHeight="1">
      <c r="A6" s="47"/>
      <c r="B6" s="52" t="s">
        <v>46</v>
      </c>
      <c r="C6" s="137" t="s">
        <v>47</v>
      </c>
      <c r="D6" s="137"/>
      <c r="E6" s="137"/>
      <c r="F6" s="137"/>
      <c r="G6" s="137"/>
      <c r="H6" s="137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str">
        <f>'Feature Name1'!B2</f>
        <v>&lt;Feature Name1&gt;</v>
      </c>
      <c r="D11" s="64">
        <f>'Feature Name1'!B6</f>
        <v>0</v>
      </c>
      <c r="E11" s="64">
        <f>'Feature Name1'!C6</f>
        <v>1</v>
      </c>
      <c r="F11" s="64">
        <f>'Feature Name1'!D6</f>
        <v>5</v>
      </c>
      <c r="G11" s="64">
        <f>'Feature Name1'!E6</f>
        <v>0</v>
      </c>
      <c r="H11" s="66">
        <f>'Feature Name1'!B4</f>
        <v>8</v>
      </c>
    </row>
    <row r="12" spans="1:8">
      <c r="A12" s="56"/>
      <c r="B12" s="62">
        <v>2</v>
      </c>
      <c r="C12" s="63" t="str">
        <f>'Feature Name2'!B2</f>
        <v>&lt;Feature Name2&gt;</v>
      </c>
      <c r="D12" s="64">
        <f>'Feature Name2'!B6</f>
        <v>0</v>
      </c>
      <c r="E12" s="64">
        <f>'Feature Name2'!C6</f>
        <v>0</v>
      </c>
      <c r="F12" s="64">
        <f>'Feature Name2'!D6</f>
        <v>5</v>
      </c>
      <c r="G12" s="64">
        <f>'Feature Name2'!E6</f>
        <v>0</v>
      </c>
      <c r="H12" s="64">
        <f>'Feature Name2'!B4</f>
        <v>7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50</v>
      </c>
      <c r="D14" s="69">
        <f>SUM(D9:D13)</f>
        <v>0</v>
      </c>
      <c r="E14" s="69">
        <f>SUM(E9:E13)</f>
        <v>1</v>
      </c>
      <c r="F14" s="69">
        <f>SUM(F9:F13)</f>
        <v>10</v>
      </c>
      <c r="G14" s="69">
        <f>SUM(G9:G13)</f>
        <v>0</v>
      </c>
      <c r="H14" s="70">
        <f>SUM(H9:H13)</f>
        <v>15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51</v>
      </c>
      <c r="E16" s="75">
        <f>(D14+E14)*100/(H14-G14)</f>
        <v>6.666666666666667</v>
      </c>
      <c r="F16" s="1" t="s">
        <v>52</v>
      </c>
      <c r="H16" s="33"/>
    </row>
    <row r="17" spans="3:8">
      <c r="C17" s="74" t="s">
        <v>53</v>
      </c>
      <c r="E17" s="75">
        <f>D14*100/(H14-G14)</f>
        <v>0</v>
      </c>
      <c r="F17" s="1" t="s">
        <v>52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9"/>
  <sheetViews>
    <sheetView zoomScale="70" zoomScaleNormal="70" workbookViewId="0">
      <pane ySplit="10" topLeftCell="A11" activePane="bottomLeft" state="frozen"/>
      <selection pane="bottomLeft" activeCell="A11" sqref="A11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4.1328125" style="1" customWidth="1"/>
    <col min="4" max="4" width="34.6640625" style="1" customWidth="1"/>
    <col min="5" max="5" width="28.33203125" style="1" customWidth="1"/>
    <col min="6" max="6" width="9.33203125" style="1" customWidth="1" collapsed="1"/>
    <col min="7" max="7" width="10.6640625" style="1" hidden="1" customWidth="1" outlineLevel="1"/>
    <col min="8" max="8" width="7" style="1" hidden="1" customWidth="1" outlineLevel="1"/>
    <col min="9" max="9" width="9.33203125" style="1" customWidth="1" collapsed="1"/>
    <col min="10" max="10" width="10.6640625" style="1" hidden="1" customWidth="1" outlineLevel="1"/>
    <col min="11" max="11" width="7" style="1" hidden="1" customWidth="1" outlineLevel="1"/>
    <col min="12" max="12" width="9.33203125" style="1" customWidth="1" collapsed="1"/>
    <col min="13" max="13" width="10.6640625" style="1" hidden="1" customWidth="1" outlineLevel="1"/>
    <col min="14" max="14" width="7" style="1" hidden="1" customWidth="1" outlineLevel="1"/>
    <col min="15" max="15" width="16.59765625" style="1" customWidth="1"/>
    <col min="16" max="16" width="28.6640625" style="1" customWidth="1"/>
    <col min="17" max="17" width="10.1328125" style="1" customWidth="1"/>
    <col min="18" max="18" width="8.1328125" style="28" customWidth="1"/>
    <col min="19" max="19" width="7.6640625" style="1" hidden="1" customWidth="1"/>
    <col min="20" max="16384" width="9" style="1"/>
  </cols>
  <sheetData>
    <row r="1" spans="1:19" ht="13.15" thickBot="1"/>
    <row r="2" spans="1:19" s="30" customFormat="1" ht="15" customHeight="1">
      <c r="A2" s="92" t="s">
        <v>58</v>
      </c>
      <c r="B2" s="139" t="s">
        <v>59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9"/>
      <c r="R2" s="29"/>
      <c r="S2" s="30" t="s">
        <v>62</v>
      </c>
    </row>
    <row r="3" spans="1:19" s="30" customFormat="1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9"/>
      <c r="R3" s="29"/>
      <c r="S3" s="30" t="s">
        <v>63</v>
      </c>
    </row>
    <row r="4" spans="1:19" s="30" customFormat="1" ht="18" customHeight="1">
      <c r="A4" s="93" t="s">
        <v>76</v>
      </c>
      <c r="B4" s="141">
        <f>COUNTA(A12:A1000)</f>
        <v>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9"/>
      <c r="R4" s="29"/>
      <c r="S4" s="30" t="s">
        <v>61</v>
      </c>
    </row>
    <row r="5" spans="1:19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1"/>
      <c r="R5" s="32"/>
      <c r="S5" s="30" t="s">
        <v>32</v>
      </c>
    </row>
    <row r="6" spans="1:19" s="30" customFormat="1" ht="15" customHeight="1">
      <c r="A6" s="86" t="s">
        <v>65</v>
      </c>
      <c r="B6" s="85">
        <f>COUNTIF($F10:$F998,B5)</f>
        <v>0</v>
      </c>
      <c r="C6" s="85">
        <f t="shared" ref="C6:E6" si="0">COUNTIF($F10:$F998,C5)</f>
        <v>1</v>
      </c>
      <c r="D6" s="85">
        <f t="shared" si="0"/>
        <v>5</v>
      </c>
      <c r="E6" s="91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1"/>
      <c r="R6" s="32"/>
    </row>
    <row r="7" spans="1:19" s="30" customFormat="1" ht="15" customHeight="1">
      <c r="A7" s="86" t="s">
        <v>67</v>
      </c>
      <c r="B7" s="85">
        <f>COUNTIF($F10:$F998,B5)</f>
        <v>0</v>
      </c>
      <c r="C7" s="85">
        <f t="shared" ref="C7:E7" si="1">COUNTIF($F10:$F998,C5)</f>
        <v>1</v>
      </c>
      <c r="D7" s="85">
        <f t="shared" si="1"/>
        <v>5</v>
      </c>
      <c r="E7" s="91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1"/>
      <c r="R7" s="32"/>
    </row>
    <row r="8" spans="1:19" s="30" customFormat="1" ht="15" customHeight="1" thickBot="1">
      <c r="A8" s="88" t="s">
        <v>68</v>
      </c>
      <c r="B8" s="89">
        <f>COUNTIF($F10:$F998,B5)</f>
        <v>0</v>
      </c>
      <c r="C8" s="89">
        <f t="shared" ref="C8:E8" si="2">COUNTIF($F10:$F998,C5)</f>
        <v>1</v>
      </c>
      <c r="D8" s="89">
        <f t="shared" si="2"/>
        <v>5</v>
      </c>
      <c r="E8" s="90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78</v>
      </c>
      <c r="P10" s="83" t="s">
        <v>35</v>
      </c>
      <c r="R10" s="34"/>
    </row>
    <row r="11" spans="1:19" s="30" customFormat="1" ht="15.75" customHeight="1">
      <c r="A11" s="79" t="s">
        <v>24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R11" s="38"/>
    </row>
    <row r="12" spans="1:19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63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39"/>
      <c r="P12" s="42"/>
      <c r="R12" s="43"/>
    </row>
    <row r="13" spans="1:19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39"/>
      <c r="P13" s="42"/>
      <c r="R13" s="43"/>
    </row>
    <row r="14" spans="1:19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39"/>
      <c r="P14" s="42"/>
      <c r="R14" s="43"/>
    </row>
    <row r="15" spans="1:19" s="30" customFormat="1" ht="15.75" customHeight="1">
      <c r="A15" s="79" t="s">
        <v>25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39"/>
      <c r="P16" s="42"/>
      <c r="R16" s="43"/>
    </row>
    <row r="17" spans="1:18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  <c r="P17" s="46"/>
    </row>
    <row r="18" spans="1:18" s="30" customFormat="1" ht="15.75" customHeight="1">
      <c r="A18" s="79" t="s">
        <v>26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R18" s="38"/>
    </row>
    <row r="19" spans="1:18" outlineLevel="1">
      <c r="A19" s="39" t="s">
        <v>74</v>
      </c>
      <c r="B19" s="39" t="s">
        <v>44</v>
      </c>
      <c r="C19" s="39"/>
      <c r="D19" s="39"/>
      <c r="E19" s="39"/>
      <c r="F19" s="39" t="s">
        <v>61</v>
      </c>
      <c r="G19" s="39"/>
      <c r="H19" s="39"/>
      <c r="I19" s="39" t="s">
        <v>61</v>
      </c>
      <c r="J19" s="39"/>
      <c r="K19" s="39"/>
      <c r="L19" s="39" t="s">
        <v>61</v>
      </c>
      <c r="M19" s="39"/>
      <c r="N19" s="39"/>
      <c r="O19" s="39"/>
      <c r="P19" s="42"/>
      <c r="R19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G20:G147 I12:I19 J2:J3 J9 J20:J147 F12:F19 M2:M3 M9 M20:M147 L12:L19" xr:uid="{00000000-0002-0000-0200-000000000000}">
      <formula1>$S$2:$S$5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S19"/>
  <sheetViews>
    <sheetView zoomScale="70" zoomScaleNormal="70" workbookViewId="0">
      <pane ySplit="10" topLeftCell="A11" activePane="bottomLeft" state="frozen"/>
      <selection pane="bottomLeft" activeCell="O12" sqref="O12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 collapsed="1"/>
    <col min="7" max="7" width="10.6640625" style="1" hidden="1" customWidth="1" outlineLevel="1"/>
    <col min="8" max="8" width="7" style="1" hidden="1" customWidth="1" outlineLevel="1"/>
    <col min="9" max="9" width="9.33203125" style="1" customWidth="1" collapsed="1"/>
    <col min="10" max="10" width="10.6640625" style="1" hidden="1" customWidth="1" outlineLevel="1"/>
    <col min="11" max="11" width="7" style="1" hidden="1" customWidth="1" outlineLevel="1"/>
    <col min="12" max="12" width="9.33203125" style="1" customWidth="1" collapsed="1"/>
    <col min="13" max="13" width="10.6640625" style="1" hidden="1" customWidth="1" outlineLevel="1"/>
    <col min="14" max="14" width="7" style="1" hidden="1" customWidth="1" outlineLevel="1"/>
    <col min="15" max="15" width="16.59765625" style="1" customWidth="1"/>
    <col min="16" max="16" width="28.6640625" style="1" customWidth="1"/>
    <col min="17" max="17" width="10.1328125" style="1" customWidth="1"/>
    <col min="18" max="18" width="8.1328125" style="28" customWidth="1"/>
    <col min="19" max="19" width="7.6640625" style="1" hidden="1" customWidth="1"/>
    <col min="20" max="16384" width="9" style="1"/>
  </cols>
  <sheetData>
    <row r="1" spans="1:19" ht="13.15" thickBot="1"/>
    <row r="2" spans="1:19" s="30" customFormat="1" ht="15" customHeight="1">
      <c r="A2" s="92" t="s">
        <v>58</v>
      </c>
      <c r="B2" s="139" t="s">
        <v>60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9"/>
      <c r="R2" s="29"/>
      <c r="S2" s="30" t="s">
        <v>62</v>
      </c>
    </row>
    <row r="3" spans="1:19" s="30" customFormat="1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9"/>
      <c r="R3" s="29"/>
      <c r="S3" s="30" t="s">
        <v>63</v>
      </c>
    </row>
    <row r="4" spans="1:19" s="30" customFormat="1" ht="18" customHeight="1">
      <c r="A4" s="93" t="s">
        <v>76</v>
      </c>
      <c r="B4" s="141">
        <f>COUNTA(A12:A998)</f>
        <v>7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9"/>
      <c r="R4" s="29"/>
      <c r="S4" s="30" t="s">
        <v>61</v>
      </c>
    </row>
    <row r="5" spans="1:19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1"/>
      <c r="R5" s="32"/>
      <c r="S5" s="30" t="s">
        <v>32</v>
      </c>
    </row>
    <row r="6" spans="1:19" s="30" customFormat="1" ht="15" customHeight="1">
      <c r="A6" s="86" t="s">
        <v>65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1"/>
      <c r="R6" s="32"/>
    </row>
    <row r="7" spans="1:19" s="30" customFormat="1" ht="15" customHeight="1">
      <c r="A7" s="86" t="s">
        <v>67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1"/>
      <c r="R7" s="32"/>
    </row>
    <row r="8" spans="1:19" s="30" customFormat="1" ht="15" customHeight="1" thickBot="1">
      <c r="A8" s="88" t="s">
        <v>68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78</v>
      </c>
      <c r="P10" s="83" t="s">
        <v>35</v>
      </c>
      <c r="R10" s="34"/>
    </row>
    <row r="11" spans="1:19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R11" s="38"/>
    </row>
    <row r="12" spans="1:19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39"/>
      <c r="P12" s="42"/>
      <c r="R12" s="43"/>
    </row>
    <row r="13" spans="1:19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39"/>
      <c r="P13" s="42"/>
      <c r="R13" s="43"/>
    </row>
    <row r="14" spans="1:19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39"/>
      <c r="P14" s="42"/>
      <c r="R14" s="43"/>
    </row>
    <row r="15" spans="1:19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39"/>
      <c r="P16" s="42"/>
      <c r="R16" s="43"/>
    </row>
    <row r="17" spans="1:16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  <c r="P17" s="46"/>
    </row>
    <row r="18" spans="1:16">
      <c r="A18" s="1">
        <v>6</v>
      </c>
      <c r="O18" s="36"/>
    </row>
    <row r="19" spans="1:16">
      <c r="O19" s="39"/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A979-4522-40CE-BB00-8A9AA8803D97}">
  <dimension ref="A1:J20"/>
  <sheetViews>
    <sheetView tabSelected="1" zoomScale="70" zoomScaleNormal="70" workbookViewId="0">
      <pane ySplit="1" topLeftCell="A2" activePane="bottomLeft" state="frozen"/>
      <selection pane="bottomLeft" activeCell="F8" sqref="F8"/>
    </sheetView>
  </sheetViews>
  <sheetFormatPr defaultRowHeight="14.25"/>
  <cols>
    <col min="1" max="1" width="14" style="143" customWidth="1"/>
    <col min="2" max="2" width="28" style="143" customWidth="1"/>
    <col min="3" max="4" width="18" style="143" customWidth="1"/>
    <col min="5" max="5" width="26.59765625" style="143" customWidth="1"/>
    <col min="6" max="6" width="26" style="143" customWidth="1"/>
    <col min="7" max="7" width="32" style="143" customWidth="1"/>
    <col min="8" max="8" width="10" style="143" customWidth="1"/>
    <col min="9" max="9" width="12" style="143" customWidth="1"/>
    <col min="10" max="10" width="22" style="143" customWidth="1"/>
    <col min="11" max="16384" width="9.06640625" style="143"/>
  </cols>
  <sheetData>
    <row r="1" spans="1:10" ht="26.25">
      <c r="A1" s="146" t="s">
        <v>75</v>
      </c>
      <c r="B1" s="146" t="s">
        <v>81</v>
      </c>
      <c r="C1" s="146" t="s">
        <v>82</v>
      </c>
      <c r="D1" s="146" t="s">
        <v>83</v>
      </c>
      <c r="E1" s="146" t="s">
        <v>84</v>
      </c>
      <c r="F1" s="146" t="s">
        <v>85</v>
      </c>
      <c r="G1" s="146" t="s">
        <v>86</v>
      </c>
      <c r="H1" s="146" t="s">
        <v>87</v>
      </c>
      <c r="I1" s="146" t="s">
        <v>88</v>
      </c>
      <c r="J1" s="146" t="s">
        <v>46</v>
      </c>
    </row>
    <row r="2" spans="1:10" ht="33" customHeight="1">
      <c r="A2" s="147" t="s">
        <v>89</v>
      </c>
      <c r="B2" s="147" t="s">
        <v>90</v>
      </c>
      <c r="C2" s="147" t="s">
        <v>91</v>
      </c>
      <c r="D2" s="147" t="s">
        <v>92</v>
      </c>
      <c r="E2" s="147" t="s">
        <v>93</v>
      </c>
      <c r="F2" s="147" t="s">
        <v>94</v>
      </c>
      <c r="G2" s="147" t="s">
        <v>95</v>
      </c>
      <c r="H2" s="147" t="s">
        <v>96</v>
      </c>
      <c r="I2" s="147"/>
      <c r="J2" s="147"/>
    </row>
    <row r="3" spans="1:10" ht="25.5">
      <c r="A3" s="147" t="s">
        <v>97</v>
      </c>
      <c r="B3" s="147" t="s">
        <v>98</v>
      </c>
      <c r="C3" s="147" t="s">
        <v>99</v>
      </c>
      <c r="D3" s="147" t="s">
        <v>92</v>
      </c>
      <c r="E3" s="147" t="s">
        <v>100</v>
      </c>
      <c r="F3" s="147" t="s">
        <v>101</v>
      </c>
      <c r="G3" s="147" t="s">
        <v>102</v>
      </c>
      <c r="H3" s="147" t="s">
        <v>96</v>
      </c>
      <c r="I3" s="147"/>
      <c r="J3" s="147"/>
    </row>
    <row r="4" spans="1:10" ht="25.5">
      <c r="A4" s="147" t="s">
        <v>103</v>
      </c>
      <c r="B4" s="147" t="s">
        <v>104</v>
      </c>
      <c r="C4" s="147" t="s">
        <v>105</v>
      </c>
      <c r="D4" s="147" t="s">
        <v>106</v>
      </c>
      <c r="E4" s="147" t="s">
        <v>107</v>
      </c>
      <c r="F4" s="147" t="s">
        <v>108</v>
      </c>
      <c r="G4" s="147" t="s">
        <v>109</v>
      </c>
      <c r="H4" s="147" t="s">
        <v>96</v>
      </c>
      <c r="I4" s="147"/>
      <c r="J4" s="147"/>
    </row>
    <row r="5" spans="1:10" ht="38.25">
      <c r="A5" s="147" t="s">
        <v>110</v>
      </c>
      <c r="B5" s="147" t="s">
        <v>111</v>
      </c>
      <c r="C5" s="147" t="s">
        <v>112</v>
      </c>
      <c r="D5" s="147" t="s">
        <v>113</v>
      </c>
      <c r="E5" s="147" t="s">
        <v>114</v>
      </c>
      <c r="F5" s="147" t="s">
        <v>115</v>
      </c>
      <c r="G5" s="147" t="s">
        <v>116</v>
      </c>
      <c r="H5" s="147" t="s">
        <v>96</v>
      </c>
      <c r="I5" s="147"/>
      <c r="J5" s="147"/>
    </row>
    <row r="6" spans="1:10">
      <c r="A6" s="145"/>
      <c r="B6" s="145"/>
      <c r="C6" s="145"/>
      <c r="D6" s="145"/>
      <c r="E6" s="145"/>
      <c r="F6" s="145"/>
      <c r="G6" s="145"/>
      <c r="H6" s="145"/>
      <c r="I6" s="145"/>
      <c r="J6" s="145"/>
    </row>
    <row r="7" spans="1:10">
      <c r="A7" s="144"/>
      <c r="B7" s="144"/>
      <c r="C7" s="144"/>
      <c r="D7" s="144"/>
      <c r="E7" s="144"/>
      <c r="F7" s="144"/>
      <c r="G7" s="144"/>
      <c r="H7" s="144"/>
      <c r="I7" s="144"/>
      <c r="J7" s="144"/>
    </row>
    <row r="8" spans="1:10">
      <c r="A8" s="144"/>
      <c r="B8" s="144"/>
      <c r="C8" s="144"/>
      <c r="D8" s="144"/>
      <c r="E8" s="144"/>
      <c r="F8" s="144"/>
      <c r="G8" s="144"/>
      <c r="H8" s="144"/>
      <c r="I8" s="144"/>
      <c r="J8" s="144"/>
    </row>
    <row r="9" spans="1:10">
      <c r="A9" s="144"/>
      <c r="B9" s="144"/>
      <c r="C9" s="144"/>
      <c r="D9" s="144"/>
      <c r="E9" s="144"/>
      <c r="F9" s="144"/>
      <c r="G9" s="144"/>
      <c r="H9" s="144"/>
      <c r="I9" s="144"/>
      <c r="J9" s="144"/>
    </row>
    <row r="10" spans="1:10">
      <c r="A10" s="144"/>
      <c r="B10" s="144"/>
      <c r="C10" s="144"/>
      <c r="D10" s="144"/>
      <c r="E10" s="144"/>
      <c r="F10" s="144"/>
      <c r="G10" s="144"/>
      <c r="H10" s="144"/>
      <c r="I10" s="144"/>
      <c r="J10" s="144"/>
    </row>
    <row r="11" spans="1:10">
      <c r="A11" s="144"/>
      <c r="B11" s="144"/>
      <c r="C11" s="144"/>
      <c r="D11" s="144"/>
      <c r="E11" s="144"/>
      <c r="F11" s="144"/>
      <c r="G11" s="144"/>
      <c r="H11" s="144"/>
      <c r="I11" s="144"/>
      <c r="J11" s="144"/>
    </row>
    <row r="12" spans="1:10">
      <c r="A12" s="144"/>
      <c r="B12" s="144"/>
      <c r="C12" s="144"/>
      <c r="D12" s="144"/>
      <c r="E12" s="144"/>
      <c r="F12" s="144"/>
      <c r="G12" s="144"/>
      <c r="H12" s="144"/>
      <c r="I12" s="144"/>
      <c r="J12" s="144"/>
    </row>
    <row r="13" spans="1:10">
      <c r="A13" s="144"/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0">
      <c r="A14" s="144"/>
      <c r="B14" s="144"/>
      <c r="C14" s="144"/>
      <c r="D14" s="144"/>
      <c r="E14" s="144"/>
      <c r="F14" s="144"/>
      <c r="G14" s="144"/>
      <c r="H14" s="144"/>
      <c r="I14" s="144"/>
      <c r="J14" s="144"/>
    </row>
    <row r="15" spans="1:10">
      <c r="A15" s="144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>
      <c r="A16" s="144"/>
      <c r="B16" s="144"/>
      <c r="C16" s="144"/>
      <c r="D16" s="144"/>
      <c r="E16" s="144"/>
      <c r="F16" s="144"/>
      <c r="G16" s="144"/>
      <c r="H16" s="144"/>
      <c r="I16" s="144"/>
      <c r="J16" s="144"/>
    </row>
    <row r="17" spans="1:10">
      <c r="A17" s="144"/>
      <c r="B17" s="144"/>
      <c r="C17" s="144"/>
      <c r="D17" s="144"/>
      <c r="E17" s="144"/>
      <c r="F17" s="144"/>
      <c r="G17" s="144"/>
      <c r="H17" s="144"/>
      <c r="I17" s="144"/>
      <c r="J17" s="144"/>
    </row>
    <row r="18" spans="1:10">
      <c r="A18" s="144"/>
      <c r="B18" s="144"/>
      <c r="C18" s="144"/>
      <c r="D18" s="144"/>
      <c r="E18" s="144"/>
      <c r="F18" s="144"/>
      <c r="G18" s="144"/>
      <c r="H18" s="144"/>
      <c r="I18" s="144"/>
      <c r="J18" s="144"/>
    </row>
    <row r="19" spans="1:10">
      <c r="A19" s="144"/>
      <c r="B19" s="144"/>
      <c r="C19" s="144"/>
      <c r="D19" s="144"/>
      <c r="E19" s="144"/>
      <c r="F19" s="144"/>
      <c r="G19" s="144"/>
      <c r="H19" s="144"/>
      <c r="I19" s="144"/>
      <c r="J19" s="144"/>
    </row>
    <row r="20" spans="1:10">
      <c r="A20" s="144"/>
      <c r="B20" s="144"/>
      <c r="C20" s="144"/>
      <c r="D20" s="144"/>
      <c r="E20" s="144"/>
      <c r="F20" s="144"/>
      <c r="G20" s="144"/>
      <c r="H20" s="144"/>
      <c r="I20" s="144"/>
      <c r="J20" s="144"/>
    </row>
  </sheetData>
  <dataValidations count="2">
    <dataValidation type="list" allowBlank="1" sqref="H2:H300" xr:uid="{ED1C6EC7-B3EA-4836-8453-9C83BC0E5AC4}">
      <formula1>"Not Run,Pass,Fail,Blocked,Skip"</formula1>
    </dataValidation>
    <dataValidation type="list" allowBlank="1" sqref="D2:D300" xr:uid="{1ACE628A-050A-4F6B-9CF4-CBB12AB35C70}">
      <formula1>"Equivalence Partitioning (EP),Boundary Value Analysis (BVA),Decision Table Testing,State Transition Testing,Use Case Testing,Error Guessing,Branch / Condition Coverage,Input Domain Partitioning"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Cases</vt:lpstr>
      <vt:lpstr>Test Statistics</vt:lpstr>
      <vt:lpstr>Feature Name1</vt:lpstr>
      <vt:lpstr>Feature Name2</vt:lpstr>
      <vt:lpstr>SecurityTest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Kien Nguyen Trung</cp:lastModifiedBy>
  <cp:lastPrinted>2010-11-12T10:33:20Z</cp:lastPrinted>
  <dcterms:created xsi:type="dcterms:W3CDTF">2020-03-17T17:34:29Z</dcterms:created>
  <dcterms:modified xsi:type="dcterms:W3CDTF">2026-08-17T15:11:12Z</dcterms:modified>
  <cp:category>BM</cp:category>
</cp:coreProperties>
</file>