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wbot\docs\test\"/>
    </mc:Choice>
  </mc:AlternateContent>
  <xr:revisionPtr revIDLastSave="0" documentId="8_{3972C8DF-F670-4AC7-B59E-20646E6CF662}" xr6:coauthVersionLast="47" xr6:coauthVersionMax="47" xr10:uidLastSave="{00000000-0000-0000-0000-000000000000}"/>
  <bookViews>
    <workbookView xWindow="-110" yWindow="-110" windowWidth="19420" windowHeight="10300" tabRatio="641" activeTab="1"/>
  </bookViews>
  <sheets>
    <sheet name="Guideline" sheetId="1" r:id="rId1"/>
    <sheet name="Cover" sheetId="4" r:id="rId2"/>
    <sheet name="MethodList" sheetId="5" r:id="rId3"/>
    <sheet name="Statistics" sheetId="6" r:id="rId4"/>
    <sheet name="methodName1" sheetId="7" r:id="rId5"/>
    <sheet name="methodName2" sheetId="10" r:id="rId6"/>
    <sheet name="Example" sheetId="12" r:id="rId7"/>
  </sheets>
  <definedNames>
    <definedName name="ACTION">#REF!</definedName>
    <definedName name="_xlnm.Print_Area" localSheetId="0">Guideline!$A$1:$A$47</definedName>
    <definedName name="_xlnm.Print_Area" localSheetId="2">MethodList!$A$1:$F$36</definedName>
    <definedName name="_xlnm.Print_Area" localSheetId="4">methodName1!$A$1:$T$51</definedName>
    <definedName name="_xlnm.Print_Area" localSheetId="5">methodName2!$A$1:$T$50</definedName>
    <definedName name="_xlnm.Print_Area" localSheetId="3">Statistics!$A$1:$I$40</definedName>
    <definedName name="Z_2C0D9096_8D85_462A_A9B5_0B488ADB4269_.wvu.Cols" localSheetId="4" hidden="1">methodName1!$E:$E</definedName>
    <definedName name="Z_2C0D9096_8D85_462A_A9B5_0B488ADB4269_.wvu.Cols" localSheetId="5" hidden="1">methodName2!$E:$E</definedName>
    <definedName name="Z_2C0D9096_8D85_462A_A9B5_0B488ADB4269_.wvu.PrintArea" localSheetId="3" hidden="1">Statistics!$A:$I</definedName>
    <definedName name="Z_6F1DCD5D_5DAC_4817_BF40_2B66F6F593E6_.wvu.Cols" localSheetId="4" hidden="1">methodName1!$E:$E</definedName>
    <definedName name="Z_6F1DCD5D_5DAC_4817_BF40_2B66F6F593E6_.wvu.Cols" localSheetId="5" hidden="1">methodName2!$E:$E</definedName>
    <definedName name="Z_6F1DCD5D_5DAC_4817_BF40_2B66F6F593E6_.wvu.PrintArea" localSheetId="3" hidden="1">Statistics!$A:$I</definedName>
    <definedName name="Z_BE54E0AD_3725_4423_92D7_4F1C045BE1BC_.wvu.Cols" localSheetId="4" hidden="1">methodName1!$E:$E</definedName>
    <definedName name="Z_BE54E0AD_3725_4423_92D7_4F1C045BE1BC_.wvu.Cols" localSheetId="5" hidden="1">methodName2!$E:$E</definedName>
    <definedName name="Z_BE54E0AD_3725_4423_92D7_4F1C045BE1BC_.wvu.PrintArea" localSheetId="3" hidden="1">Statistics!$A:$I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0" l="1"/>
  <c r="M5" i="10"/>
  <c r="G13" i="6" s="1"/>
  <c r="L5" i="10"/>
  <c r="F13" i="6" s="1"/>
  <c r="N5" i="7"/>
  <c r="H12" i="6" s="1"/>
  <c r="H16" i="6" s="1"/>
  <c r="D22" i="6" s="1"/>
  <c r="M5" i="7"/>
  <c r="G12" i="6" s="1"/>
  <c r="G16" i="6" s="1"/>
  <c r="D21" i="6" s="1"/>
  <c r="L5" i="7"/>
  <c r="F12" i="6" s="1"/>
  <c r="F16" i="6" s="1"/>
  <c r="D20" i="6" s="1"/>
  <c r="C5" i="10"/>
  <c r="D13" i="6" s="1"/>
  <c r="A5" i="10"/>
  <c r="F5" i="10" s="1"/>
  <c r="E13" i="6" s="1"/>
  <c r="C5" i="7"/>
  <c r="D12" i="6"/>
  <c r="A5" i="7"/>
  <c r="C12" i="6"/>
  <c r="O5" i="12"/>
  <c r="N5" i="12"/>
  <c r="M5" i="12"/>
  <c r="L5" i="12"/>
  <c r="A5" i="12"/>
  <c r="F5" i="12"/>
  <c r="C5" i="12"/>
  <c r="H13" i="6"/>
  <c r="O5" i="7"/>
  <c r="I12" i="6"/>
  <c r="O5" i="10"/>
  <c r="I13" i="6"/>
  <c r="B6" i="4"/>
  <c r="C4" i="5"/>
  <c r="C5" i="5"/>
  <c r="B4" i="6"/>
  <c r="B5" i="6"/>
  <c r="B6" i="6"/>
  <c r="F5" i="7"/>
  <c r="E12" i="6" s="1"/>
  <c r="E16" i="6" s="1"/>
  <c r="I16" i="6"/>
  <c r="D16" i="6" l="1"/>
  <c r="C13" i="6"/>
  <c r="C16" i="6" s="1"/>
  <c r="D18" i="6" l="1"/>
  <c r="D19" i="6"/>
</calcChain>
</file>

<file path=xl/comments1.xml><?xml version="1.0" encoding="utf-8"?>
<comments xmlns="http://schemas.openxmlformats.org/spreadsheetml/2006/main">
  <authors>
    <author/>
  </authors>
  <commentList>
    <comment ref="D10" authorId="0" shape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Nguyen Hoang Anh</author>
    <author>ANa</author>
  </authors>
  <commentList>
    <comment ref="A3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>
  <authors>
    <author>Nguyen Hoang Anh</author>
    <author>ANa</author>
  </authors>
  <commentList>
    <comment ref="A3" authorId="0" shapeId="0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8" authorId="1" shapeId="0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>
  <authors>
    <author>Nguyen Hoang Anh</author>
    <author>ANa</author>
  </authors>
  <commentList>
    <comment ref="A3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<sst xmlns="http://schemas.openxmlformats.org/spreadsheetml/2006/main" count="382" uniqueCount="174">
  <si>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</si>
  <si>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</si>
  <si>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</si>
  <si>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</si>
  <si>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</si>
  <si>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</si>
  <si>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</si>
  <si>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</si>
  <si>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</si>
  <si>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</si>
  <si>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</si>
  <si>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</si>
  <si>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</si>
  <si>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</si>
  <si>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</si>
  <si>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</si>
  <si>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</si>
  <si>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</si>
  <si>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</si>
  <si>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&lt;List enviroment requires in this system
1. Server
2. Database
3. Web Browser
...
&gt;</t>
  </si>
  <si>
    <t>No</t>
  </si>
  <si>
    <t>Sheet Name</t>
  </si>
  <si>
    <t>Description</t>
  </si>
  <si>
    <t>Pre-Condition</t>
  </si>
  <si>
    <t>UNIT TEST REPORT</t>
  </si>
  <si>
    <t>Notes</t>
  </si>
  <si>
    <t>&lt;List modules included in this release&gt; ex: Release 1 includes 2 modules: Module1 and Module2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</si>
  <si>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</si>
  <si>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</si>
  <si>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</si>
  <si>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</si>
  <si>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</si>
  <si>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</si>
  <si>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</si>
  <si>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</si>
  <si>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</si>
  <si>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</si>
  <si>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</si>
  <si>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</si>
  <si>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</si>
  <si>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</si>
  <si>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</si>
  <si>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</si>
  <si>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</si>
  <si>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</si>
  <si>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</si>
  <si>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</si>
  <si>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</si>
  <si>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</si>
  <si>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</si>
  <si>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</si>
  <si>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</si>
  <si>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</si>
  <si>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</si>
  <si>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</si>
  <si>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</si>
  <si>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</si>
  <si>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</si>
  <si>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</si>
  <si>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</si>
  <si>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</si>
  <si>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</si>
  <si>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</si>
  <si>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</si>
  <si>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</si>
  <si>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</si>
  <si>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</si>
  <si>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</si>
  <si>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</si>
  <si>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</si>
  <si>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</si>
  <si>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</si>
  <si>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</si>
  <si>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</si>
  <si>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</si>
  <si>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</si>
  <si>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</si>
  <si>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</si>
  <si>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</si>
  <si>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</si>
  <si>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</si>
  <si>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3" type="noConversion"/>
  </si>
  <si>
    <t>Return</t>
    <phoneticPr fontId="33" type="noConversion"/>
  </si>
  <si>
    <t>Exception</t>
    <phoneticPr fontId="33" type="noConversion"/>
  </si>
  <si>
    <t>Log message</t>
    <phoneticPr fontId="33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</si>
  <si>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</si>
  <si>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</si>
  <si>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</si>
  <si>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</si>
  <si>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</si>
  <si>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3" type="noConversion"/>
  </si>
  <si>
    <t>Input1</t>
    <phoneticPr fontId="33" type="noConversion"/>
  </si>
  <si>
    <t>Input2</t>
    <phoneticPr fontId="33" type="noConversion"/>
  </si>
  <si>
    <t>Return</t>
    <phoneticPr fontId="33" type="noConversion"/>
  </si>
  <si>
    <t>Exception</t>
    <phoneticPr fontId="33" type="noConversion"/>
  </si>
  <si>
    <t>Log message</t>
    <phoneticPr fontId="33" type="noConversion"/>
  </si>
  <si>
    <t>&lt;Brief description about requirements which are tested in this function&gt;</t>
  </si>
  <si>
    <t>Created By</t>
  </si>
  <si>
    <t>Executed By</t>
  </si>
  <si>
    <t>Test requirement</t>
  </si>
  <si>
    <t>N/A/B</t>
  </si>
  <si>
    <t>Condition</t>
  </si>
  <si>
    <t xml:space="preserve">Precondition </t>
  </si>
  <si>
    <t>Confirm</t>
  </si>
  <si>
    <t>Return</t>
  </si>
  <si>
    <t>Exception</t>
  </si>
  <si>
    <t>Log message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</si>
  <si>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</si>
  <si>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</si>
  <si>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</si>
  <si>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</si>
  <si>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</si>
  <si>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</si>
  <si>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</si>
  <si>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</si>
  <si>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</si>
  <si>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</si>
  <si>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</si>
  <si>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</si>
  <si>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</si>
  <si>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</si>
  <si>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</si>
  <si>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</si>
  <si>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3" type="noConversion"/>
  </si>
  <si>
    <t>b</t>
    <phoneticPr fontId="33" type="noConversion"/>
  </si>
  <si>
    <t>c</t>
    <phoneticPr fontId="43"/>
  </si>
  <si>
    <t xml:space="preserve">list </t>
    <phoneticPr fontId="43"/>
  </si>
  <si>
    <t>null</t>
    <phoneticPr fontId="43"/>
  </si>
  <si>
    <t>size = 0</t>
    <phoneticPr fontId="43"/>
  </si>
  <si>
    <t>O</t>
  </si>
  <si>
    <t>"please input a&gt;= -1"</t>
    <phoneticPr fontId="43"/>
  </si>
  <si>
    <t>{-1/2}</t>
    <phoneticPr fontId="43"/>
  </si>
  <si>
    <t>{1,1}</t>
    <phoneticPr fontId="43"/>
  </si>
  <si>
    <t>{1,-3}</t>
    <phoneticPr fontId="43"/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</si>
  <si>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</si>
  <si>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</si>
  <si>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</si>
  <si>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</si>
  <si>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</si>
  <si>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</si>
  <si>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</si>
  <si>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</si>
  <si>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</si>
  <si>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</si>
  <si>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</si>
  <si>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</si>
  <si>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</si>
  <si>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</si>
  <si>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</si>
  <si>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</si>
  <si>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</si>
  <si>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</si>
  <si>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</si>
  <si>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</si>
  <si>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</si>
  <si>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</si>
  <si>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Date</t>
  </si>
  <si>
    <t>Month</t>
  </si>
  <si>
    <t>Year</t>
  </si>
  <si>
    <t>T</t>
  </si>
  <si>
    <t>UNIT TEST DOCUMENT</t>
  </si>
  <si>
    <t>Code Module</t>
  </si>
  <si>
    <t>Method</t>
  </si>
  <si>
    <t>methodName</t>
  </si>
  <si>
    <t>Module Name</t>
  </si>
  <si>
    <t>ModuleName1</t>
  </si>
  <si>
    <t>ModuleName2</t>
  </si>
  <si>
    <t>Method Name</t>
  </si>
  <si>
    <t>methodName1</t>
  </si>
  <si>
    <t>methodName2</t>
  </si>
  <si>
    <t>ModuleName</t>
  </si>
  <si>
    <t xml:space="preserve"> - Method: it is name  of the code method/component and updated automatically according to FunctionList sheet.</t>
  </si>
  <si>
    <t xml:space="preserve"> - Code Module: name of the code module and updated automatically according to FunctionList sheet.</t>
  </si>
  <si>
    <t>Method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</si>
</sst>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0" formatCode="d\-mmm\-yy;@"/>
    <numFmt numFmtId="195" formatCode="mm/dd"/>
  </numFmts>
  <fonts count="5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9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7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274">
    <xf numFmtId="0" fontId="0" fillId="0" borderId="0" xfId="0">
      <alignment vertical="center"/>
    </xf>
    <xf numFmtId="0" fontId="21" fillId="0" borderId="10" xfId="40" applyFont="1" applyBorder="1" applyAlignment="1">
      <alignment horizontal="center" vertical="center"/>
    </xf>
    <xf numFmtId="0" fontId="23" fillId="0" borderId="0" xfId="40" applyFont="1" applyAlignment="1">
      <alignment horizontal="center" vertical="center"/>
    </xf>
    <xf numFmtId="0" fontId="23" fillId="0" borderId="0" xfId="40" applyFont="1"/>
    <xf numFmtId="0" fontId="24" fillId="24" borderId="0" xfId="40" applyFont="1" applyFill="1" applyAlignment="1">
      <alignment horizontal="left" indent="1"/>
    </xf>
    <xf numFmtId="0" fontId="25" fillId="0" borderId="0" xfId="40" applyFont="1" applyAlignment="1">
      <alignment horizontal="left" indent="1"/>
    </xf>
    <xf numFmtId="0" fontId="23" fillId="24" borderId="0" xfId="40" applyFont="1" applyFill="1"/>
    <xf numFmtId="0" fontId="23" fillId="0" borderId="11" xfId="40" applyFont="1" applyBorder="1" applyAlignment="1"/>
    <xf numFmtId="0" fontId="25" fillId="0" borderId="0" xfId="40" applyFont="1" applyBorder="1" applyAlignment="1">
      <alignment horizontal="left"/>
    </xf>
    <xf numFmtId="0" fontId="23" fillId="0" borderId="0" xfId="40" applyFont="1" applyBorder="1" applyAlignment="1"/>
    <xf numFmtId="0" fontId="24" fillId="0" borderId="0" xfId="40" applyFont="1" applyFill="1" applyBorder="1" applyAlignment="1">
      <alignment horizontal="left" indent="1"/>
    </xf>
    <xf numFmtId="0" fontId="25" fillId="0" borderId="0" xfId="40" applyFont="1" applyBorder="1" applyAlignment="1">
      <alignment horizontal="left" indent="1"/>
    </xf>
    <xf numFmtId="0" fontId="23" fillId="0" borderId="0" xfId="40" applyFont="1" applyFill="1"/>
    <xf numFmtId="0" fontId="23" fillId="0" borderId="0" xfId="40" applyFont="1" applyBorder="1"/>
    <xf numFmtId="0" fontId="23" fillId="0" borderId="0" xfId="40" applyFont="1" applyAlignment="1">
      <alignment vertical="center"/>
    </xf>
    <xf numFmtId="190" fontId="26" fillId="25" borderId="12" xfId="40" applyNumberFormat="1" applyFont="1" applyFill="1" applyBorder="1" applyAlignment="1">
      <alignment horizontal="center" vertical="center"/>
    </xf>
    <xf numFmtId="0" fontId="26" fillId="25" borderId="13" xfId="40" applyFont="1" applyFill="1" applyBorder="1" applyAlignment="1">
      <alignment horizontal="center" vertical="center"/>
    </xf>
    <xf numFmtId="0" fontId="26" fillId="25" borderId="14" xfId="40" applyFont="1" applyFill="1" applyBorder="1" applyAlignment="1">
      <alignment horizontal="center" vertical="center"/>
    </xf>
    <xf numFmtId="0" fontId="23" fillId="0" borderId="0" xfId="40" applyFont="1" applyAlignment="1">
      <alignment vertical="top"/>
    </xf>
    <xf numFmtId="49" fontId="23" fillId="0" borderId="15" xfId="40" applyNumberFormat="1" applyFont="1" applyBorder="1" applyAlignment="1">
      <alignment vertical="top"/>
    </xf>
    <xf numFmtId="0" fontId="23" fillId="0" borderId="15" xfId="40" applyFont="1" applyBorder="1" applyAlignment="1">
      <alignment vertical="top"/>
    </xf>
    <xf numFmtId="15" fontId="23" fillId="0" borderId="15" xfId="40" applyNumberFormat="1" applyFont="1" applyBorder="1" applyAlignment="1">
      <alignment vertical="top"/>
    </xf>
    <xf numFmtId="190" fontId="23" fillId="0" borderId="16" xfId="40" applyNumberFormat="1" applyFont="1" applyBorder="1" applyAlignment="1">
      <alignment vertical="top"/>
    </xf>
    <xf numFmtId="0" fontId="23" fillId="0" borderId="17" xfId="40" applyFont="1" applyBorder="1" applyAlignment="1">
      <alignment vertical="top"/>
    </xf>
    <xf numFmtId="190" fontId="23" fillId="0" borderId="18" xfId="40" applyNumberFormat="1" applyFont="1" applyBorder="1" applyAlignment="1">
      <alignment vertical="top"/>
    </xf>
    <xf numFmtId="49" fontId="23" fillId="0" borderId="19" xfId="40" applyNumberFormat="1" applyFont="1" applyBorder="1" applyAlignment="1">
      <alignment vertical="top"/>
    </xf>
    <xf numFmtId="0" fontId="23" fillId="0" borderId="19" xfId="40" applyFont="1" applyBorder="1" applyAlignment="1">
      <alignment vertical="top"/>
    </xf>
    <xf numFmtId="0" fontId="23" fillId="0" borderId="20" xfId="40" applyFont="1" applyBorder="1" applyAlignment="1">
      <alignment vertical="top"/>
    </xf>
    <xf numFmtId="0" fontId="23" fillId="0" borderId="0" xfId="40" applyFont="1" applyAlignment="1">
      <alignment horizontal="left" indent="1"/>
    </xf>
    <xf numFmtId="1" fontId="23" fillId="24" borderId="0" xfId="40" applyNumberFormat="1" applyFont="1" applyFill="1" applyProtection="1">
      <protection hidden="1"/>
    </xf>
    <xf numFmtId="0" fontId="23" fillId="24" borderId="0" xfId="40" applyFont="1" applyFill="1" applyAlignment="1">
      <alignment horizontal="left"/>
    </xf>
    <xf numFmtId="0" fontId="23" fillId="24" borderId="0" xfId="40" applyFont="1" applyFill="1" applyAlignment="1">
      <alignment horizontal="left" wrapText="1"/>
    </xf>
    <xf numFmtId="0" fontId="22" fillId="24" borderId="0" xfId="40" applyFont="1" applyFill="1" applyAlignment="1">
      <alignment horizontal="left"/>
    </xf>
    <xf numFmtId="0" fontId="27" fillId="24" borderId="0" xfId="40" applyFont="1" applyFill="1" applyAlignment="1">
      <alignment horizontal="left"/>
    </xf>
    <xf numFmtId="0" fontId="28" fillId="24" borderId="0" xfId="40" applyFont="1" applyFill="1" applyAlignment="1">
      <alignment horizontal="left"/>
    </xf>
    <xf numFmtId="0" fontId="23" fillId="24" borderId="0" xfId="40" applyFont="1" applyFill="1" applyAlignment="1">
      <alignment wrapText="1"/>
    </xf>
    <xf numFmtId="1" fontId="24" fillId="24" borderId="0" xfId="40" applyNumberFormat="1" applyFont="1" applyFill="1" applyBorder="1" applyAlignment="1"/>
    <xf numFmtId="0" fontId="23" fillId="24" borderId="0" xfId="40" applyFont="1" applyFill="1" applyBorder="1" applyAlignment="1"/>
    <xf numFmtId="0" fontId="23" fillId="24" borderId="0" xfId="40" applyFont="1" applyFill="1" applyBorder="1" applyAlignment="1">
      <alignment wrapText="1"/>
    </xf>
    <xf numFmtId="1" fontId="26" fillId="26" borderId="12" xfId="40" applyNumberFormat="1" applyFont="1" applyFill="1" applyBorder="1" applyAlignment="1">
      <alignment horizontal="center" vertical="center"/>
    </xf>
    <xf numFmtId="1" fontId="26" fillId="26" borderId="21" xfId="40" applyNumberFormat="1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 wrapText="1"/>
    </xf>
    <xf numFmtId="0" fontId="26" fillId="26" borderId="22" xfId="40" applyFont="1" applyFill="1" applyBorder="1" applyAlignment="1">
      <alignment horizontal="center" vertical="center"/>
    </xf>
    <xf numFmtId="0" fontId="26" fillId="26" borderId="14" xfId="40" applyFont="1" applyFill="1" applyBorder="1" applyAlignment="1">
      <alignment horizontal="center" vertical="center"/>
    </xf>
    <xf numFmtId="0" fontId="29" fillId="24" borderId="0" xfId="40" applyFont="1" applyFill="1" applyAlignment="1">
      <alignment horizontal="center"/>
    </xf>
    <xf numFmtId="1" fontId="23" fillId="24" borderId="23" xfId="40" applyNumberFormat="1" applyFont="1" applyFill="1" applyBorder="1" applyAlignment="1">
      <alignment vertical="center"/>
    </xf>
    <xf numFmtId="49" fontId="23" fillId="24" borderId="15" xfId="40" applyNumberFormat="1" applyFont="1" applyFill="1" applyBorder="1" applyAlignment="1">
      <alignment horizontal="left" vertical="center" wrapText="1"/>
    </xf>
    <xf numFmtId="0" fontId="30" fillId="24" borderId="15" xfId="34" applyNumberFormat="1" applyFont="1" applyFill="1" applyBorder="1" applyAlignment="1" applyProtection="1">
      <alignment horizontal="left" vertical="center"/>
    </xf>
    <xf numFmtId="0" fontId="23" fillId="24" borderId="17" xfId="40" applyFont="1" applyFill="1" applyBorder="1" applyAlignment="1">
      <alignment horizontal="left" vertical="center"/>
    </xf>
    <xf numFmtId="0" fontId="23" fillId="24" borderId="15" xfId="40" applyFont="1" applyFill="1" applyBorder="1" applyAlignment="1">
      <alignment horizontal="left" vertical="center"/>
    </xf>
    <xf numFmtId="1" fontId="23" fillId="24" borderId="24" xfId="40" applyNumberFormat="1" applyFont="1" applyFill="1" applyBorder="1" applyAlignment="1">
      <alignment vertical="center"/>
    </xf>
    <xf numFmtId="49" fontId="23" fillId="24" borderId="19" xfId="40" applyNumberFormat="1" applyFont="1" applyFill="1" applyBorder="1" applyAlignment="1">
      <alignment horizontal="left" vertical="center" wrapText="1"/>
    </xf>
    <xf numFmtId="0" fontId="23" fillId="24" borderId="19" xfId="40" applyFont="1" applyFill="1" applyBorder="1" applyAlignment="1">
      <alignment horizontal="left" vertical="center"/>
    </xf>
    <xf numFmtId="0" fontId="23" fillId="24" borderId="20" xfId="40" applyFont="1" applyFill="1" applyBorder="1" applyAlignment="1">
      <alignment horizontal="left" vertical="center"/>
    </xf>
    <xf numFmtId="1" fontId="23" fillId="24" borderId="0" xfId="40" applyNumberFormat="1" applyFont="1" applyFill="1"/>
    <xf numFmtId="0" fontId="29" fillId="24" borderId="0" xfId="38" applyFont="1" applyFill="1" applyBorder="1"/>
    <xf numFmtId="0" fontId="23" fillId="24" borderId="0" xfId="38" applyFont="1" applyFill="1" applyBorder="1"/>
    <xf numFmtId="190" fontId="23" fillId="24" borderId="0" xfId="38" applyNumberFormat="1" applyFont="1" applyFill="1" applyBorder="1"/>
    <xf numFmtId="0" fontId="24" fillId="24" borderId="0" xfId="40" applyFont="1" applyFill="1"/>
    <xf numFmtId="0" fontId="25" fillId="24" borderId="0" xfId="38" applyFont="1" applyFill="1" applyBorder="1"/>
    <xf numFmtId="0" fontId="23" fillId="24" borderId="0" xfId="40" applyFont="1" applyFill="1" applyBorder="1"/>
    <xf numFmtId="0" fontId="26" fillId="25" borderId="21" xfId="40" applyNumberFormat="1" applyFont="1" applyFill="1" applyBorder="1" applyAlignment="1">
      <alignment horizontal="center"/>
    </xf>
    <xf numFmtId="0" fontId="26" fillId="25" borderId="13" xfId="40" applyNumberFormat="1" applyFont="1" applyFill="1" applyBorder="1" applyAlignment="1">
      <alignment horizontal="center"/>
    </xf>
    <xf numFmtId="0" fontId="26" fillId="25" borderId="13" xfId="40" applyNumberFormat="1" applyFont="1" applyFill="1" applyBorder="1" applyAlignment="1">
      <alignment horizontal="center" wrapText="1"/>
    </xf>
    <xf numFmtId="0" fontId="26" fillId="25" borderId="22" xfId="40" applyNumberFormat="1" applyFont="1" applyFill="1" applyBorder="1" applyAlignment="1">
      <alignment horizontal="center"/>
    </xf>
    <xf numFmtId="0" fontId="26" fillId="25" borderId="25" xfId="40" applyNumberFormat="1" applyFont="1" applyFill="1" applyBorder="1" applyAlignment="1">
      <alignment horizontal="center" wrapText="1"/>
    </xf>
    <xf numFmtId="0" fontId="23" fillId="24" borderId="23" xfId="40" applyNumberFormat="1" applyFont="1" applyFill="1" applyBorder="1" applyAlignment="1">
      <alignment horizontal="center"/>
    </xf>
    <xf numFmtId="0" fontId="23" fillId="24" borderId="15" xfId="40" applyNumberFormat="1" applyFont="1" applyFill="1" applyBorder="1" applyAlignment="1">
      <alignment horizontal="center"/>
    </xf>
    <xf numFmtId="0" fontId="23" fillId="24" borderId="26" xfId="40" applyNumberFormat="1" applyFont="1" applyFill="1" applyBorder="1" applyAlignment="1">
      <alignment horizontal="center"/>
    </xf>
    <xf numFmtId="0" fontId="31" fillId="25" borderId="24" xfId="40" applyNumberFormat="1" applyFont="1" applyFill="1" applyBorder="1" applyAlignment="1">
      <alignment horizontal="center"/>
    </xf>
    <xf numFmtId="0" fontId="31" fillId="25" borderId="19" xfId="40" applyFont="1" applyFill="1" applyBorder="1" applyAlignment="1">
      <alignment horizontal="center"/>
    </xf>
    <xf numFmtId="0" fontId="23" fillId="24" borderId="0" xfId="40" applyFont="1" applyFill="1" applyBorder="1" applyAlignment="1">
      <alignment horizontal="center"/>
    </xf>
    <xf numFmtId="10" fontId="23" fillId="24" borderId="0" xfId="40" applyNumberFormat="1" applyFont="1" applyFill="1" applyBorder="1" applyAlignment="1">
      <alignment horizontal="center"/>
    </xf>
    <xf numFmtId="9" fontId="23" fillId="24" borderId="0" xfId="40" applyNumberFormat="1" applyFont="1" applyFill="1" applyBorder="1" applyAlignment="1">
      <alignment horizontal="center"/>
    </xf>
    <xf numFmtId="0" fontId="32" fillId="24" borderId="0" xfId="40" applyFont="1" applyFill="1" applyBorder="1" applyAlignment="1">
      <alignment horizontal="center" wrapText="1"/>
    </xf>
    <xf numFmtId="0" fontId="34" fillId="0" borderId="0" xfId="40" applyFont="1"/>
    <xf numFmtId="0" fontId="34" fillId="0" borderId="0" xfId="40" applyFont="1" applyAlignment="1">
      <alignment horizontal="right"/>
    </xf>
    <xf numFmtId="49" fontId="34" fillId="0" borderId="0" xfId="40" applyNumberFormat="1" applyFont="1"/>
    <xf numFmtId="0" fontId="34" fillId="0" borderId="27" xfId="40" applyFont="1" applyBorder="1"/>
    <xf numFmtId="0" fontId="35" fillId="0" borderId="0" xfId="40" applyFont="1" applyAlignment="1">
      <alignment horizontal="left"/>
    </xf>
    <xf numFmtId="0" fontId="35" fillId="0" borderId="0" xfId="40" applyFont="1" applyFill="1"/>
    <xf numFmtId="49" fontId="34" fillId="0" borderId="0" xfId="40" applyNumberFormat="1" applyFont="1" applyBorder="1"/>
    <xf numFmtId="0" fontId="34" fillId="0" borderId="0" xfId="40" applyFont="1" applyBorder="1"/>
    <xf numFmtId="0" fontId="35" fillId="27" borderId="28" xfId="40" applyFont="1" applyFill="1" applyBorder="1" applyAlignment="1">
      <alignment horizontal="left" vertical="top"/>
    </xf>
    <xf numFmtId="0" fontId="34" fillId="27" borderId="29" xfId="40" applyFont="1" applyFill="1" applyBorder="1" applyAlignment="1">
      <alignment horizontal="center" vertical="top"/>
    </xf>
    <xf numFmtId="0" fontId="34" fillId="27" borderId="30" xfId="40" applyFont="1" applyFill="1" applyBorder="1" applyAlignment="1">
      <alignment horizontal="right" vertical="top"/>
    </xf>
    <xf numFmtId="0" fontId="37" fillId="28" borderId="31" xfId="40" applyFont="1" applyFill="1" applyBorder="1" applyAlignment="1">
      <alignment horizontal="right"/>
    </xf>
    <xf numFmtId="0" fontId="38" fillId="0" borderId="32" xfId="40" applyFont="1" applyBorder="1" applyAlignment="1">
      <alignment horizontal="center"/>
    </xf>
    <xf numFmtId="0" fontId="37" fillId="28" borderId="0" xfId="40" applyFont="1" applyFill="1" applyBorder="1" applyAlignment="1">
      <alignment horizontal="right"/>
    </xf>
    <xf numFmtId="0" fontId="34" fillId="0" borderId="0" xfId="40" applyFont="1" applyFill="1" applyBorder="1" applyAlignment="1">
      <alignment vertical="top"/>
    </xf>
    <xf numFmtId="0" fontId="34" fillId="28" borderId="0" xfId="40" applyFont="1" applyFill="1" applyBorder="1" applyAlignment="1">
      <alignment horizontal="right"/>
    </xf>
    <xf numFmtId="0" fontId="39" fillId="0" borderId="0" xfId="40" applyFont="1" applyAlignment="1">
      <alignment horizontal="center"/>
    </xf>
    <xf numFmtId="0" fontId="35" fillId="27" borderId="33" xfId="40" applyFont="1" applyFill="1" applyBorder="1" applyAlignment="1">
      <alignment horizontal="left" vertical="top"/>
    </xf>
    <xf numFmtId="0" fontId="34" fillId="27" borderId="34" xfId="40" applyFont="1" applyFill="1" applyBorder="1" applyAlignment="1">
      <alignment horizontal="center" vertical="top"/>
    </xf>
    <xf numFmtId="0" fontId="34" fillId="27" borderId="35" xfId="40" applyFont="1" applyFill="1" applyBorder="1" applyAlignment="1">
      <alignment horizontal="right" vertical="top"/>
    </xf>
    <xf numFmtId="0" fontId="34" fillId="28" borderId="36" xfId="40" applyFont="1" applyFill="1" applyBorder="1" applyAlignment="1">
      <alignment horizontal="right"/>
    </xf>
    <xf numFmtId="0" fontId="38" fillId="0" borderId="37" xfId="40" applyFont="1" applyBorder="1" applyAlignment="1">
      <alignment horizontal="center"/>
    </xf>
    <xf numFmtId="0" fontId="35" fillId="27" borderId="38" xfId="40" applyFont="1" applyFill="1" applyBorder="1" applyAlignment="1"/>
    <xf numFmtId="0" fontId="35" fillId="27" borderId="39" xfId="40" applyFont="1" applyFill="1" applyBorder="1" applyAlignment="1"/>
    <xf numFmtId="0" fontId="34" fillId="27" borderId="40" xfId="40" applyFont="1" applyFill="1" applyBorder="1" applyAlignment="1">
      <alignment horizontal="right"/>
    </xf>
    <xf numFmtId="0" fontId="34" fillId="28" borderId="41" xfId="40" applyFont="1" applyFill="1" applyBorder="1" applyAlignment="1">
      <alignment horizontal="left"/>
    </xf>
    <xf numFmtId="0" fontId="38" fillId="0" borderId="41" xfId="40" applyFont="1" applyBorder="1" applyAlignment="1">
      <alignment horizontal="center"/>
    </xf>
    <xf numFmtId="0" fontId="35" fillId="27" borderId="28" xfId="40" applyFont="1" applyFill="1" applyBorder="1" applyAlignment="1"/>
    <xf numFmtId="0" fontId="34" fillId="27" borderId="29" xfId="40" applyFont="1" applyFill="1" applyBorder="1" applyAlignment="1"/>
    <xf numFmtId="0" fontId="34" fillId="27" borderId="30" xfId="40" applyFont="1" applyFill="1" applyBorder="1" applyAlignment="1">
      <alignment horizontal="right"/>
    </xf>
    <xf numFmtId="0" fontId="34" fillId="28" borderId="32" xfId="40" applyFont="1" applyFill="1" applyBorder="1" applyAlignment="1">
      <alignment horizontal="left"/>
    </xf>
    <xf numFmtId="0" fontId="1" fillId="27" borderId="29" xfId="40" applyFill="1" applyBorder="1" applyAlignment="1"/>
    <xf numFmtId="0" fontId="34" fillId="28" borderId="32" xfId="40" applyFont="1" applyFill="1" applyBorder="1"/>
    <xf numFmtId="0" fontId="40" fillId="0" borderId="32" xfId="40" applyFont="1" applyBorder="1" applyAlignment="1">
      <alignment horizontal="center"/>
    </xf>
    <xf numFmtId="0" fontId="36" fillId="0" borderId="32" xfId="40" applyFont="1" applyBorder="1" applyAlignment="1">
      <alignment horizontal="left"/>
    </xf>
    <xf numFmtId="0" fontId="34" fillId="0" borderId="32" xfId="40" applyFont="1" applyBorder="1"/>
    <xf numFmtId="195" fontId="34" fillId="0" borderId="32" xfId="40" applyNumberFormat="1" applyFont="1" applyBorder="1" applyAlignment="1">
      <alignment vertical="top" textRotation="255"/>
    </xf>
    <xf numFmtId="0" fontId="35" fillId="27" borderId="28" xfId="40" applyFont="1" applyFill="1" applyBorder="1" applyAlignment="1">
      <alignment horizontal="right"/>
    </xf>
    <xf numFmtId="0" fontId="44" fillId="0" borderId="11" xfId="40" applyFont="1" applyBorder="1" applyAlignment="1"/>
    <xf numFmtId="0" fontId="44" fillId="0" borderId="11" xfId="40" applyFont="1" applyBorder="1" applyAlignment="1">
      <alignment horizontal="left" indent="1"/>
    </xf>
    <xf numFmtId="0" fontId="44" fillId="0" borderId="16" xfId="40" applyFont="1" applyBorder="1" applyAlignment="1">
      <alignment vertical="top" wrapText="1"/>
    </xf>
    <xf numFmtId="0" fontId="44" fillId="0" borderId="17" xfId="40" applyFont="1" applyBorder="1" applyAlignment="1">
      <alignment vertical="top" wrapText="1"/>
    </xf>
    <xf numFmtId="1" fontId="23" fillId="24" borderId="16" xfId="40" applyNumberFormat="1" applyFont="1" applyFill="1" applyBorder="1" applyAlignment="1">
      <alignment horizontal="center" vertical="center"/>
    </xf>
    <xf numFmtId="1" fontId="23" fillId="24" borderId="18" xfId="40" applyNumberFormat="1" applyFont="1" applyFill="1" applyBorder="1" applyAlignment="1">
      <alignment horizontal="center" vertical="center"/>
    </xf>
    <xf numFmtId="0" fontId="46" fillId="29" borderId="0" xfId="0" applyFont="1" applyFill="1" applyAlignment="1">
      <alignment horizontal="center"/>
    </xf>
    <xf numFmtId="0" fontId="47" fillId="29" borderId="0" xfId="0" applyFont="1" applyFill="1">
      <alignment vertical="center"/>
    </xf>
    <xf numFmtId="0" fontId="48" fillId="29" borderId="0" xfId="0" applyFont="1" applyFill="1">
      <alignment vertical="center"/>
    </xf>
    <xf numFmtId="0" fontId="49" fillId="29" borderId="0" xfId="0" applyFont="1" applyFill="1" applyAlignment="1">
      <alignment horizontal="justify"/>
    </xf>
    <xf numFmtId="0" fontId="50" fillId="29" borderId="0" xfId="0" applyFont="1" applyFill="1">
      <alignment vertical="center"/>
    </xf>
    <xf numFmtId="0" fontId="51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49" fillId="29" borderId="0" xfId="0" quotePrefix="1" applyFont="1" applyFill="1" applyAlignment="1">
      <alignment horizontal="justify"/>
    </xf>
    <xf numFmtId="0" fontId="23" fillId="29" borderId="0" xfId="0" applyFont="1" applyFill="1" applyAlignment="1">
      <alignment horizontal="justify"/>
    </xf>
    <xf numFmtId="0" fontId="23" fillId="29" borderId="0" xfId="0" applyFont="1" applyFill="1" applyAlignment="1">
      <alignment horizontal="justify" wrapText="1"/>
    </xf>
    <xf numFmtId="0" fontId="23" fillId="29" borderId="0" xfId="0" applyFont="1" applyFill="1" applyAlignment="1">
      <alignment horizontal="left" wrapText="1"/>
    </xf>
    <xf numFmtId="0" fontId="29" fillId="29" borderId="0" xfId="0" applyFont="1" applyFill="1" applyAlignment="1">
      <alignment horizontal="justify"/>
    </xf>
    <xf numFmtId="0" fontId="44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29" fillId="24" borderId="42" xfId="40" applyFont="1" applyFill="1" applyBorder="1" applyAlignment="1">
      <alignment horizontal="left"/>
    </xf>
    <xf numFmtId="0" fontId="29" fillId="0" borderId="0" xfId="40" applyFont="1" applyFill="1" applyBorder="1"/>
    <xf numFmtId="0" fontId="29" fillId="0" borderId="0" xfId="40" applyFont="1" applyAlignment="1">
      <alignment horizontal="left"/>
    </xf>
    <xf numFmtId="49" fontId="45" fillId="24" borderId="15" xfId="34" applyNumberFormat="1" applyFont="1" applyFill="1" applyBorder="1"/>
    <xf numFmtId="0" fontId="53" fillId="30" borderId="0" xfId="0" applyFont="1" applyFill="1">
      <alignment vertical="center"/>
    </xf>
    <xf numFmtId="0" fontId="51" fillId="0" borderId="32" xfId="40" applyFont="1" applyBorder="1" applyAlignment="1">
      <alignment horizontal="center"/>
    </xf>
    <xf numFmtId="0" fontId="35" fillId="0" borderId="0" xfId="40" applyFont="1" applyAlignment="1">
      <alignment horizontal="center"/>
    </xf>
    <xf numFmtId="0" fontId="51" fillId="0" borderId="37" xfId="40" applyFont="1" applyBorder="1" applyAlignment="1">
      <alignment horizontal="center"/>
    </xf>
    <xf numFmtId="0" fontId="51" fillId="0" borderId="41" xfId="40" applyFont="1" applyBorder="1" applyAlignment="1">
      <alignment horizontal="center"/>
    </xf>
    <xf numFmtId="0" fontId="50" fillId="27" borderId="29" xfId="40" applyFont="1" applyFill="1" applyBorder="1" applyAlignment="1"/>
    <xf numFmtId="0" fontId="34" fillId="0" borderId="32" xfId="40" applyFont="1" applyBorder="1" applyAlignment="1">
      <alignment horizontal="center"/>
    </xf>
    <xf numFmtId="0" fontId="37" fillId="24" borderId="43" xfId="39" applyFont="1" applyFill="1" applyBorder="1" applyAlignment="1">
      <alignment wrapText="1"/>
    </xf>
    <xf numFmtId="0" fontId="37" fillId="24" borderId="44" xfId="39" applyFont="1" applyFill="1" applyBorder="1" applyAlignment="1">
      <alignment wrapText="1"/>
    </xf>
    <xf numFmtId="0" fontId="34" fillId="24" borderId="45" xfId="40" applyNumberFormat="1" applyFont="1" applyFill="1" applyBorder="1" applyAlignment="1">
      <alignment horizontal="center" vertical="center"/>
    </xf>
    <xf numFmtId="0" fontId="29" fillId="24" borderId="42" xfId="40" applyFont="1" applyFill="1" applyBorder="1" applyAlignment="1">
      <alignment horizontal="left" vertical="center"/>
    </xf>
    <xf numFmtId="0" fontId="29" fillId="24" borderId="42" xfId="40" applyFont="1" applyFill="1" applyBorder="1" applyAlignment="1">
      <alignment vertical="center"/>
    </xf>
    <xf numFmtId="0" fontId="29" fillId="24" borderId="0" xfId="40" applyFont="1" applyFill="1" applyBorder="1" applyAlignment="1">
      <alignment horizontal="left"/>
    </xf>
    <xf numFmtId="2" fontId="29" fillId="24" borderId="0" xfId="40" applyNumberFormat="1" applyFont="1" applyFill="1" applyBorder="1" applyAlignment="1">
      <alignment horizontal="right" wrapText="1"/>
    </xf>
    <xf numFmtId="0" fontId="35" fillId="27" borderId="46" xfId="40" applyFont="1" applyFill="1" applyBorder="1" applyAlignment="1"/>
    <xf numFmtId="0" fontId="34" fillId="27" borderId="31" xfId="40" applyFont="1" applyFill="1" applyBorder="1" applyAlignment="1"/>
    <xf numFmtId="0" fontId="34" fillId="27" borderId="47" xfId="40" applyFont="1" applyFill="1" applyBorder="1" applyAlignment="1">
      <alignment horizontal="right"/>
    </xf>
    <xf numFmtId="0" fontId="34" fillId="28" borderId="48" xfId="40" applyFont="1" applyFill="1" applyBorder="1" applyAlignment="1">
      <alignment horizontal="left"/>
    </xf>
    <xf numFmtId="0" fontId="51" fillId="0" borderId="48" xfId="40" applyFont="1" applyBorder="1" applyAlignment="1">
      <alignment horizontal="center"/>
    </xf>
    <xf numFmtId="0" fontId="34" fillId="0" borderId="49" xfId="40" applyFont="1" applyFill="1" applyBorder="1" applyAlignment="1">
      <alignment horizontal="left"/>
    </xf>
    <xf numFmtId="0" fontId="34" fillId="0" borderId="49" xfId="40" applyFont="1" applyBorder="1" applyAlignment="1">
      <alignment horizontal="center"/>
    </xf>
    <xf numFmtId="0" fontId="54" fillId="0" borderId="0" xfId="40" applyFont="1" applyFill="1" applyBorder="1" applyAlignment="1">
      <alignment vertical="top"/>
    </xf>
    <xf numFmtId="0" fontId="54" fillId="30" borderId="50" xfId="40" applyFont="1" applyFill="1" applyBorder="1" applyAlignment="1">
      <alignment horizontal="left"/>
    </xf>
    <xf numFmtId="0" fontId="55" fillId="30" borderId="50" xfId="40" applyFont="1" applyFill="1" applyBorder="1"/>
    <xf numFmtId="0" fontId="55" fillId="30" borderId="50" xfId="40" applyFont="1" applyFill="1" applyBorder="1" applyAlignment="1">
      <alignment horizontal="right"/>
    </xf>
    <xf numFmtId="0" fontId="54" fillId="30" borderId="50" xfId="40" applyFont="1" applyFill="1" applyBorder="1" applyAlignment="1">
      <alignment vertical="top" textRotation="180"/>
    </xf>
    <xf numFmtId="0" fontId="54" fillId="30" borderId="51" xfId="40" applyFont="1" applyFill="1" applyBorder="1" applyAlignment="1">
      <alignment vertical="top" textRotation="180"/>
    </xf>
    <xf numFmtId="0" fontId="51" fillId="0" borderId="52" xfId="40" applyFont="1" applyBorder="1" applyAlignment="1">
      <alignment horizontal="center"/>
    </xf>
    <xf numFmtId="0" fontId="54" fillId="30" borderId="53" xfId="40" applyFont="1" applyFill="1" applyBorder="1" applyAlignment="1">
      <alignment vertical="center"/>
    </xf>
    <xf numFmtId="0" fontId="51" fillId="0" borderId="54" xfId="40" applyFont="1" applyBorder="1" applyAlignment="1">
      <alignment horizontal="center"/>
    </xf>
    <xf numFmtId="0" fontId="51" fillId="0" borderId="55" xfId="40" applyFont="1" applyBorder="1" applyAlignment="1">
      <alignment horizontal="center"/>
    </xf>
    <xf numFmtId="0" fontId="51" fillId="0" borderId="56" xfId="40" applyFont="1" applyBorder="1" applyAlignment="1">
      <alignment horizontal="center"/>
    </xf>
    <xf numFmtId="0" fontId="34" fillId="0" borderId="57" xfId="40" applyFont="1" applyBorder="1" applyAlignment="1">
      <alignment horizontal="center"/>
    </xf>
    <xf numFmtId="0" fontId="54" fillId="30" borderId="58" xfId="40" applyFont="1" applyFill="1" applyBorder="1" applyAlignment="1">
      <alignment vertical="top"/>
    </xf>
    <xf numFmtId="0" fontId="34" fillId="0" borderId="52" xfId="40" applyFont="1" applyBorder="1" applyAlignment="1">
      <alignment horizontal="center"/>
    </xf>
    <xf numFmtId="195" fontId="34" fillId="0" borderId="52" xfId="40" applyNumberFormat="1" applyFont="1" applyBorder="1" applyAlignment="1">
      <alignment vertical="top" textRotation="255"/>
    </xf>
    <xf numFmtId="0" fontId="54" fillId="30" borderId="59" xfId="40" applyFont="1" applyFill="1" applyBorder="1" applyAlignment="1">
      <alignment vertical="top"/>
    </xf>
    <xf numFmtId="0" fontId="34" fillId="0" borderId="37" xfId="40" applyFont="1" applyBorder="1"/>
    <xf numFmtId="0" fontId="34" fillId="0" borderId="37" xfId="40" applyFont="1" applyBorder="1" applyAlignment="1">
      <alignment textRotation="255"/>
    </xf>
    <xf numFmtId="0" fontId="34" fillId="0" borderId="54" xfId="40" applyFont="1" applyBorder="1" applyAlignment="1">
      <alignment textRotation="255"/>
    </xf>
    <xf numFmtId="0" fontId="54" fillId="30" borderId="53" xfId="40" applyFont="1" applyFill="1" applyBorder="1" applyAlignment="1">
      <alignment vertical="top"/>
    </xf>
    <xf numFmtId="0" fontId="54" fillId="30" borderId="60" xfId="40" applyFont="1" applyFill="1" applyBorder="1" applyAlignment="1">
      <alignment vertical="top"/>
    </xf>
    <xf numFmtId="0" fontId="54" fillId="30" borderId="60" xfId="40" applyFont="1" applyFill="1" applyBorder="1" applyAlignment="1">
      <alignment vertical="center"/>
    </xf>
    <xf numFmtId="0" fontId="35" fillId="27" borderId="38" xfId="40" applyFont="1" applyFill="1" applyBorder="1" applyAlignment="1">
      <alignment horizontal="left" vertical="top"/>
    </xf>
    <xf numFmtId="0" fontId="34" fillId="27" borderId="39" xfId="40" applyFont="1" applyFill="1" applyBorder="1" applyAlignment="1">
      <alignment horizontal="center" vertical="top"/>
    </xf>
    <xf numFmtId="0" fontId="34" fillId="27" borderId="40" xfId="40" applyFont="1" applyFill="1" applyBorder="1" applyAlignment="1">
      <alignment horizontal="right" vertical="top"/>
    </xf>
    <xf numFmtId="0" fontId="38" fillId="0" borderId="48" xfId="40" applyFont="1" applyBorder="1" applyAlignment="1">
      <alignment horizontal="center"/>
    </xf>
    <xf numFmtId="0" fontId="40" fillId="0" borderId="49" xfId="40" applyFont="1" applyBorder="1" applyAlignment="1">
      <alignment horizontal="center"/>
    </xf>
    <xf numFmtId="0" fontId="55" fillId="30" borderId="61" xfId="40" applyFont="1" applyFill="1" applyBorder="1"/>
    <xf numFmtId="0" fontId="54" fillId="30" borderId="62" xfId="40" applyFont="1" applyFill="1" applyBorder="1" applyAlignment="1">
      <alignment horizontal="left"/>
    </xf>
    <xf numFmtId="0" fontId="55" fillId="30" borderId="62" xfId="40" applyFont="1" applyFill="1" applyBorder="1"/>
    <xf numFmtId="0" fontId="55" fillId="30" borderId="62" xfId="40" applyFont="1" applyFill="1" applyBorder="1" applyAlignment="1">
      <alignment horizontal="right"/>
    </xf>
    <xf numFmtId="0" fontId="54" fillId="30" borderId="62" xfId="40" applyFont="1" applyFill="1" applyBorder="1" applyAlignment="1">
      <alignment vertical="top" textRotation="180"/>
    </xf>
    <xf numFmtId="0" fontId="54" fillId="30" borderId="63" xfId="40" applyFont="1" applyFill="1" applyBorder="1" applyAlignment="1">
      <alignment vertical="top" textRotation="180"/>
    </xf>
    <xf numFmtId="0" fontId="38" fillId="0" borderId="52" xfId="40" applyFont="1" applyBorder="1" applyAlignment="1">
      <alignment horizontal="center"/>
    </xf>
    <xf numFmtId="0" fontId="38" fillId="0" borderId="54" xfId="40" applyFont="1" applyBorder="1" applyAlignment="1">
      <alignment horizontal="center"/>
    </xf>
    <xf numFmtId="0" fontId="38" fillId="0" borderId="55" xfId="40" applyFont="1" applyBorder="1" applyAlignment="1">
      <alignment horizontal="center"/>
    </xf>
    <xf numFmtId="0" fontId="38" fillId="0" borderId="56" xfId="40" applyFont="1" applyBorder="1" applyAlignment="1">
      <alignment horizontal="center"/>
    </xf>
    <xf numFmtId="0" fontId="40" fillId="0" borderId="57" xfId="40" applyFont="1" applyBorder="1" applyAlignment="1">
      <alignment horizontal="center"/>
    </xf>
    <xf numFmtId="0" fontId="40" fillId="0" borderId="52" xfId="40" applyFont="1" applyBorder="1" applyAlignment="1">
      <alignment horizontal="center"/>
    </xf>
    <xf numFmtId="0" fontId="54" fillId="30" borderId="64" xfId="40" applyFont="1" applyFill="1" applyBorder="1" applyAlignment="1">
      <alignment vertical="top"/>
    </xf>
    <xf numFmtId="190" fontId="26" fillId="25" borderId="65" xfId="40" applyNumberFormat="1" applyFont="1" applyFill="1" applyBorder="1" applyAlignment="1">
      <alignment horizontal="center" vertical="center"/>
    </xf>
    <xf numFmtId="0" fontId="54" fillId="30" borderId="66" xfId="40" applyFont="1" applyFill="1" applyBorder="1" applyAlignment="1">
      <alignment horizontal="left"/>
    </xf>
    <xf numFmtId="0" fontId="55" fillId="30" borderId="66" xfId="40" applyFont="1" applyFill="1" applyBorder="1"/>
    <xf numFmtId="0" fontId="55" fillId="30" borderId="66" xfId="40" applyFont="1" applyFill="1" applyBorder="1" applyAlignment="1">
      <alignment horizontal="right"/>
    </xf>
    <xf numFmtId="0" fontId="54" fillId="30" borderId="66" xfId="40" applyFont="1" applyFill="1" applyBorder="1" applyAlignment="1">
      <alignment vertical="top" textRotation="180"/>
    </xf>
    <xf numFmtId="0" fontId="54" fillId="30" borderId="67" xfId="40" applyFont="1" applyFill="1" applyBorder="1" applyAlignment="1">
      <alignment vertical="top" textRotation="180"/>
    </xf>
    <xf numFmtId="0" fontId="12" fillId="24" borderId="15" xfId="34" applyNumberFormat="1" applyFill="1" applyBorder="1" applyAlignment="1" applyProtection="1">
      <alignment horizontal="left" vertical="center"/>
    </xf>
    <xf numFmtId="0" fontId="22" fillId="0" borderId="42" xfId="40" applyFont="1" applyBorder="1" applyAlignment="1">
      <alignment horizontal="center" vertical="center"/>
    </xf>
    <xf numFmtId="0" fontId="44" fillId="0" borderId="42" xfId="40" applyFont="1" applyBorder="1" applyAlignment="1">
      <alignment horizontal="left"/>
    </xf>
    <xf numFmtId="0" fontId="44" fillId="0" borderId="10" xfId="40" applyFont="1" applyBorder="1" applyAlignment="1">
      <alignment horizontal="left" vertical="center"/>
    </xf>
    <xf numFmtId="0" fontId="44" fillId="0" borderId="68" xfId="40" applyFont="1" applyBorder="1" applyAlignment="1">
      <alignment horizontal="left" vertical="center"/>
    </xf>
    <xf numFmtId="0" fontId="44" fillId="0" borderId="11" xfId="40" applyFont="1" applyBorder="1" applyAlignment="1">
      <alignment horizontal="left" vertical="center"/>
    </xf>
    <xf numFmtId="1" fontId="29" fillId="24" borderId="42" xfId="40" applyNumberFormat="1" applyFont="1" applyFill="1" applyBorder="1" applyAlignment="1">
      <alignment vertical="center" wrapText="1"/>
    </xf>
    <xf numFmtId="1" fontId="29" fillId="24" borderId="10" xfId="40" applyNumberFormat="1" applyFont="1" applyFill="1" applyBorder="1" applyAlignment="1"/>
    <xf numFmtId="0" fontId="44" fillId="24" borderId="10" xfId="40" applyFont="1" applyFill="1" applyBorder="1" applyAlignment="1">
      <alignment horizontal="left"/>
    </xf>
    <xf numFmtId="0" fontId="44" fillId="24" borderId="68" xfId="40" applyFont="1" applyFill="1" applyBorder="1" applyAlignment="1">
      <alignment horizontal="left"/>
    </xf>
    <xf numFmtId="0" fontId="44" fillId="24" borderId="11" xfId="40" applyFont="1" applyFill="1" applyBorder="1" applyAlignment="1">
      <alignment horizontal="left"/>
    </xf>
    <xf numFmtId="0" fontId="44" fillId="24" borderId="10" xfId="40" applyFont="1" applyFill="1" applyBorder="1" applyAlignment="1">
      <alignment horizontal="left" vertical="top" wrapText="1"/>
    </xf>
    <xf numFmtId="0" fontId="44" fillId="24" borderId="68" xfId="40" applyFont="1" applyFill="1" applyBorder="1" applyAlignment="1">
      <alignment horizontal="left" vertical="top" wrapText="1"/>
    </xf>
    <xf numFmtId="0" fontId="44" fillId="24" borderId="11" xfId="40" applyFont="1" applyFill="1" applyBorder="1" applyAlignment="1">
      <alignment horizontal="left" vertical="top" wrapText="1"/>
    </xf>
    <xf numFmtId="0" fontId="29" fillId="24" borderId="10" xfId="40" applyFont="1" applyFill="1" applyBorder="1" applyAlignment="1">
      <alignment horizontal="center"/>
    </xf>
    <xf numFmtId="0" fontId="29" fillId="24" borderId="68" xfId="40" applyFont="1" applyFill="1" applyBorder="1" applyAlignment="1">
      <alignment horizontal="center"/>
    </xf>
    <xf numFmtId="0" fontId="29" fillId="24" borderId="11" xfId="40" applyFont="1" applyFill="1" applyBorder="1" applyAlignment="1">
      <alignment horizontal="center"/>
    </xf>
    <xf numFmtId="14" fontId="44" fillId="24" borderId="10" xfId="40" applyNumberFormat="1" applyFont="1" applyFill="1" applyBorder="1" applyAlignment="1">
      <alignment horizontal="left" vertical="top"/>
    </xf>
    <xf numFmtId="14" fontId="44" fillId="24" borderId="68" xfId="40" applyNumberFormat="1" applyFont="1" applyFill="1" applyBorder="1" applyAlignment="1">
      <alignment horizontal="left" vertical="top"/>
    </xf>
    <xf numFmtId="14" fontId="44" fillId="24" borderId="11" xfId="40" applyNumberFormat="1" applyFont="1" applyFill="1" applyBorder="1" applyAlignment="1">
      <alignment horizontal="left" vertical="top"/>
    </xf>
    <xf numFmtId="0" fontId="44" fillId="24" borderId="42" xfId="40" applyFont="1" applyFill="1" applyBorder="1" applyAlignment="1">
      <alignment horizontal="left"/>
    </xf>
    <xf numFmtId="0" fontId="29" fillId="24" borderId="42" xfId="40" applyFont="1" applyFill="1" applyBorder="1" applyAlignment="1">
      <alignment horizontal="left"/>
    </xf>
    <xf numFmtId="0" fontId="44" fillId="24" borderId="42" xfId="38" applyFont="1" applyFill="1" applyBorder="1" applyAlignment="1">
      <alignment vertical="top"/>
    </xf>
    <xf numFmtId="0" fontId="22" fillId="24" borderId="0" xfId="38" applyFont="1" applyFill="1" applyBorder="1" applyAlignment="1">
      <alignment horizontal="center"/>
    </xf>
    <xf numFmtId="0" fontId="35" fillId="24" borderId="86" xfId="40" applyFont="1" applyFill="1" applyBorder="1" applyAlignment="1">
      <alignment horizontal="center" vertical="center" wrapText="1"/>
    </xf>
    <xf numFmtId="0" fontId="35" fillId="24" borderId="68" xfId="40" applyFont="1" applyFill="1" applyBorder="1" applyAlignment="1">
      <alignment horizontal="center" vertical="center" wrapText="1"/>
    </xf>
    <xf numFmtId="0" fontId="35" fillId="24" borderId="87" xfId="40" applyFont="1" applyFill="1" applyBorder="1" applyAlignment="1">
      <alignment horizontal="center" vertical="center" wrapText="1"/>
    </xf>
    <xf numFmtId="49" fontId="34" fillId="24" borderId="71" xfId="39" applyNumberFormat="1" applyFont="1" applyFill="1" applyBorder="1" applyAlignment="1">
      <alignment horizontal="center" wrapText="1"/>
    </xf>
    <xf numFmtId="0" fontId="34" fillId="24" borderId="70" xfId="39" applyFont="1" applyFill="1" applyBorder="1" applyAlignment="1">
      <alignment horizontal="center" wrapText="1"/>
    </xf>
    <xf numFmtId="0" fontId="34" fillId="24" borderId="88" xfId="39" applyFont="1" applyFill="1" applyBorder="1" applyAlignment="1">
      <alignment horizontal="center" wrapText="1"/>
    </xf>
    <xf numFmtId="0" fontId="37" fillId="24" borderId="43" xfId="39" applyFont="1" applyFill="1" applyBorder="1" applyAlignment="1">
      <alignment horizontal="left" wrapText="1"/>
    </xf>
    <xf numFmtId="0" fontId="35" fillId="24" borderId="10" xfId="40" applyFont="1" applyFill="1" applyBorder="1" applyAlignment="1">
      <alignment horizontal="center" vertical="center" wrapText="1"/>
    </xf>
    <xf numFmtId="0" fontId="35" fillId="24" borderId="11" xfId="40" applyFont="1" applyFill="1" applyBorder="1" applyAlignment="1">
      <alignment horizontal="center" vertical="center" wrapText="1"/>
    </xf>
    <xf numFmtId="0" fontId="35" fillId="24" borderId="28" xfId="39" applyFont="1" applyFill="1" applyBorder="1" applyAlignment="1">
      <alignment horizontal="left" wrapText="1"/>
    </xf>
    <xf numFmtId="0" fontId="35" fillId="24" borderId="29" xfId="39" applyFont="1" applyFill="1" applyBorder="1" applyAlignment="1">
      <alignment horizontal="left" wrapText="1"/>
    </xf>
    <xf numFmtId="0" fontId="35" fillId="24" borderId="30" xfId="39" applyFont="1" applyFill="1" applyBorder="1" applyAlignment="1">
      <alignment horizontal="left" wrapText="1"/>
    </xf>
    <xf numFmtId="0" fontId="35" fillId="24" borderId="89" xfId="40" applyFont="1" applyFill="1" applyBorder="1" applyAlignment="1">
      <alignment horizontal="center" vertical="center" wrapText="1"/>
    </xf>
    <xf numFmtId="0" fontId="34" fillId="0" borderId="32" xfId="40" applyFont="1" applyBorder="1" applyAlignment="1">
      <alignment horizontal="left" vertical="top"/>
    </xf>
    <xf numFmtId="0" fontId="34" fillId="0" borderId="37" xfId="40" applyFont="1" applyBorder="1" applyAlignment="1">
      <alignment horizontal="left" vertical="top"/>
    </xf>
    <xf numFmtId="0" fontId="34" fillId="0" borderId="49" xfId="40" applyFont="1" applyFill="1" applyBorder="1" applyAlignment="1">
      <alignment horizontal="left"/>
    </xf>
    <xf numFmtId="0" fontId="37" fillId="24" borderId="81" xfId="39" applyFont="1" applyFill="1" applyBorder="1" applyAlignment="1">
      <alignment horizontal="left" wrapText="1"/>
    </xf>
    <xf numFmtId="0" fontId="37" fillId="24" borderId="82" xfId="39" applyFont="1" applyFill="1" applyBorder="1" applyAlignment="1">
      <alignment horizontal="left" wrapText="1"/>
    </xf>
    <xf numFmtId="0" fontId="34" fillId="0" borderId="0" xfId="40" applyFont="1" applyBorder="1" applyAlignment="1">
      <alignment horizontal="right"/>
    </xf>
    <xf numFmtId="0" fontId="35" fillId="24" borderId="80" xfId="40" applyFont="1" applyFill="1" applyBorder="1" applyAlignment="1">
      <alignment horizontal="center" vertical="center"/>
    </xf>
    <xf numFmtId="0" fontId="35" fillId="24" borderId="11" xfId="40" applyFont="1" applyFill="1" applyBorder="1" applyAlignment="1">
      <alignment horizontal="center" vertical="center"/>
    </xf>
    <xf numFmtId="0" fontId="35" fillId="24" borderId="80" xfId="39" applyFont="1" applyFill="1" applyBorder="1" applyAlignment="1">
      <alignment horizontal="left" wrapText="1"/>
    </xf>
    <xf numFmtId="0" fontId="35" fillId="24" borderId="11" xfId="39" applyFont="1" applyFill="1" applyBorder="1" applyAlignment="1">
      <alignment horizontal="left" wrapText="1"/>
    </xf>
    <xf numFmtId="0" fontId="37" fillId="24" borderId="83" xfId="39" applyFont="1" applyFill="1" applyBorder="1" applyAlignment="1">
      <alignment horizontal="left" wrapText="1"/>
    </xf>
    <xf numFmtId="0" fontId="37" fillId="24" borderId="84" xfId="39" applyFont="1" applyFill="1" applyBorder="1" applyAlignment="1">
      <alignment horizontal="left" wrapText="1"/>
    </xf>
    <xf numFmtId="0" fontId="34" fillId="24" borderId="45" xfId="40" applyFont="1" applyFill="1" applyBorder="1" applyAlignment="1">
      <alignment horizontal="center" vertical="center"/>
    </xf>
    <xf numFmtId="0" fontId="34" fillId="24" borderId="76" xfId="40" applyFont="1" applyFill="1" applyBorder="1" applyAlignment="1">
      <alignment horizontal="center" vertical="center"/>
    </xf>
    <xf numFmtId="0" fontId="34" fillId="24" borderId="85" xfId="40" applyFont="1" applyFill="1" applyBorder="1" applyAlignment="1">
      <alignment horizontal="center" vertical="center"/>
    </xf>
    <xf numFmtId="0" fontId="35" fillId="24" borderId="69" xfId="39" applyFont="1" applyFill="1" applyBorder="1" applyAlignment="1">
      <alignment horizontal="left" wrapText="1"/>
    </xf>
    <xf numFmtId="0" fontId="35" fillId="24" borderId="70" xfId="39" applyFont="1" applyFill="1" applyBorder="1" applyAlignment="1">
      <alignment horizontal="left" wrapText="1"/>
    </xf>
    <xf numFmtId="49" fontId="37" fillId="24" borderId="71" xfId="39" applyNumberFormat="1" applyFont="1" applyFill="1" applyBorder="1" applyAlignment="1">
      <alignment horizontal="left" wrapText="1"/>
    </xf>
    <xf numFmtId="0" fontId="37" fillId="24" borderId="70" xfId="39" applyFont="1" applyFill="1" applyBorder="1" applyAlignment="1">
      <alignment horizontal="left" wrapText="1"/>
    </xf>
    <xf numFmtId="0" fontId="37" fillId="24" borderId="72" xfId="39" applyFont="1" applyFill="1" applyBorder="1" applyAlignment="1">
      <alignment horizontal="left" wrapText="1"/>
    </xf>
    <xf numFmtId="0" fontId="35" fillId="24" borderId="73" xfId="39" applyFont="1" applyFill="1" applyBorder="1" applyAlignment="1">
      <alignment horizontal="left" wrapText="1"/>
    </xf>
    <xf numFmtId="0" fontId="35" fillId="24" borderId="74" xfId="39" applyFont="1" applyFill="1" applyBorder="1" applyAlignment="1">
      <alignment horizontal="left" wrapText="1"/>
    </xf>
    <xf numFmtId="0" fontId="34" fillId="0" borderId="32" xfId="40" applyFont="1" applyBorder="1" applyAlignment="1">
      <alignment horizontal="left"/>
    </xf>
    <xf numFmtId="0" fontId="34" fillId="24" borderId="75" xfId="40" applyFont="1" applyFill="1" applyBorder="1" applyAlignment="1">
      <alignment horizontal="center" vertical="center"/>
    </xf>
    <xf numFmtId="0" fontId="34" fillId="24" borderId="77" xfId="40" applyFont="1" applyFill="1" applyBorder="1" applyAlignment="1">
      <alignment horizontal="center" vertical="center"/>
    </xf>
    <xf numFmtId="0" fontId="34" fillId="24" borderId="78" xfId="40" applyFont="1" applyFill="1" applyBorder="1" applyAlignment="1">
      <alignment horizontal="center" vertical="center"/>
    </xf>
    <xf numFmtId="0" fontId="34" fillId="24" borderId="79" xfId="40" applyFont="1" applyFill="1" applyBorder="1" applyAlignment="1">
      <alignment horizontal="center" vertical="center"/>
    </xf>
    <xf numFmtId="0" fontId="35" fillId="24" borderId="90" xfId="39" applyFont="1" applyFill="1" applyBorder="1" applyAlignment="1">
      <alignment horizontal="left" wrapText="1"/>
    </xf>
    <xf numFmtId="0" fontId="35" fillId="24" borderId="91" xfId="39" applyFont="1" applyFill="1" applyBorder="1" applyAlignment="1">
      <alignment horizontal="left" wrapText="1"/>
    </xf>
    <xf numFmtId="0" fontId="35" fillId="24" borderId="38" xfId="39" applyFont="1" applyFill="1" applyBorder="1" applyAlignment="1">
      <alignment horizontal="left" wrapText="1"/>
    </xf>
    <xf numFmtId="0" fontId="35" fillId="24" borderId="39" xfId="39" applyFont="1" applyFill="1" applyBorder="1" applyAlignment="1">
      <alignment horizontal="left" wrapText="1"/>
    </xf>
    <xf numFmtId="0" fontId="35" fillId="24" borderId="40" xfId="39" applyFont="1" applyFill="1" applyBorder="1" applyAlignment="1">
      <alignment horizontal="left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/>
    <cellStyle name="Normal_Sheet1" xfId="39"/>
    <cellStyle name="Normal_Template_UnitTest Case_v0.9" xfId="4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52597706106"/>
          <c:y val="3.90624490355071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E0-4F94-97A9-BF90AA0AB4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8E0-4F94-97A9-BF90AA0AB469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23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0-4F94-97A9-BF90AA0AB46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Statistics!$F$15:$H$15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98E0-4F94-97A9-BF90AA0AB469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8E0-4F94-97A9-BF90AA0AB46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E0-4F94-97A9-BF90AA0AB469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8E0-4F94-97A9-BF90AA0AB46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8E0-4F94-97A9-BF90AA0AB469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8E0-4F94-97A9-BF90AA0AB4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23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8E0-4F94-97A9-BF90AA0A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628875379315023"/>
          <c:y val="0.39258581488369226"/>
          <c:w val="9.3461121337224201E-2"/>
          <c:h val="0.32096542973599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3695193905"/>
          <c:y val="3.95259978099783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175-42E3-9DD1-91E45CBDEC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24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75-42E3-9DD1-91E45CBDEC8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Statistics!$C$15:$E$15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4175-42E3-9DD1-91E45CBDEC8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4175-42E3-9DD1-91E45CBDEC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75-42E3-9DD1-91E45CBDEC8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4175-42E3-9DD1-91E45CBDEC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175-42E3-9DD1-91E45CBDEC8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175-42E3-9DD1-91E45CBDEC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24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75-42E3-9DD1-91E45CBD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164124585453397"/>
          <c:y val="0.43397747147987142"/>
          <c:w val="0.20881623566465188"/>
          <c:h val="0.304592883709474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1949450</xdr:colOff>
      <xdr:row>1</xdr:row>
      <xdr:rowOff>787400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6B284DEF-F3B3-A52F-8887-2FDCE3C0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19494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23</xdr:row>
      <xdr:rowOff>0</xdr:rowOff>
    </xdr:from>
    <xdr:to>
      <xdr:col>9</xdr:col>
      <xdr:colOff>0</xdr:colOff>
      <xdr:row>38</xdr:row>
      <xdr:rowOff>12700</xdr:rowOff>
    </xdr:to>
    <xdr:graphicFrame macro="">
      <xdr:nvGraphicFramePr>
        <xdr:cNvPr id="2177" name="Chart 16">
          <a:extLst>
            <a:ext uri="{FF2B5EF4-FFF2-40B4-BE49-F238E27FC236}">
              <a16:creationId xmlns:a16="http://schemas.microsoft.com/office/drawing/2014/main" id="{02EB03EE-C413-FCB7-A25B-FE3BBB51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23</xdr:row>
      <xdr:rowOff>25400</xdr:rowOff>
    </xdr:from>
    <xdr:to>
      <xdr:col>3</xdr:col>
      <xdr:colOff>215900</xdr:colOff>
      <xdr:row>38</xdr:row>
      <xdr:rowOff>0</xdr:rowOff>
    </xdr:to>
    <xdr:graphicFrame macro="">
      <xdr:nvGraphicFramePr>
        <xdr:cNvPr id="2178" name="Chart 17">
          <a:extLst>
            <a:ext uri="{FF2B5EF4-FFF2-40B4-BE49-F238E27FC236}">
              <a16:creationId xmlns:a16="http://schemas.microsoft.com/office/drawing/2014/main" id="{9D97D660-80B5-1D91-38DC-70F07F532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opLeftCell="A22" zoomScale="85" zoomScaleNormal="85" workbookViewId="0">
      <selection activeCell="A42" sqref="A42"/>
    </sheetView>
  </sheetViews>
  <sheetFormatPr defaultColWidth="9" defaultRowHeight="14"/>
  <cols>
    <col min="1" max="1" width="119.36328125" style="124" customWidth="1"/>
    <col min="2" max="16384" width="9" style="124"/>
  </cols>
  <sheetData>
    <row r="1" spans="1:1" s="121" customFormat="1" ht="22">
      <c r="A1" s="120" t="s">
        <v>109</v>
      </c>
    </row>
    <row r="2" spans="1:1" s="121" customFormat="1" ht="22">
      <c r="A2" s="120"/>
    </row>
    <row r="3" spans="1:1" s="122" customFormat="1" ht="17.5">
      <c r="A3" s="125" t="s">
        <v>134</v>
      </c>
    </row>
    <row r="4" spans="1:1" ht="15" customHeight="1">
      <c r="A4" s="128" t="s">
        <v>107</v>
      </c>
    </row>
    <row r="5" spans="1:1" ht="15" customHeight="1">
      <c r="A5" s="128" t="s">
        <v>139</v>
      </c>
    </row>
    <row r="6" spans="1:1" ht="37.5">
      <c r="A6" s="129" t="s">
        <v>151</v>
      </c>
    </row>
    <row r="7" spans="1:1" ht="29.25" customHeight="1">
      <c r="A7" s="129" t="s">
        <v>154</v>
      </c>
    </row>
    <row r="8" spans="1:1" ht="30" customHeight="1">
      <c r="A8" s="130" t="s">
        <v>141</v>
      </c>
    </row>
    <row r="9" spans="1:1" s="133" customFormat="1" ht="16.5" customHeight="1">
      <c r="A9" s="132" t="s">
        <v>152</v>
      </c>
    </row>
    <row r="10" spans="1:1" ht="16.5" customHeight="1">
      <c r="A10" s="123"/>
    </row>
    <row r="11" spans="1:1" s="122" customFormat="1" ht="17.5">
      <c r="A11" s="125" t="s">
        <v>108</v>
      </c>
    </row>
    <row r="12" spans="1:1" s="126" customFormat="1" ht="15">
      <c r="A12" s="131" t="s">
        <v>89</v>
      </c>
    </row>
    <row r="13" spans="1:1" ht="37.5">
      <c r="A13" s="128" t="s">
        <v>142</v>
      </c>
    </row>
    <row r="14" spans="1:1">
      <c r="A14" s="128" t="s">
        <v>143</v>
      </c>
    </row>
    <row r="15" spans="1:1" ht="25">
      <c r="A15" s="129" t="s">
        <v>144</v>
      </c>
    </row>
    <row r="16" spans="1:1">
      <c r="A16" s="123"/>
    </row>
    <row r="17" spans="1:4" s="126" customFormat="1" ht="15">
      <c r="A17" s="131" t="s">
        <v>110</v>
      </c>
    </row>
    <row r="18" spans="1:4">
      <c r="A18" s="128" t="s">
        <v>111</v>
      </c>
      <c r="B18" s="123"/>
    </row>
    <row r="19" spans="1:4">
      <c r="A19" s="131" t="s">
        <v>145</v>
      </c>
    </row>
    <row r="20" spans="1:4">
      <c r="A20" s="128" t="s">
        <v>112</v>
      </c>
      <c r="B20" s="123"/>
    </row>
    <row r="21" spans="1:4" ht="25">
      <c r="A21" s="129" t="s">
        <v>113</v>
      </c>
    </row>
    <row r="22" spans="1:4">
      <c r="A22" s="128" t="s">
        <v>114</v>
      </c>
      <c r="B22" s="127"/>
    </row>
    <row r="23" spans="1:4">
      <c r="A23" s="128" t="s">
        <v>115</v>
      </c>
      <c r="B23" s="123"/>
    </row>
    <row r="24" spans="1:4">
      <c r="A24" s="128" t="s">
        <v>155</v>
      </c>
      <c r="B24" s="123"/>
    </row>
    <row r="25" spans="1:4">
      <c r="A25" s="128" t="s">
        <v>116</v>
      </c>
      <c r="B25" s="123"/>
      <c r="C25" s="123" t="s">
        <v>85</v>
      </c>
      <c r="D25" s="123" t="s">
        <v>85</v>
      </c>
    </row>
    <row r="26" spans="1:4">
      <c r="A26" s="128" t="s">
        <v>86</v>
      </c>
    </row>
    <row r="27" spans="1:4">
      <c r="A27" s="128" t="s">
        <v>135</v>
      </c>
      <c r="B27" s="123"/>
    </row>
    <row r="28" spans="1:4">
      <c r="A28" s="128" t="s">
        <v>136</v>
      </c>
    </row>
    <row r="29" spans="1:4">
      <c r="A29" s="128" t="s">
        <v>137</v>
      </c>
    </row>
    <row r="30" spans="1:4">
      <c r="A30" s="128" t="s">
        <v>138</v>
      </c>
      <c r="B30" s="123"/>
      <c r="C30" s="123" t="s">
        <v>85</v>
      </c>
    </row>
    <row r="31" spans="1:4">
      <c r="A31" s="131" t="s">
        <v>146</v>
      </c>
    </row>
    <row r="32" spans="1:4" ht="30" customHeight="1">
      <c r="A32" s="129" t="s">
        <v>117</v>
      </c>
    </row>
    <row r="33" spans="1:2">
      <c r="A33" s="128" t="s">
        <v>87</v>
      </c>
    </row>
    <row r="34" spans="1:2">
      <c r="A34" s="128" t="s">
        <v>118</v>
      </c>
    </row>
    <row r="35" spans="1:2">
      <c r="A35" s="128" t="s">
        <v>119</v>
      </c>
      <c r="B35" s="123"/>
    </row>
    <row r="36" spans="1:2">
      <c r="A36" s="128" t="s">
        <v>120</v>
      </c>
      <c r="B36" s="123"/>
    </row>
    <row r="37" spans="1:2">
      <c r="A37" s="131" t="s">
        <v>147</v>
      </c>
    </row>
    <row r="38" spans="1:2">
      <c r="A38" s="128" t="s">
        <v>121</v>
      </c>
    </row>
    <row r="39" spans="1:2" ht="37.5">
      <c r="A39" s="130" t="s">
        <v>140</v>
      </c>
      <c r="B39" s="123"/>
    </row>
    <row r="40" spans="1:2">
      <c r="A40" s="130"/>
      <c r="B40" s="123"/>
    </row>
    <row r="41" spans="1:2" s="126" customFormat="1" ht="15">
      <c r="A41" s="131" t="s">
        <v>122</v>
      </c>
    </row>
    <row r="42" spans="1:2">
      <c r="A42" s="128" t="s">
        <v>172</v>
      </c>
    </row>
    <row r="43" spans="1:2">
      <c r="A43" s="128" t="s">
        <v>171</v>
      </c>
    </row>
    <row r="44" spans="1:2">
      <c r="A44" s="128" t="s">
        <v>148</v>
      </c>
    </row>
    <row r="45" spans="1:2">
      <c r="A45" s="128" t="s">
        <v>149</v>
      </c>
    </row>
    <row r="46" spans="1:2">
      <c r="A46" s="128" t="s">
        <v>150</v>
      </c>
    </row>
    <row r="47" spans="1:2">
      <c r="A47" s="123" t="s">
        <v>88</v>
      </c>
    </row>
    <row r="48" spans="1:2">
      <c r="A48" s="123"/>
    </row>
  </sheetData>
  <phoneticPr fontId="43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7"/>
  <sheetViews>
    <sheetView showGridLines="0" tabSelected="1" zoomScale="85" zoomScaleNormal="85" workbookViewId="0">
      <selection activeCell="E21" sqref="E21"/>
    </sheetView>
  </sheetViews>
  <sheetFormatPr defaultColWidth="9" defaultRowHeight="12.5"/>
  <cols>
    <col min="1" max="1" width="28.08984375" style="28" customWidth="1"/>
    <col min="2" max="2" width="10" style="3" customWidth="1"/>
    <col min="3" max="3" width="14.36328125" style="3" customWidth="1"/>
    <col min="4" max="4" width="8" style="3" customWidth="1"/>
    <col min="5" max="5" width="38" style="3" customWidth="1"/>
    <col min="6" max="6" width="48.08984375" style="3" customWidth="1"/>
    <col min="7" max="16384" width="9" style="3"/>
  </cols>
  <sheetData>
    <row r="2" spans="1:6" s="2" customFormat="1" ht="75.75" customHeight="1">
      <c r="A2" s="1"/>
      <c r="B2" s="206" t="s">
        <v>160</v>
      </c>
      <c r="C2" s="206"/>
      <c r="D2" s="206"/>
      <c r="E2" s="206"/>
      <c r="F2" s="206"/>
    </row>
    <row r="3" spans="1:6">
      <c r="A3" s="4"/>
      <c r="B3" s="5"/>
      <c r="E3" s="6"/>
    </row>
    <row r="4" spans="1:6" ht="14.25" customHeight="1">
      <c r="A4" s="134" t="s">
        <v>0</v>
      </c>
      <c r="B4" s="207" t="s">
        <v>1</v>
      </c>
      <c r="C4" s="207"/>
      <c r="D4" s="207"/>
      <c r="E4" s="134" t="s">
        <v>2</v>
      </c>
      <c r="F4" s="7"/>
    </row>
    <row r="5" spans="1:6" ht="14.25" customHeight="1">
      <c r="A5" s="134" t="s">
        <v>3</v>
      </c>
      <c r="B5" s="207" t="s">
        <v>4</v>
      </c>
      <c r="C5" s="207"/>
      <c r="D5" s="207"/>
      <c r="E5" s="134" t="s">
        <v>7</v>
      </c>
      <c r="F5" s="114" t="s">
        <v>8</v>
      </c>
    </row>
    <row r="6" spans="1:6" ht="15.75" customHeight="1">
      <c r="A6" s="149" t="s">
        <v>6</v>
      </c>
      <c r="B6" s="208" t="str">
        <f>B5&amp;"_"&amp;"XXX"&amp;"_"&amp;"vx.x"</f>
        <v>&lt;Project Code&gt;_XXX_vx.x</v>
      </c>
      <c r="C6" s="209"/>
      <c r="D6" s="210"/>
      <c r="E6" s="134" t="s">
        <v>9</v>
      </c>
      <c r="F6" s="115"/>
    </row>
    <row r="7" spans="1:6">
      <c r="A7" s="135"/>
      <c r="B7" s="8"/>
      <c r="C7" s="9"/>
      <c r="D7" s="9"/>
      <c r="E7" s="10"/>
      <c r="F7" s="11"/>
    </row>
    <row r="8" spans="1:6">
      <c r="A8" s="12"/>
      <c r="B8" s="13"/>
      <c r="C8" s="13"/>
      <c r="D8" s="13"/>
      <c r="E8" s="13"/>
    </row>
    <row r="9" spans="1:6">
      <c r="A9" s="136" t="s">
        <v>10</v>
      </c>
    </row>
    <row r="10" spans="1:6" s="14" customFormat="1">
      <c r="A10" s="15" t="s">
        <v>11</v>
      </c>
      <c r="B10" s="16" t="s">
        <v>9</v>
      </c>
      <c r="C10" s="16" t="s">
        <v>12</v>
      </c>
      <c r="D10" s="16" t="s">
        <v>13</v>
      </c>
      <c r="E10" s="16" t="s">
        <v>14</v>
      </c>
      <c r="F10" s="17" t="s">
        <v>15</v>
      </c>
    </row>
    <row r="11" spans="1:6" s="18" customFormat="1" ht="26.25" customHeight="1">
      <c r="A11" s="116" t="s">
        <v>16</v>
      </c>
      <c r="B11" s="19"/>
      <c r="C11" s="20"/>
      <c r="D11" s="20"/>
      <c r="E11" s="21"/>
      <c r="F11" s="117" t="s">
        <v>17</v>
      </c>
    </row>
    <row r="12" spans="1:6" s="18" customFormat="1" ht="21.75" customHeight="1">
      <c r="A12" s="22"/>
      <c r="B12" s="19"/>
      <c r="C12" s="20"/>
      <c r="D12" s="20"/>
      <c r="E12" s="20"/>
      <c r="F12" s="23"/>
    </row>
    <row r="13" spans="1:6" s="18" customFormat="1" ht="19.5" customHeight="1">
      <c r="A13" s="22"/>
      <c r="B13" s="19"/>
      <c r="C13" s="20"/>
      <c r="D13" s="20"/>
      <c r="E13" s="20"/>
      <c r="F13" s="23"/>
    </row>
    <row r="14" spans="1:6" s="18" customFormat="1" ht="21.75" customHeight="1">
      <c r="A14" s="22"/>
      <c r="B14" s="19"/>
      <c r="C14" s="20"/>
      <c r="D14" s="20"/>
      <c r="E14" s="20"/>
      <c r="F14" s="23"/>
    </row>
    <row r="15" spans="1:6" s="18" customFormat="1" ht="19.5" customHeight="1">
      <c r="A15" s="22"/>
      <c r="B15" s="19"/>
      <c r="C15" s="20"/>
      <c r="D15" s="20"/>
      <c r="E15" s="20"/>
      <c r="F15" s="23"/>
    </row>
    <row r="16" spans="1:6" s="18" customFormat="1" ht="21.75" customHeight="1">
      <c r="A16" s="22"/>
      <c r="B16" s="19"/>
      <c r="C16" s="20"/>
      <c r="D16" s="20"/>
      <c r="E16" s="20"/>
      <c r="F16" s="23"/>
    </row>
    <row r="17" spans="1:6" s="18" customFormat="1" ht="19.5" customHeight="1">
      <c r="A17" s="24"/>
      <c r="B17" s="25"/>
      <c r="C17" s="26"/>
      <c r="D17" s="26"/>
      <c r="E17" s="26"/>
      <c r="F17" s="27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zoomScale="85" zoomScaleNormal="85" workbookViewId="0">
      <selection activeCell="D26" sqref="D26"/>
    </sheetView>
  </sheetViews>
  <sheetFormatPr defaultColWidth="9" defaultRowHeight="12.5"/>
  <cols>
    <col min="1" max="1" width="7.08984375" style="55" customWidth="1"/>
    <col min="2" max="2" width="28.7265625" style="55" customWidth="1"/>
    <col min="3" max="3" width="21" style="31" customWidth="1"/>
    <col min="4" max="4" width="14.36328125" style="30" customWidth="1"/>
    <col min="5" max="5" width="41.81640625" style="30" customWidth="1"/>
    <col min="6" max="6" width="51.36328125" style="30" customWidth="1"/>
    <col min="7" max="16384" width="9" style="6"/>
  </cols>
  <sheetData>
    <row r="2" spans="1:6" ht="24.5">
      <c r="A2" s="29"/>
      <c r="B2" s="29"/>
      <c r="C2" s="32" t="s">
        <v>173</v>
      </c>
      <c r="D2" s="32"/>
      <c r="E2" s="33"/>
    </row>
    <row r="3" spans="1:6" ht="13.5" customHeight="1">
      <c r="A3" s="29"/>
      <c r="B3" s="29"/>
      <c r="D3" s="34"/>
      <c r="E3" s="34"/>
    </row>
    <row r="4" spans="1:6" ht="14.25" customHeight="1">
      <c r="A4" s="212" t="s">
        <v>0</v>
      </c>
      <c r="B4" s="212"/>
      <c r="C4" s="213" t="str">
        <f>Cover!B4</f>
        <v>&lt;Project Name&gt;</v>
      </c>
      <c r="D4" s="214"/>
      <c r="E4" s="214"/>
      <c r="F4" s="215"/>
    </row>
    <row r="5" spans="1:6" ht="14.25" customHeight="1">
      <c r="A5" s="212" t="s">
        <v>3</v>
      </c>
      <c r="B5" s="212"/>
      <c r="C5" s="213" t="str">
        <f>Cover!B5</f>
        <v>&lt;Project Code&gt;</v>
      </c>
      <c r="D5" s="214"/>
      <c r="E5" s="214"/>
      <c r="F5" s="215"/>
    </row>
    <row r="6" spans="1:6" s="35" customFormat="1" ht="12.75" customHeight="1">
      <c r="A6" s="211" t="s">
        <v>18</v>
      </c>
      <c r="B6" s="211"/>
      <c r="C6" s="216" t="s">
        <v>19</v>
      </c>
      <c r="D6" s="217"/>
      <c r="E6" s="217"/>
      <c r="F6" s="218"/>
    </row>
    <row r="7" spans="1:6">
      <c r="A7" s="36"/>
      <c r="B7" s="36"/>
      <c r="C7" s="38"/>
      <c r="D7" s="37"/>
      <c r="E7" s="37"/>
      <c r="F7" s="37"/>
    </row>
    <row r="8" spans="1:6" s="45" customFormat="1" ht="24" customHeight="1">
      <c r="A8" s="39" t="s">
        <v>20</v>
      </c>
      <c r="B8" s="40" t="s">
        <v>164</v>
      </c>
      <c r="C8" s="42" t="s">
        <v>167</v>
      </c>
      <c r="D8" s="41" t="s">
        <v>21</v>
      </c>
      <c r="E8" s="43" t="s">
        <v>22</v>
      </c>
      <c r="F8" s="44" t="s">
        <v>23</v>
      </c>
    </row>
    <row r="9" spans="1:6" ht="13">
      <c r="A9" s="118">
        <v>1</v>
      </c>
      <c r="B9" s="46" t="s">
        <v>165</v>
      </c>
      <c r="C9" s="47" t="s">
        <v>168</v>
      </c>
      <c r="D9" s="205" t="s">
        <v>168</v>
      </c>
      <c r="E9" s="48"/>
      <c r="F9" s="49"/>
    </row>
    <row r="10" spans="1:6" ht="13">
      <c r="A10" s="118">
        <v>2</v>
      </c>
      <c r="B10" s="46" t="s">
        <v>166</v>
      </c>
      <c r="C10" s="47" t="s">
        <v>169</v>
      </c>
      <c r="D10" s="205" t="s">
        <v>169</v>
      </c>
      <c r="E10" s="48"/>
      <c r="F10" s="49"/>
    </row>
    <row r="11" spans="1:6">
      <c r="A11" s="118"/>
      <c r="B11" s="46"/>
      <c r="C11" s="47"/>
      <c r="D11" s="48"/>
      <c r="E11" s="48"/>
      <c r="F11" s="49"/>
    </row>
    <row r="12" spans="1:6">
      <c r="A12" s="118"/>
      <c r="B12" s="46"/>
      <c r="C12" s="47"/>
      <c r="D12" s="48"/>
      <c r="E12" s="48"/>
      <c r="F12" s="49"/>
    </row>
    <row r="13" spans="1:6">
      <c r="A13" s="118"/>
      <c r="B13" s="46"/>
      <c r="C13" s="47"/>
      <c r="D13" s="50"/>
      <c r="E13" s="50"/>
      <c r="F13" s="49"/>
    </row>
    <row r="14" spans="1:6">
      <c r="A14" s="118"/>
      <c r="B14" s="46"/>
      <c r="C14" s="47"/>
      <c r="D14" s="50"/>
      <c r="E14" s="50"/>
      <c r="F14" s="49"/>
    </row>
    <row r="15" spans="1:6">
      <c r="A15" s="118"/>
      <c r="B15" s="46"/>
      <c r="C15" s="47"/>
      <c r="D15" s="50"/>
      <c r="E15" s="50"/>
      <c r="F15" s="49"/>
    </row>
    <row r="16" spans="1:6">
      <c r="A16" s="118"/>
      <c r="B16" s="46"/>
      <c r="C16" s="47"/>
      <c r="D16" s="50"/>
      <c r="E16" s="50"/>
      <c r="F16" s="49"/>
    </row>
    <row r="17" spans="1:6">
      <c r="A17" s="118"/>
      <c r="B17" s="46"/>
      <c r="C17" s="47"/>
      <c r="D17" s="50"/>
      <c r="E17" s="50"/>
      <c r="F17" s="49"/>
    </row>
    <row r="18" spans="1:6">
      <c r="A18" s="118"/>
      <c r="B18" s="46"/>
      <c r="C18" s="47"/>
      <c r="D18" s="50"/>
      <c r="E18" s="50"/>
      <c r="F18" s="49"/>
    </row>
    <row r="19" spans="1:6">
      <c r="A19" s="118"/>
      <c r="B19" s="46"/>
      <c r="C19" s="47"/>
      <c r="D19" s="50"/>
      <c r="E19" s="50"/>
      <c r="F19" s="49"/>
    </row>
    <row r="20" spans="1:6">
      <c r="A20" s="119"/>
      <c r="B20" s="51"/>
      <c r="C20" s="52"/>
      <c r="D20" s="53"/>
      <c r="E20" s="53"/>
      <c r="F20" s="54"/>
    </row>
  </sheetData>
  <mergeCells count="6">
    <mergeCell ref="A6:B6"/>
    <mergeCell ref="A4:B4"/>
    <mergeCell ref="A5:B5"/>
    <mergeCell ref="C4:F4"/>
    <mergeCell ref="C5:F5"/>
    <mergeCell ref="C6:F6"/>
  </mergeCells>
  <phoneticPr fontId="0" type="noConversion"/>
  <hyperlinks>
    <hyperlink ref="D9" location="methodName1!A1" display="methodName1"/>
    <hyperlink ref="D10" location="methodName2!A1" display="methodName2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topLeftCell="A10" zoomScale="85" zoomScaleNormal="85" workbookViewId="0">
      <selection activeCell="A14" sqref="A14:IV14"/>
    </sheetView>
  </sheetViews>
  <sheetFormatPr defaultColWidth="9" defaultRowHeight="12.5"/>
  <cols>
    <col min="1" max="1" width="15.36328125" style="6" customWidth="1"/>
    <col min="2" max="2" width="26.6328125" style="6" customWidth="1"/>
    <col min="3" max="3" width="12.08984375" style="6" customWidth="1"/>
    <col min="4" max="4" width="9.6328125" style="6" customWidth="1"/>
    <col min="5" max="5" width="9.81640625" style="6" customWidth="1"/>
    <col min="6" max="8" width="5.08984375" style="6" customWidth="1"/>
    <col min="9" max="9" width="21" style="6" customWidth="1"/>
    <col min="10" max="10" width="33.08984375" style="6" customWidth="1"/>
    <col min="11" max="16384" width="9" style="6"/>
  </cols>
  <sheetData>
    <row r="2" spans="1:9" ht="25.5" customHeight="1">
      <c r="A2" s="228" t="s">
        <v>24</v>
      </c>
      <c r="B2" s="228"/>
      <c r="C2" s="228"/>
      <c r="D2" s="228"/>
      <c r="E2" s="228"/>
      <c r="F2" s="228"/>
      <c r="G2" s="228"/>
      <c r="H2" s="228"/>
      <c r="I2" s="228"/>
    </row>
    <row r="3" spans="1:9" ht="14.25" customHeight="1">
      <c r="A3" s="56"/>
      <c r="B3" s="57"/>
      <c r="C3" s="57"/>
      <c r="D3" s="57"/>
      <c r="E3" s="57"/>
      <c r="F3" s="57"/>
      <c r="G3" s="57"/>
      <c r="H3" s="57"/>
      <c r="I3" s="58"/>
    </row>
    <row r="4" spans="1:9" ht="13.5" customHeight="1">
      <c r="A4" s="148" t="s">
        <v>0</v>
      </c>
      <c r="B4" s="225" t="str">
        <f>Cover!B4</f>
        <v>&lt;Project Name&gt;</v>
      </c>
      <c r="C4" s="225"/>
      <c r="D4" s="226" t="s">
        <v>2</v>
      </c>
      <c r="E4" s="226"/>
      <c r="F4" s="219"/>
      <c r="G4" s="220"/>
      <c r="H4" s="220"/>
      <c r="I4" s="221"/>
    </row>
    <row r="5" spans="1:9" ht="13.5" customHeight="1">
      <c r="A5" s="148" t="s">
        <v>3</v>
      </c>
      <c r="B5" s="225" t="str">
        <f>Cover!B5</f>
        <v>&lt;Project Code&gt;</v>
      </c>
      <c r="C5" s="225"/>
      <c r="D5" s="226" t="s">
        <v>5</v>
      </c>
      <c r="E5" s="226"/>
      <c r="F5" s="219"/>
      <c r="G5" s="220"/>
      <c r="H5" s="220"/>
      <c r="I5" s="221"/>
    </row>
    <row r="6" spans="1:9" ht="12.75" customHeight="1">
      <c r="A6" s="149" t="s">
        <v>6</v>
      </c>
      <c r="B6" s="225" t="str">
        <f>B5&amp;"_"&amp;"Test Report"&amp;"_"&amp;"vx.x"</f>
        <v>&lt;Project Code&gt;_Test Report_vx.x</v>
      </c>
      <c r="C6" s="225"/>
      <c r="D6" s="226" t="s">
        <v>7</v>
      </c>
      <c r="E6" s="226"/>
      <c r="F6" s="222" t="s">
        <v>8</v>
      </c>
      <c r="G6" s="223"/>
      <c r="H6" s="223"/>
      <c r="I6" s="224"/>
    </row>
    <row r="7" spans="1:9" ht="15.75" customHeight="1">
      <c r="A7" s="149" t="s">
        <v>25</v>
      </c>
      <c r="B7" s="227" t="s">
        <v>26</v>
      </c>
      <c r="C7" s="227"/>
      <c r="D7" s="227"/>
      <c r="E7" s="227"/>
      <c r="F7" s="227"/>
      <c r="G7" s="227"/>
      <c r="H7" s="227"/>
      <c r="I7" s="227"/>
    </row>
    <row r="8" spans="1:9" ht="14.25" customHeight="1">
      <c r="A8" s="59"/>
      <c r="B8" s="60"/>
      <c r="C8" s="57"/>
      <c r="D8" s="57"/>
      <c r="E8" s="57"/>
      <c r="F8" s="57"/>
      <c r="G8" s="57"/>
      <c r="H8" s="57"/>
      <c r="I8" s="58"/>
    </row>
    <row r="9" spans="1:9">
      <c r="A9" s="59"/>
      <c r="B9" s="60"/>
      <c r="C9" s="57"/>
      <c r="D9" s="57"/>
      <c r="E9" s="57"/>
      <c r="F9" s="57"/>
      <c r="G9" s="57"/>
      <c r="H9" s="57"/>
      <c r="I9" s="58"/>
    </row>
    <row r="10" spans="1:9">
      <c r="A10" s="61"/>
      <c r="B10" s="61"/>
      <c r="C10" s="61"/>
      <c r="D10" s="61"/>
      <c r="E10" s="61"/>
      <c r="F10" s="61"/>
      <c r="G10" s="61"/>
      <c r="H10" s="61"/>
      <c r="I10" s="61"/>
    </row>
    <row r="11" spans="1:9" ht="14.25" customHeight="1">
      <c r="A11" s="62" t="s">
        <v>20</v>
      </c>
      <c r="B11" s="63" t="s">
        <v>153</v>
      </c>
      <c r="C11" s="64" t="s">
        <v>27</v>
      </c>
      <c r="D11" s="63" t="s">
        <v>28</v>
      </c>
      <c r="E11" s="65" t="s">
        <v>29</v>
      </c>
      <c r="F11" s="65" t="s">
        <v>63</v>
      </c>
      <c r="G11" s="65" t="s">
        <v>65</v>
      </c>
      <c r="H11" s="65" t="s">
        <v>64</v>
      </c>
      <c r="I11" s="66" t="s">
        <v>30</v>
      </c>
    </row>
    <row r="12" spans="1:9" ht="13">
      <c r="A12" s="67">
        <v>1</v>
      </c>
      <c r="B12" s="205" t="s">
        <v>168</v>
      </c>
      <c r="C12" s="68">
        <f>methodName1!A5</f>
        <v>12</v>
      </c>
      <c r="D12" s="68">
        <f>methodName1!C5</f>
        <v>2</v>
      </c>
      <c r="E12" s="68">
        <f>methodName1!F5</f>
        <v>1</v>
      </c>
      <c r="F12" s="69">
        <f>methodName1!L5</f>
        <v>11</v>
      </c>
      <c r="G12" s="68">
        <f>methodName1!M5</f>
        <v>3</v>
      </c>
      <c r="H12" s="68">
        <f>methodName1!N5</f>
        <v>1</v>
      </c>
      <c r="I12" s="68">
        <f>methodName1!O5</f>
        <v>15</v>
      </c>
    </row>
    <row r="13" spans="1:9" ht="13">
      <c r="A13" s="67">
        <v>2</v>
      </c>
      <c r="B13" s="205" t="s">
        <v>169</v>
      </c>
      <c r="C13" s="68">
        <f>methodName2!A5</f>
        <v>12</v>
      </c>
      <c r="D13" s="68">
        <f>methodName2!C5</f>
        <v>3</v>
      </c>
      <c r="E13" s="68">
        <f>methodName2!F5</f>
        <v>0</v>
      </c>
      <c r="F13" s="69">
        <f>methodName2!L5</f>
        <v>12</v>
      </c>
      <c r="G13" s="68">
        <f>methodName2!M5</f>
        <v>2</v>
      </c>
      <c r="H13" s="68">
        <f>methodName2!N5</f>
        <v>1</v>
      </c>
      <c r="I13" s="68">
        <f>methodName2!O5</f>
        <v>15</v>
      </c>
    </row>
    <row r="14" spans="1:9" ht="14">
      <c r="A14" s="67"/>
      <c r="B14" s="137"/>
      <c r="C14" s="68"/>
      <c r="D14" s="68"/>
      <c r="E14" s="68"/>
      <c r="F14" s="69"/>
      <c r="G14" s="68"/>
      <c r="H14" s="68"/>
      <c r="I14" s="68"/>
    </row>
    <row r="15" spans="1:9" ht="14">
      <c r="A15" s="67"/>
      <c r="B15" s="137"/>
      <c r="C15" s="68"/>
      <c r="D15" s="68"/>
      <c r="E15" s="68"/>
      <c r="F15" s="69"/>
      <c r="G15" s="68"/>
      <c r="H15" s="68"/>
      <c r="I15" s="68"/>
    </row>
    <row r="16" spans="1:9" ht="14">
      <c r="A16" s="70"/>
      <c r="B16" s="138" t="s">
        <v>31</v>
      </c>
      <c r="C16" s="71">
        <f t="shared" ref="C16:I16" si="0">SUM(C10:C15)</f>
        <v>24</v>
      </c>
      <c r="D16" s="71">
        <f t="shared" si="0"/>
        <v>5</v>
      </c>
      <c r="E16" s="71">
        <f t="shared" si="0"/>
        <v>1</v>
      </c>
      <c r="F16" s="71">
        <f t="shared" si="0"/>
        <v>23</v>
      </c>
      <c r="G16" s="71">
        <f t="shared" si="0"/>
        <v>5</v>
      </c>
      <c r="H16" s="71">
        <f t="shared" si="0"/>
        <v>2</v>
      </c>
      <c r="I16" s="71">
        <f t="shared" si="0"/>
        <v>30</v>
      </c>
    </row>
    <row r="17" spans="1:9">
      <c r="A17" s="72"/>
      <c r="B17" s="61"/>
      <c r="C17" s="73"/>
      <c r="D17" s="74"/>
      <c r="E17" s="74"/>
      <c r="F17" s="74"/>
      <c r="G17" s="74"/>
      <c r="H17" s="74"/>
      <c r="I17" s="74"/>
    </row>
    <row r="18" spans="1:9">
      <c r="A18" s="61"/>
      <c r="B18" s="150" t="s">
        <v>32</v>
      </c>
      <c r="C18" s="61"/>
      <c r="D18" s="151">
        <f>(C16+D16)*100/(I16)</f>
        <v>96.666666666666671</v>
      </c>
      <c r="E18" s="61" t="s">
        <v>33</v>
      </c>
      <c r="F18" s="61"/>
      <c r="G18" s="61"/>
      <c r="H18" s="61"/>
      <c r="I18" s="75"/>
    </row>
    <row r="19" spans="1:9">
      <c r="A19" s="61"/>
      <c r="B19" s="150" t="s">
        <v>34</v>
      </c>
      <c r="C19" s="61"/>
      <c r="D19" s="151">
        <f>C16*100/(I16)</f>
        <v>80</v>
      </c>
      <c r="E19" s="61" t="s">
        <v>33</v>
      </c>
      <c r="F19" s="61"/>
      <c r="G19" s="61"/>
      <c r="H19" s="61"/>
      <c r="I19" s="75"/>
    </row>
    <row r="20" spans="1:9">
      <c r="B20" s="150" t="s">
        <v>35</v>
      </c>
      <c r="C20" s="61"/>
      <c r="D20" s="151">
        <f>F16*100/I16</f>
        <v>76.666666666666671</v>
      </c>
      <c r="E20" s="61" t="s">
        <v>33</v>
      </c>
    </row>
    <row r="21" spans="1:9">
      <c r="B21" s="150" t="s">
        <v>36</v>
      </c>
      <c r="D21" s="151">
        <f>G16*100/I16</f>
        <v>16.666666666666668</v>
      </c>
      <c r="E21" s="61" t="s">
        <v>33</v>
      </c>
    </row>
    <row r="22" spans="1:9">
      <c r="B22" s="150" t="s">
        <v>37</v>
      </c>
      <c r="D22" s="151">
        <f>H16*100/I16</f>
        <v>6.666666666666667</v>
      </c>
      <c r="E22" s="61" t="s">
        <v>33</v>
      </c>
    </row>
  </sheetData>
  <mergeCells count="11">
    <mergeCell ref="A2:I2"/>
    <mergeCell ref="B4:C4"/>
    <mergeCell ref="D4:E4"/>
    <mergeCell ref="B5:C5"/>
    <mergeCell ref="D5:E5"/>
    <mergeCell ref="F4:I4"/>
    <mergeCell ref="F5:I5"/>
    <mergeCell ref="F6:I6"/>
    <mergeCell ref="B6:C6"/>
    <mergeCell ref="D6:E6"/>
    <mergeCell ref="B7:I7"/>
  </mergeCells>
  <phoneticPr fontId="0" type="noConversion"/>
  <hyperlinks>
    <hyperlink ref="B12" location="methodName1!A1" display="methodName1"/>
    <hyperlink ref="B13" location="methodName2!A1" display="methodName2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1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76" customWidth="1"/>
    <col min="2" max="2" width="13.36328125" style="80" customWidth="1"/>
    <col min="3" max="3" width="10.81640625" style="76" customWidth="1"/>
    <col min="4" max="4" width="11.36328125" style="77" customWidth="1"/>
    <col min="5" max="5" width="1.81640625" style="76" hidden="1" customWidth="1"/>
    <col min="6" max="7" width="2.81640625" style="76" bestFit="1" customWidth="1"/>
    <col min="8" max="8" width="2.81640625" style="76" customWidth="1"/>
    <col min="9" max="10" width="2.81640625" style="76" bestFit="1" customWidth="1"/>
    <col min="11" max="19" width="2.81640625" style="76" customWidth="1"/>
    <col min="20" max="20" width="2.81640625" style="76" bestFit="1" customWidth="1"/>
    <col min="21" max="21" width="2.81640625" style="76" customWidth="1"/>
    <col min="22" max="16384" width="9" style="76"/>
  </cols>
  <sheetData>
    <row r="1" spans="1:23" ht="13.5" customHeight="1">
      <c r="A1" s="257" t="s">
        <v>161</v>
      </c>
      <c r="B1" s="258"/>
      <c r="C1" s="259" t="s">
        <v>165</v>
      </c>
      <c r="D1" s="260"/>
      <c r="E1" s="261"/>
      <c r="F1" s="262" t="s">
        <v>162</v>
      </c>
      <c r="G1" s="263"/>
      <c r="H1" s="263"/>
      <c r="I1" s="263"/>
      <c r="J1" s="263"/>
      <c r="K1" s="263"/>
      <c r="L1" s="232" t="s">
        <v>168</v>
      </c>
      <c r="M1" s="233"/>
      <c r="N1" s="233"/>
      <c r="O1" s="233"/>
      <c r="P1" s="233"/>
      <c r="Q1" s="233"/>
      <c r="R1" s="233"/>
      <c r="S1" s="233"/>
      <c r="T1" s="234"/>
      <c r="V1" s="78"/>
    </row>
    <row r="2" spans="1:23" ht="13.5" customHeight="1">
      <c r="A2" s="250" t="s">
        <v>97</v>
      </c>
      <c r="B2" s="251"/>
      <c r="C2" s="245" t="s">
        <v>38</v>
      </c>
      <c r="D2" s="235"/>
      <c r="E2" s="246"/>
      <c r="F2" s="238" t="s">
        <v>98</v>
      </c>
      <c r="G2" s="239"/>
      <c r="H2" s="239"/>
      <c r="I2" s="239"/>
      <c r="J2" s="239"/>
      <c r="K2" s="240"/>
      <c r="L2" s="235"/>
      <c r="M2" s="235"/>
      <c r="N2" s="235"/>
      <c r="O2" s="145"/>
      <c r="P2" s="145"/>
      <c r="Q2" s="145"/>
      <c r="R2" s="145"/>
      <c r="S2" s="145"/>
      <c r="T2" s="146"/>
    </row>
    <row r="3" spans="1:23" ht="13.5" customHeight="1">
      <c r="A3" s="250" t="s">
        <v>99</v>
      </c>
      <c r="B3" s="251"/>
      <c r="C3" s="252" t="s">
        <v>96</v>
      </c>
      <c r="D3" s="252"/>
      <c r="E3" s="252"/>
      <c r="F3" s="253"/>
      <c r="G3" s="253"/>
      <c r="H3" s="253"/>
      <c r="I3" s="253"/>
      <c r="J3" s="253"/>
      <c r="K3" s="253"/>
      <c r="L3" s="252"/>
      <c r="M3" s="252"/>
      <c r="N3" s="252"/>
      <c r="O3" s="252"/>
      <c r="P3" s="252"/>
      <c r="Q3" s="252"/>
      <c r="R3" s="252"/>
      <c r="S3" s="252"/>
      <c r="T3" s="252"/>
    </row>
    <row r="4" spans="1:23" ht="13.5" customHeight="1">
      <c r="A4" s="248" t="s">
        <v>27</v>
      </c>
      <c r="B4" s="249"/>
      <c r="C4" s="236" t="s">
        <v>28</v>
      </c>
      <c r="D4" s="230"/>
      <c r="E4" s="237"/>
      <c r="F4" s="236" t="s">
        <v>29</v>
      </c>
      <c r="G4" s="230"/>
      <c r="H4" s="230"/>
      <c r="I4" s="230"/>
      <c r="J4" s="230"/>
      <c r="K4" s="241"/>
      <c r="L4" s="230" t="s">
        <v>100</v>
      </c>
      <c r="M4" s="230"/>
      <c r="N4" s="230"/>
      <c r="O4" s="229" t="s">
        <v>30</v>
      </c>
      <c r="P4" s="230"/>
      <c r="Q4" s="230"/>
      <c r="R4" s="230"/>
      <c r="S4" s="230"/>
      <c r="T4" s="231"/>
      <c r="V4" s="78"/>
    </row>
    <row r="5" spans="1:23" ht="13.5" customHeight="1" thickBot="1">
      <c r="A5" s="268">
        <f>COUNTIF(F38:HQ38,"P")</f>
        <v>12</v>
      </c>
      <c r="B5" s="267"/>
      <c r="C5" s="265">
        <f>COUNTIF(F38:HQ38,"F")</f>
        <v>2</v>
      </c>
      <c r="D5" s="255"/>
      <c r="E5" s="267"/>
      <c r="F5" s="265">
        <f>SUM(O5,- A5,- C5)</f>
        <v>1</v>
      </c>
      <c r="G5" s="255"/>
      <c r="H5" s="255"/>
      <c r="I5" s="255"/>
      <c r="J5" s="255"/>
      <c r="K5" s="266"/>
      <c r="L5" s="147">
        <f>COUNTIF(E37:HQ37,"N")</f>
        <v>11</v>
      </c>
      <c r="M5" s="147">
        <f>COUNTIF(E37:HQ37,"A")</f>
        <v>3</v>
      </c>
      <c r="N5" s="147">
        <f>COUNTIF(E37:HQ37,"B")</f>
        <v>1</v>
      </c>
      <c r="O5" s="254">
        <f>COUNTA(E7:HT7)</f>
        <v>15</v>
      </c>
      <c r="P5" s="255"/>
      <c r="Q5" s="255"/>
      <c r="R5" s="255"/>
      <c r="S5" s="255"/>
      <c r="T5" s="256"/>
      <c r="U5" s="79"/>
    </row>
    <row r="6" spans="1:23" ht="10.5" thickBot="1"/>
    <row r="7" spans="1:23" ht="46.5" customHeight="1" thickTop="1" thickBot="1">
      <c r="A7" s="199"/>
      <c r="B7" s="200"/>
      <c r="C7" s="201"/>
      <c r="D7" s="202"/>
      <c r="E7" s="201"/>
      <c r="F7" s="203" t="s">
        <v>39</v>
      </c>
      <c r="G7" s="203" t="s">
        <v>40</v>
      </c>
      <c r="H7" s="203" t="s">
        <v>41</v>
      </c>
      <c r="I7" s="203" t="s">
        <v>42</v>
      </c>
      <c r="J7" s="203" t="s">
        <v>43</v>
      </c>
      <c r="K7" s="203" t="s">
        <v>44</v>
      </c>
      <c r="L7" s="203" t="s">
        <v>45</v>
      </c>
      <c r="M7" s="203" t="s">
        <v>46</v>
      </c>
      <c r="N7" s="203" t="s">
        <v>47</v>
      </c>
      <c r="O7" s="203" t="s">
        <v>48</v>
      </c>
      <c r="P7" s="203" t="s">
        <v>49</v>
      </c>
      <c r="Q7" s="203" t="s">
        <v>50</v>
      </c>
      <c r="R7" s="203" t="s">
        <v>51</v>
      </c>
      <c r="S7" s="203" t="s">
        <v>52</v>
      </c>
      <c r="T7" s="204" t="s">
        <v>53</v>
      </c>
      <c r="U7" s="81"/>
      <c r="V7" s="82"/>
      <c r="W7" s="83"/>
    </row>
    <row r="8" spans="1:23" ht="13.5" customHeight="1">
      <c r="A8" s="180" t="s">
        <v>101</v>
      </c>
      <c r="B8" s="181" t="s">
        <v>102</v>
      </c>
      <c r="C8" s="182"/>
      <c r="D8" s="183"/>
      <c r="E8" s="89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68"/>
    </row>
    <row r="9" spans="1:23" ht="13.5" customHeight="1">
      <c r="A9" s="166"/>
      <c r="B9" s="84"/>
      <c r="C9" s="85"/>
      <c r="D9" s="86" t="s">
        <v>54</v>
      </c>
      <c r="E9" s="8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65"/>
      <c r="V9" s="78"/>
    </row>
    <row r="10" spans="1:23" ht="13.5" customHeight="1">
      <c r="A10" s="166"/>
      <c r="B10" s="84"/>
      <c r="C10" s="85"/>
      <c r="D10" s="86"/>
      <c r="E10" s="8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65"/>
    </row>
    <row r="11" spans="1:23" ht="13.5" customHeight="1">
      <c r="A11" s="166"/>
      <c r="B11" s="84"/>
      <c r="C11" s="85"/>
      <c r="D11" s="86"/>
      <c r="E11" s="90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65"/>
    </row>
    <row r="12" spans="1:23" ht="13.5" customHeight="1">
      <c r="A12" s="166"/>
      <c r="B12" s="84" t="s">
        <v>156</v>
      </c>
      <c r="C12" s="85"/>
      <c r="D12" s="86"/>
      <c r="E12" s="91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65"/>
    </row>
    <row r="13" spans="1:23" ht="13.5" customHeight="1">
      <c r="A13" s="166"/>
      <c r="B13" s="84"/>
      <c r="C13" s="85"/>
      <c r="D13" s="86">
        <v>29</v>
      </c>
      <c r="E13" s="91"/>
      <c r="F13" s="139" t="s">
        <v>129</v>
      </c>
      <c r="G13" s="139" t="s">
        <v>129</v>
      </c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65"/>
    </row>
    <row r="14" spans="1:23" ht="13.5" customHeight="1">
      <c r="A14" s="166"/>
      <c r="B14" s="84"/>
      <c r="C14" s="85"/>
      <c r="D14" s="86">
        <v>30</v>
      </c>
      <c r="E14" s="91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65"/>
    </row>
    <row r="15" spans="1:23" ht="13.5" customHeight="1">
      <c r="A15" s="166"/>
      <c r="B15" s="84"/>
      <c r="C15" s="85"/>
      <c r="D15" s="86">
        <v>31</v>
      </c>
      <c r="E15" s="91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65"/>
      <c r="U15" s="140"/>
    </row>
    <row r="16" spans="1:23" ht="13.5" customHeight="1">
      <c r="A16" s="166"/>
      <c r="B16" s="84" t="s">
        <v>157</v>
      </c>
      <c r="C16" s="85"/>
      <c r="D16" s="86"/>
      <c r="E16" s="91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65"/>
      <c r="U16" s="140"/>
    </row>
    <row r="17" spans="1:20" ht="13.5" customHeight="1">
      <c r="A17" s="166"/>
      <c r="B17" s="84"/>
      <c r="C17" s="85"/>
      <c r="D17" s="247">
        <v>2</v>
      </c>
      <c r="E17" s="247"/>
      <c r="F17" s="139" t="s">
        <v>129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5"/>
    </row>
    <row r="18" spans="1:20" ht="13.5" customHeight="1">
      <c r="A18" s="166"/>
      <c r="B18" s="84"/>
      <c r="C18" s="85"/>
      <c r="D18" s="86">
        <v>3</v>
      </c>
      <c r="E18" s="91"/>
      <c r="F18" s="139"/>
      <c r="G18" s="139" t="s">
        <v>129</v>
      </c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65"/>
    </row>
    <row r="19" spans="1:20" ht="13.5" customHeight="1">
      <c r="A19" s="166"/>
      <c r="B19" s="84"/>
      <c r="C19" s="85"/>
      <c r="D19" s="86">
        <v>4</v>
      </c>
      <c r="E19" s="91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65"/>
    </row>
    <row r="20" spans="1:20" ht="13.5" customHeight="1">
      <c r="A20" s="166"/>
      <c r="B20" s="84" t="s">
        <v>158</v>
      </c>
      <c r="C20" s="85"/>
      <c r="D20" s="86"/>
      <c r="E20" s="91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65"/>
    </row>
    <row r="21" spans="1:20" ht="13.5" customHeight="1">
      <c r="A21" s="166"/>
      <c r="B21" s="84"/>
      <c r="C21" s="85"/>
      <c r="D21" s="86">
        <v>2000</v>
      </c>
      <c r="E21" s="91"/>
      <c r="F21" s="139" t="s">
        <v>129</v>
      </c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65"/>
    </row>
    <row r="22" spans="1:20" ht="13.5" customHeight="1">
      <c r="A22" s="166"/>
      <c r="B22" s="84"/>
      <c r="C22" s="85"/>
      <c r="D22" s="86">
        <v>2009</v>
      </c>
      <c r="E22" s="91"/>
      <c r="F22" s="139"/>
      <c r="G22" s="139" t="s">
        <v>129</v>
      </c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65"/>
    </row>
    <row r="23" spans="1:20" ht="13.5" customHeight="1">
      <c r="A23" s="166"/>
      <c r="B23" s="84"/>
      <c r="C23" s="85"/>
      <c r="D23" s="86"/>
      <c r="E23" s="91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65"/>
    </row>
    <row r="24" spans="1:20" ht="13.5" customHeight="1">
      <c r="A24" s="166"/>
      <c r="B24" s="84"/>
      <c r="C24" s="85"/>
      <c r="D24" s="86"/>
      <c r="E24" s="91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65"/>
    </row>
    <row r="25" spans="1:20" ht="13.5" customHeight="1">
      <c r="A25" s="166"/>
      <c r="B25" s="84"/>
      <c r="C25" s="85"/>
      <c r="D25" s="86"/>
      <c r="E25" s="91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65"/>
    </row>
    <row r="26" spans="1:20" ht="13.5" customHeight="1">
      <c r="A26" s="166"/>
      <c r="B26" s="84"/>
      <c r="C26" s="85"/>
      <c r="D26" s="86"/>
      <c r="E26" s="91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65"/>
    </row>
    <row r="27" spans="1:20" ht="13.5" customHeight="1">
      <c r="A27" s="166"/>
      <c r="B27" s="84"/>
      <c r="C27" s="85"/>
      <c r="D27" s="86"/>
      <c r="E27" s="91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65"/>
    </row>
    <row r="28" spans="1:20" ht="13.5" customHeight="1" thickBot="1">
      <c r="A28" s="166"/>
      <c r="B28" s="93"/>
      <c r="C28" s="94"/>
      <c r="D28" s="95"/>
      <c r="E28" s="96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67"/>
    </row>
    <row r="29" spans="1:20" ht="13.5" customHeight="1" thickTop="1">
      <c r="A29" s="179" t="s">
        <v>103</v>
      </c>
      <c r="B29" s="98" t="s">
        <v>104</v>
      </c>
      <c r="C29" s="99"/>
      <c r="D29" s="100"/>
      <c r="E29" s="101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68"/>
    </row>
    <row r="30" spans="1:20" ht="13.5" customHeight="1">
      <c r="A30" s="178"/>
      <c r="B30" s="103"/>
      <c r="C30" s="104"/>
      <c r="D30" s="105" t="s">
        <v>159</v>
      </c>
      <c r="E30" s="106"/>
      <c r="F30" s="139" t="s">
        <v>129</v>
      </c>
      <c r="G30" s="139" t="s">
        <v>129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65"/>
    </row>
    <row r="31" spans="1:20" ht="13.5" customHeight="1">
      <c r="A31" s="178"/>
      <c r="B31" s="103"/>
      <c r="C31" s="143"/>
      <c r="D31" s="105" t="s">
        <v>68</v>
      </c>
      <c r="E31" s="108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65"/>
    </row>
    <row r="32" spans="1:20" ht="13.5" customHeight="1">
      <c r="A32" s="178"/>
      <c r="B32" s="103" t="s">
        <v>105</v>
      </c>
      <c r="C32" s="143"/>
      <c r="D32" s="105"/>
      <c r="E32" s="108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65"/>
    </row>
    <row r="33" spans="1:20" ht="13.5" customHeight="1">
      <c r="A33" s="178"/>
      <c r="B33" s="103"/>
      <c r="C33" s="143"/>
      <c r="D33" s="105"/>
      <c r="E33" s="108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65"/>
    </row>
    <row r="34" spans="1:20" ht="13.5" customHeight="1">
      <c r="A34" s="178"/>
      <c r="B34" s="103" t="s">
        <v>106</v>
      </c>
      <c r="C34" s="143"/>
      <c r="D34" s="105"/>
      <c r="E34" s="108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65"/>
    </row>
    <row r="35" spans="1:20" ht="13.5" customHeight="1">
      <c r="A35" s="178"/>
      <c r="B35" s="103"/>
      <c r="C35" s="143"/>
      <c r="D35" s="105" t="s">
        <v>59</v>
      </c>
      <c r="E35" s="108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65"/>
    </row>
    <row r="36" spans="1:20" ht="13.5" customHeight="1" thickBot="1">
      <c r="A36" s="178"/>
      <c r="B36" s="152"/>
      <c r="C36" s="153"/>
      <c r="D36" s="154" t="s">
        <v>60</v>
      </c>
      <c r="E36" s="155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69"/>
    </row>
    <row r="37" spans="1:20" ht="13.5" customHeight="1" thickTop="1">
      <c r="A37" s="179" t="s">
        <v>61</v>
      </c>
      <c r="B37" s="244" t="s">
        <v>62</v>
      </c>
      <c r="C37" s="244"/>
      <c r="D37" s="244"/>
      <c r="E37" s="157"/>
      <c r="F37" s="158" t="s">
        <v>65</v>
      </c>
      <c r="G37" s="158" t="s">
        <v>63</v>
      </c>
      <c r="H37" s="158" t="s">
        <v>63</v>
      </c>
      <c r="I37" s="158" t="s">
        <v>63</v>
      </c>
      <c r="J37" s="158" t="s">
        <v>63</v>
      </c>
      <c r="K37" s="158" t="s">
        <v>64</v>
      </c>
      <c r="L37" s="158" t="s">
        <v>65</v>
      </c>
      <c r="M37" s="158" t="s">
        <v>63</v>
      </c>
      <c r="N37" s="158" t="s">
        <v>63</v>
      </c>
      <c r="O37" s="158" t="s">
        <v>63</v>
      </c>
      <c r="P37" s="158" t="s">
        <v>63</v>
      </c>
      <c r="Q37" s="158" t="s">
        <v>63</v>
      </c>
      <c r="R37" s="158" t="s">
        <v>65</v>
      </c>
      <c r="S37" s="158" t="s">
        <v>63</v>
      </c>
      <c r="T37" s="170" t="s">
        <v>63</v>
      </c>
    </row>
    <row r="38" spans="1:20" ht="13.5" customHeight="1">
      <c r="A38" s="178"/>
      <c r="B38" s="264" t="s">
        <v>66</v>
      </c>
      <c r="C38" s="264"/>
      <c r="D38" s="264"/>
      <c r="E38" s="110"/>
      <c r="F38" s="144" t="s">
        <v>67</v>
      </c>
      <c r="G38" s="144" t="s">
        <v>67</v>
      </c>
      <c r="H38" s="144" t="s">
        <v>67</v>
      </c>
      <c r="I38" s="144" t="s">
        <v>67</v>
      </c>
      <c r="J38" s="144" t="s">
        <v>67</v>
      </c>
      <c r="K38" s="144" t="s">
        <v>68</v>
      </c>
      <c r="L38" s="144" t="s">
        <v>68</v>
      </c>
      <c r="M38" s="144" t="s">
        <v>67</v>
      </c>
      <c r="N38" s="144" t="s">
        <v>67</v>
      </c>
      <c r="O38" s="144" t="s">
        <v>67</v>
      </c>
      <c r="P38" s="144" t="s">
        <v>67</v>
      </c>
      <c r="Q38" s="144" t="s">
        <v>67</v>
      </c>
      <c r="R38" s="144"/>
      <c r="S38" s="144" t="s">
        <v>67</v>
      </c>
      <c r="T38" s="172" t="s">
        <v>67</v>
      </c>
    </row>
    <row r="39" spans="1:20" ht="13.5" customHeight="1">
      <c r="A39" s="178"/>
      <c r="B39" s="242" t="s">
        <v>69</v>
      </c>
      <c r="C39" s="242"/>
      <c r="D39" s="242"/>
      <c r="E39" s="111"/>
      <c r="F39" s="112">
        <v>39139</v>
      </c>
      <c r="G39" s="112">
        <v>39139</v>
      </c>
      <c r="H39" s="112">
        <v>39140</v>
      </c>
      <c r="I39" s="112">
        <v>39141</v>
      </c>
      <c r="J39" s="112">
        <v>39142</v>
      </c>
      <c r="K39" s="112">
        <v>39143</v>
      </c>
      <c r="L39" s="112">
        <v>39144</v>
      </c>
      <c r="M39" s="112">
        <v>39145</v>
      </c>
      <c r="N39" s="112">
        <v>39146</v>
      </c>
      <c r="O39" s="112">
        <v>39147</v>
      </c>
      <c r="P39" s="112">
        <v>39148</v>
      </c>
      <c r="Q39" s="112">
        <v>39149</v>
      </c>
      <c r="R39" s="112">
        <v>39150</v>
      </c>
      <c r="S39" s="112">
        <v>39151</v>
      </c>
      <c r="T39" s="173">
        <v>39152</v>
      </c>
    </row>
    <row r="40" spans="1:20" ht="71.5" thickBot="1">
      <c r="A40" s="198"/>
      <c r="B40" s="243" t="s">
        <v>70</v>
      </c>
      <c r="C40" s="243"/>
      <c r="D40" s="243"/>
      <c r="E40" s="175"/>
      <c r="F40" s="176"/>
      <c r="G40" s="176"/>
      <c r="H40" s="176"/>
      <c r="I40" s="176"/>
      <c r="J40" s="176"/>
      <c r="K40" s="176" t="s">
        <v>71</v>
      </c>
      <c r="L40" s="176" t="s">
        <v>72</v>
      </c>
      <c r="M40" s="176" t="s">
        <v>73</v>
      </c>
      <c r="N40" s="176" t="s">
        <v>74</v>
      </c>
      <c r="O40" s="176" t="s">
        <v>75</v>
      </c>
      <c r="P40" s="176" t="s">
        <v>76</v>
      </c>
      <c r="Q40" s="176" t="s">
        <v>77</v>
      </c>
      <c r="R40" s="176" t="s">
        <v>78</v>
      </c>
      <c r="S40" s="176" t="s">
        <v>79</v>
      </c>
      <c r="T40" s="177" t="s">
        <v>80</v>
      </c>
    </row>
    <row r="41" spans="1:20" ht="10.5" thickTop="1">
      <c r="A41" s="159"/>
    </row>
  </sheetData>
  <mergeCells count="24">
    <mergeCell ref="A1:B1"/>
    <mergeCell ref="C1:E1"/>
    <mergeCell ref="F1:K1"/>
    <mergeCell ref="B38:D38"/>
    <mergeCell ref="F5:K5"/>
    <mergeCell ref="C5:E5"/>
    <mergeCell ref="A5:B5"/>
    <mergeCell ref="A2:B2"/>
    <mergeCell ref="B39:D39"/>
    <mergeCell ref="B40:D40"/>
    <mergeCell ref="B37:D37"/>
    <mergeCell ref="C2:E2"/>
    <mergeCell ref="D17:E17"/>
    <mergeCell ref="A4:B4"/>
    <mergeCell ref="A3:B3"/>
    <mergeCell ref="C3:T3"/>
    <mergeCell ref="L4:N4"/>
    <mergeCell ref="O5:T5"/>
    <mergeCell ref="O4:T4"/>
    <mergeCell ref="L1:T1"/>
    <mergeCell ref="L2:N2"/>
    <mergeCell ref="C4:E4"/>
    <mergeCell ref="F2:K2"/>
    <mergeCell ref="F4:K4"/>
  </mergeCells>
  <phoneticPr fontId="33" type="noConversion"/>
  <dataValidations count="3">
    <dataValidation type="list" allowBlank="1" showInputMessage="1" showErrorMessage="1" sqref="F37:T37">
      <formula1>"N,A,B, "</formula1>
    </dataValidation>
    <dataValidation type="list" allowBlank="1" showInputMessage="1" showErrorMessage="1" sqref="F38:T38">
      <formula1>"P,F, "</formula1>
    </dataValidation>
    <dataValidation type="list" allowBlank="1" showInputMessage="1" showErrorMessage="1" sqref="F8:T36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1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76" customWidth="1"/>
    <col min="2" max="2" width="13.36328125" style="80" customWidth="1"/>
    <col min="3" max="3" width="10.81640625" style="76" customWidth="1"/>
    <col min="4" max="4" width="11.36328125" style="77" customWidth="1"/>
    <col min="5" max="5" width="1.81640625" style="76" hidden="1" customWidth="1"/>
    <col min="6" max="7" width="2.81640625" style="76" bestFit="1" customWidth="1"/>
    <col min="8" max="8" width="2.81640625" style="76" customWidth="1"/>
    <col min="9" max="10" width="2.81640625" style="76" bestFit="1" customWidth="1"/>
    <col min="11" max="19" width="2.81640625" style="76" customWidth="1"/>
    <col min="20" max="20" width="2.81640625" style="76" bestFit="1" customWidth="1"/>
    <col min="21" max="21" width="2.81640625" style="76" customWidth="1"/>
    <col min="22" max="16384" width="9" style="76"/>
  </cols>
  <sheetData>
    <row r="1" spans="1:23" ht="15" customHeight="1">
      <c r="A1" s="257" t="s">
        <v>161</v>
      </c>
      <c r="B1" s="258"/>
      <c r="C1" s="259" t="s">
        <v>166</v>
      </c>
      <c r="D1" s="260"/>
      <c r="E1" s="261"/>
      <c r="F1" s="262" t="s">
        <v>162</v>
      </c>
      <c r="G1" s="263"/>
      <c r="H1" s="263"/>
      <c r="I1" s="263"/>
      <c r="J1" s="263"/>
      <c r="K1" s="263"/>
      <c r="L1" s="232" t="s">
        <v>169</v>
      </c>
      <c r="M1" s="233"/>
      <c r="N1" s="233"/>
      <c r="O1" s="233"/>
      <c r="P1" s="233"/>
      <c r="Q1" s="233"/>
      <c r="R1" s="233"/>
      <c r="S1" s="233"/>
      <c r="T1" s="234"/>
    </row>
    <row r="2" spans="1:23" ht="13.5" customHeight="1">
      <c r="A2" s="269" t="s">
        <v>97</v>
      </c>
      <c r="B2" s="270"/>
      <c r="C2" s="245" t="s">
        <v>38</v>
      </c>
      <c r="D2" s="235"/>
      <c r="E2" s="246"/>
      <c r="F2" s="271" t="s">
        <v>98</v>
      </c>
      <c r="G2" s="272"/>
      <c r="H2" s="272"/>
      <c r="I2" s="272"/>
      <c r="J2" s="272"/>
      <c r="K2" s="273"/>
      <c r="L2" s="235"/>
      <c r="M2" s="235"/>
      <c r="N2" s="235"/>
      <c r="O2" s="145"/>
      <c r="P2" s="145"/>
      <c r="Q2" s="145"/>
      <c r="R2" s="145"/>
      <c r="S2" s="145"/>
      <c r="T2" s="146"/>
    </row>
    <row r="3" spans="1:23" ht="13.5" customHeight="1">
      <c r="A3" s="250" t="s">
        <v>99</v>
      </c>
      <c r="B3" s="251"/>
      <c r="C3" s="252" t="s">
        <v>96</v>
      </c>
      <c r="D3" s="252"/>
      <c r="E3" s="252"/>
      <c r="F3" s="253"/>
      <c r="G3" s="253"/>
      <c r="H3" s="253"/>
      <c r="I3" s="253"/>
      <c r="J3" s="253"/>
      <c r="K3" s="253"/>
      <c r="L3" s="252"/>
      <c r="M3" s="252"/>
      <c r="N3" s="252"/>
      <c r="O3" s="252"/>
      <c r="P3" s="252"/>
      <c r="Q3" s="252"/>
      <c r="R3" s="252"/>
      <c r="S3" s="252"/>
      <c r="T3" s="252"/>
    </row>
    <row r="4" spans="1:23" ht="13.5" customHeight="1">
      <c r="A4" s="248" t="s">
        <v>27</v>
      </c>
      <c r="B4" s="249"/>
      <c r="C4" s="236" t="s">
        <v>28</v>
      </c>
      <c r="D4" s="230"/>
      <c r="E4" s="237"/>
      <c r="F4" s="236" t="s">
        <v>29</v>
      </c>
      <c r="G4" s="230"/>
      <c r="H4" s="230"/>
      <c r="I4" s="230"/>
      <c r="J4" s="230"/>
      <c r="K4" s="241"/>
      <c r="L4" s="230" t="s">
        <v>100</v>
      </c>
      <c r="M4" s="230"/>
      <c r="N4" s="230"/>
      <c r="O4" s="229" t="s">
        <v>30</v>
      </c>
      <c r="P4" s="230"/>
      <c r="Q4" s="230"/>
      <c r="R4" s="230"/>
      <c r="S4" s="230"/>
      <c r="T4" s="231"/>
      <c r="V4" s="78"/>
    </row>
    <row r="5" spans="1:23" ht="13.5" customHeight="1" thickBot="1">
      <c r="A5" s="268">
        <f>COUNTIF(F38:HQ38,"P")</f>
        <v>12</v>
      </c>
      <c r="B5" s="267"/>
      <c r="C5" s="265">
        <f>COUNTIF(F38:HQ38,"F")</f>
        <v>3</v>
      </c>
      <c r="D5" s="255"/>
      <c r="E5" s="267"/>
      <c r="F5" s="265">
        <f>SUM(O5,- A5,- C5)</f>
        <v>0</v>
      </c>
      <c r="G5" s="255"/>
      <c r="H5" s="255"/>
      <c r="I5" s="255"/>
      <c r="J5" s="255"/>
      <c r="K5" s="266"/>
      <c r="L5" s="147">
        <f>COUNTIF(E37:HQ37,"N")</f>
        <v>12</v>
      </c>
      <c r="M5" s="147">
        <f>COUNTIF(E37:HQ37,"A")</f>
        <v>2</v>
      </c>
      <c r="N5" s="147">
        <f>COUNTIF(E37:HQ37,"B")</f>
        <v>1</v>
      </c>
      <c r="O5" s="254">
        <f>COUNTA(E7:HT7)</f>
        <v>15</v>
      </c>
      <c r="P5" s="255"/>
      <c r="Q5" s="255"/>
      <c r="R5" s="255"/>
      <c r="S5" s="255"/>
      <c r="T5" s="256"/>
      <c r="U5" s="79"/>
    </row>
    <row r="6" spans="1:23" ht="10.5" thickBot="1"/>
    <row r="7" spans="1:23" ht="42" thickTop="1" thickBot="1">
      <c r="A7" s="186"/>
      <c r="B7" s="187"/>
      <c r="C7" s="188"/>
      <c r="D7" s="189"/>
      <c r="E7" s="188"/>
      <c r="F7" s="190" t="s">
        <v>39</v>
      </c>
      <c r="G7" s="190" t="s">
        <v>40</v>
      </c>
      <c r="H7" s="190" t="s">
        <v>41</v>
      </c>
      <c r="I7" s="190" t="s">
        <v>42</v>
      </c>
      <c r="J7" s="190" t="s">
        <v>43</v>
      </c>
      <c r="K7" s="190" t="s">
        <v>44</v>
      </c>
      <c r="L7" s="190" t="s">
        <v>45</v>
      </c>
      <c r="M7" s="190" t="s">
        <v>46</v>
      </c>
      <c r="N7" s="190" t="s">
        <v>47</v>
      </c>
      <c r="O7" s="190" t="s">
        <v>48</v>
      </c>
      <c r="P7" s="190" t="s">
        <v>49</v>
      </c>
      <c r="Q7" s="190" t="s">
        <v>50</v>
      </c>
      <c r="R7" s="190" t="s">
        <v>51</v>
      </c>
      <c r="S7" s="190" t="s">
        <v>52</v>
      </c>
      <c r="T7" s="191" t="s">
        <v>53</v>
      </c>
      <c r="U7" s="81"/>
      <c r="V7" s="82"/>
      <c r="W7" s="83"/>
    </row>
    <row r="8" spans="1:23" ht="13.5" customHeight="1">
      <c r="A8" s="180" t="s">
        <v>101</v>
      </c>
      <c r="B8" s="84" t="s">
        <v>90</v>
      </c>
      <c r="C8" s="85"/>
      <c r="D8" s="86"/>
      <c r="E8" s="87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192"/>
    </row>
    <row r="9" spans="1:23" ht="13.5" customHeight="1">
      <c r="A9" s="166"/>
      <c r="B9" s="84"/>
      <c r="C9" s="85"/>
      <c r="D9" s="86" t="s">
        <v>54</v>
      </c>
      <c r="E9" s="89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192"/>
      <c r="V9" s="78"/>
    </row>
    <row r="10" spans="1:23" ht="13.5" customHeight="1">
      <c r="A10" s="166"/>
      <c r="B10" s="84"/>
      <c r="C10" s="85"/>
      <c r="D10" s="86"/>
      <c r="E10" s="89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192"/>
    </row>
    <row r="11" spans="1:23" ht="13.5" customHeight="1">
      <c r="A11" s="166"/>
      <c r="B11" s="84"/>
      <c r="C11" s="85"/>
      <c r="D11" s="86"/>
      <c r="E11" s="90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192"/>
      <c r="V11" s="78"/>
    </row>
    <row r="12" spans="1:23" ht="13.5" customHeight="1">
      <c r="A12" s="166"/>
      <c r="B12" s="84" t="s">
        <v>91</v>
      </c>
      <c r="C12" s="85"/>
      <c r="D12" s="86"/>
      <c r="E12" s="91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192"/>
    </row>
    <row r="13" spans="1:23" ht="13.5" customHeight="1">
      <c r="A13" s="166"/>
      <c r="B13" s="84"/>
      <c r="C13" s="85"/>
      <c r="D13" s="86" t="s">
        <v>55</v>
      </c>
      <c r="E13" s="91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192"/>
    </row>
    <row r="14" spans="1:23" ht="13.5" customHeight="1">
      <c r="A14" s="166"/>
      <c r="B14" s="84"/>
      <c r="C14" s="85"/>
      <c r="D14" s="86" t="s">
        <v>56</v>
      </c>
      <c r="E14" s="91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192"/>
    </row>
    <row r="15" spans="1:23" ht="13.5" customHeight="1">
      <c r="A15" s="166"/>
      <c r="B15" s="84"/>
      <c r="C15" s="85"/>
      <c r="D15" s="86" t="s">
        <v>57</v>
      </c>
      <c r="E15" s="91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192"/>
      <c r="U15" s="92"/>
    </row>
    <row r="16" spans="1:23" ht="13.5" customHeight="1">
      <c r="A16" s="166"/>
      <c r="B16" s="84" t="s">
        <v>92</v>
      </c>
      <c r="C16" s="85"/>
      <c r="D16" s="86"/>
      <c r="E16" s="91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192"/>
      <c r="U16" s="92"/>
    </row>
    <row r="17" spans="1:20" ht="13.5" customHeight="1">
      <c r="A17" s="166"/>
      <c r="B17" s="84"/>
      <c r="C17" s="85"/>
      <c r="D17" s="247" t="s">
        <v>58</v>
      </c>
      <c r="E17" s="247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192"/>
    </row>
    <row r="18" spans="1:20" ht="13.5" customHeight="1">
      <c r="A18" s="166"/>
      <c r="B18" s="84"/>
      <c r="C18" s="85"/>
      <c r="D18" s="86">
        <v>5</v>
      </c>
      <c r="E18" s="91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192"/>
    </row>
    <row r="19" spans="1:20" ht="13.5" customHeight="1">
      <c r="A19" s="166"/>
      <c r="B19" s="84"/>
      <c r="C19" s="85"/>
      <c r="D19" s="86">
        <v>10</v>
      </c>
      <c r="E19" s="91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192"/>
    </row>
    <row r="20" spans="1:20" ht="13.5" customHeight="1">
      <c r="A20" s="166"/>
      <c r="B20" s="84"/>
      <c r="C20" s="85"/>
      <c r="D20" s="86"/>
      <c r="E20" s="91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192"/>
    </row>
    <row r="21" spans="1:20" ht="13.5" customHeight="1">
      <c r="A21" s="166"/>
      <c r="B21" s="84"/>
      <c r="C21" s="85"/>
      <c r="D21" s="86"/>
      <c r="E21" s="91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192"/>
    </row>
    <row r="22" spans="1:20" ht="13.5" customHeight="1">
      <c r="A22" s="166"/>
      <c r="B22" s="84"/>
      <c r="C22" s="85"/>
      <c r="D22" s="86"/>
      <c r="E22" s="91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192"/>
    </row>
    <row r="23" spans="1:20" ht="13.5" customHeight="1">
      <c r="A23" s="166"/>
      <c r="B23" s="84"/>
      <c r="C23" s="85"/>
      <c r="D23" s="86"/>
      <c r="E23" s="91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192"/>
    </row>
    <row r="24" spans="1:20" ht="13.5" customHeight="1">
      <c r="A24" s="166"/>
      <c r="B24" s="84"/>
      <c r="C24" s="85"/>
      <c r="D24" s="86"/>
      <c r="E24" s="91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192"/>
    </row>
    <row r="25" spans="1:20" ht="13.5" customHeight="1">
      <c r="A25" s="166"/>
      <c r="B25" s="84"/>
      <c r="C25" s="85"/>
      <c r="D25" s="86"/>
      <c r="E25" s="91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192"/>
    </row>
    <row r="26" spans="1:20" ht="13.5" customHeight="1">
      <c r="A26" s="166"/>
      <c r="B26" s="84"/>
      <c r="C26" s="85"/>
      <c r="D26" s="86"/>
      <c r="E26" s="91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192"/>
    </row>
    <row r="27" spans="1:20" ht="13.5" customHeight="1">
      <c r="A27" s="166"/>
      <c r="B27" s="84"/>
      <c r="C27" s="85"/>
      <c r="D27" s="86"/>
      <c r="E27" s="91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192"/>
    </row>
    <row r="28" spans="1:20" ht="13.5" customHeight="1" thickBot="1">
      <c r="A28" s="166"/>
      <c r="B28" s="93"/>
      <c r="C28" s="94"/>
      <c r="D28" s="95"/>
      <c r="E28" s="96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193"/>
    </row>
    <row r="29" spans="1:20" ht="13.5" customHeight="1" thickTop="1">
      <c r="A29" s="179" t="s">
        <v>103</v>
      </c>
      <c r="B29" s="98" t="s">
        <v>93</v>
      </c>
      <c r="C29" s="99"/>
      <c r="D29" s="100"/>
      <c r="E29" s="101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94"/>
    </row>
    <row r="30" spans="1:20" ht="13.5" customHeight="1">
      <c r="A30" s="178"/>
      <c r="B30" s="103"/>
      <c r="C30" s="104"/>
      <c r="D30" s="105">
        <v>1</v>
      </c>
      <c r="E30" s="106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192"/>
    </row>
    <row r="31" spans="1:20" ht="13.5" customHeight="1">
      <c r="A31" s="178"/>
      <c r="B31" s="103"/>
      <c r="C31" s="107"/>
      <c r="D31" s="105">
        <v>2</v>
      </c>
      <c r="E31" s="10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192"/>
    </row>
    <row r="32" spans="1:20" ht="13.5" customHeight="1">
      <c r="A32" s="178"/>
      <c r="B32" s="103" t="s">
        <v>94</v>
      </c>
      <c r="C32" s="107"/>
      <c r="D32" s="105"/>
      <c r="E32" s="10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192"/>
    </row>
    <row r="33" spans="1:20" ht="13.5" customHeight="1">
      <c r="A33" s="178"/>
      <c r="B33" s="103"/>
      <c r="C33" s="107"/>
      <c r="D33" s="105"/>
      <c r="E33" s="10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192"/>
    </row>
    <row r="34" spans="1:20" ht="13.5" customHeight="1">
      <c r="A34" s="178"/>
      <c r="B34" s="103" t="s">
        <v>95</v>
      </c>
      <c r="C34" s="107"/>
      <c r="D34" s="105"/>
      <c r="E34" s="10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192"/>
    </row>
    <row r="35" spans="1:20" ht="13.5" customHeight="1">
      <c r="A35" s="178"/>
      <c r="B35" s="103"/>
      <c r="C35" s="107"/>
      <c r="D35" s="105" t="s">
        <v>59</v>
      </c>
      <c r="E35" s="10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192"/>
    </row>
    <row r="36" spans="1:20" ht="13.5" customHeight="1" thickBot="1">
      <c r="A36" s="178"/>
      <c r="B36" s="152"/>
      <c r="C36" s="153"/>
      <c r="D36" s="154" t="s">
        <v>60</v>
      </c>
      <c r="E36" s="155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95"/>
    </row>
    <row r="37" spans="1:20" ht="13.5" customHeight="1" thickTop="1">
      <c r="A37" s="179" t="s">
        <v>61</v>
      </c>
      <c r="B37" s="244" t="s">
        <v>62</v>
      </c>
      <c r="C37" s="244"/>
      <c r="D37" s="244"/>
      <c r="E37" s="157"/>
      <c r="F37" s="185" t="s">
        <v>63</v>
      </c>
      <c r="G37" s="185" t="s">
        <v>63</v>
      </c>
      <c r="H37" s="185" t="s">
        <v>63</v>
      </c>
      <c r="I37" s="185" t="s">
        <v>63</v>
      </c>
      <c r="J37" s="185" t="s">
        <v>63</v>
      </c>
      <c r="K37" s="185" t="s">
        <v>64</v>
      </c>
      <c r="L37" s="185" t="s">
        <v>65</v>
      </c>
      <c r="M37" s="185" t="s">
        <v>63</v>
      </c>
      <c r="N37" s="185" t="s">
        <v>63</v>
      </c>
      <c r="O37" s="185" t="s">
        <v>63</v>
      </c>
      <c r="P37" s="185" t="s">
        <v>63</v>
      </c>
      <c r="Q37" s="185" t="s">
        <v>63</v>
      </c>
      <c r="R37" s="185" t="s">
        <v>65</v>
      </c>
      <c r="S37" s="185" t="s">
        <v>63</v>
      </c>
      <c r="T37" s="196" t="s">
        <v>63</v>
      </c>
    </row>
    <row r="38" spans="1:20" ht="13.5" customHeight="1">
      <c r="A38" s="178"/>
      <c r="B38" s="264" t="s">
        <v>66</v>
      </c>
      <c r="C38" s="264"/>
      <c r="D38" s="264"/>
      <c r="E38" s="110"/>
      <c r="F38" s="109" t="s">
        <v>67</v>
      </c>
      <c r="G38" s="109" t="s">
        <v>67</v>
      </c>
      <c r="H38" s="109" t="s">
        <v>67</v>
      </c>
      <c r="I38" s="109" t="s">
        <v>67</v>
      </c>
      <c r="J38" s="109" t="s">
        <v>67</v>
      </c>
      <c r="K38" s="109" t="s">
        <v>68</v>
      </c>
      <c r="L38" s="109" t="s">
        <v>68</v>
      </c>
      <c r="M38" s="109" t="s">
        <v>67</v>
      </c>
      <c r="N38" s="109" t="s">
        <v>67</v>
      </c>
      <c r="O38" s="109" t="s">
        <v>67</v>
      </c>
      <c r="P38" s="109" t="s">
        <v>67</v>
      </c>
      <c r="Q38" s="109" t="s">
        <v>67</v>
      </c>
      <c r="R38" s="109" t="s">
        <v>68</v>
      </c>
      <c r="S38" s="109" t="s">
        <v>67</v>
      </c>
      <c r="T38" s="197" t="s">
        <v>67</v>
      </c>
    </row>
    <row r="39" spans="1:20" ht="13.5" customHeight="1">
      <c r="A39" s="178"/>
      <c r="B39" s="242" t="s">
        <v>69</v>
      </c>
      <c r="C39" s="242"/>
      <c r="D39" s="242"/>
      <c r="E39" s="111"/>
      <c r="F39" s="112">
        <v>39139</v>
      </c>
      <c r="G39" s="112">
        <v>39139</v>
      </c>
      <c r="H39" s="112">
        <v>39140</v>
      </c>
      <c r="I39" s="112">
        <v>39141</v>
      </c>
      <c r="J39" s="112">
        <v>39142</v>
      </c>
      <c r="K39" s="112">
        <v>39143</v>
      </c>
      <c r="L39" s="112">
        <v>39144</v>
      </c>
      <c r="M39" s="112">
        <v>39145</v>
      </c>
      <c r="N39" s="112">
        <v>39146</v>
      </c>
      <c r="O39" s="112">
        <v>39147</v>
      </c>
      <c r="P39" s="112">
        <v>39148</v>
      </c>
      <c r="Q39" s="112">
        <v>39149</v>
      </c>
      <c r="R39" s="112">
        <v>39150</v>
      </c>
      <c r="S39" s="112">
        <v>39151</v>
      </c>
      <c r="T39" s="173">
        <v>39152</v>
      </c>
    </row>
    <row r="40" spans="1:20" ht="71.5" thickBot="1">
      <c r="A40" s="198"/>
      <c r="B40" s="243" t="s">
        <v>70</v>
      </c>
      <c r="C40" s="243"/>
      <c r="D40" s="243"/>
      <c r="E40" s="175"/>
      <c r="F40" s="176"/>
      <c r="G40" s="176"/>
      <c r="H40" s="176"/>
      <c r="I40" s="176"/>
      <c r="J40" s="176"/>
      <c r="K40" s="176" t="s">
        <v>71</v>
      </c>
      <c r="L40" s="176" t="s">
        <v>72</v>
      </c>
      <c r="M40" s="176" t="s">
        <v>73</v>
      </c>
      <c r="N40" s="176" t="s">
        <v>74</v>
      </c>
      <c r="O40" s="176" t="s">
        <v>75</v>
      </c>
      <c r="P40" s="176" t="s">
        <v>76</v>
      </c>
      <c r="Q40" s="176" t="s">
        <v>77</v>
      </c>
      <c r="R40" s="176" t="s">
        <v>78</v>
      </c>
      <c r="S40" s="176" t="s">
        <v>79</v>
      </c>
      <c r="T40" s="177" t="s">
        <v>80</v>
      </c>
    </row>
    <row r="41" spans="1:20" ht="10.5" thickTop="1">
      <c r="A41" s="80"/>
      <c r="B41" s="76"/>
      <c r="C41" s="77"/>
      <c r="D41" s="76"/>
    </row>
  </sheetData>
  <mergeCells count="24">
    <mergeCell ref="A1:B1"/>
    <mergeCell ref="O5:T5"/>
    <mergeCell ref="F1:K1"/>
    <mergeCell ref="L1:T1"/>
    <mergeCell ref="O4:T4"/>
    <mergeCell ref="L2:N2"/>
    <mergeCell ref="F4:K4"/>
    <mergeCell ref="L4:N4"/>
    <mergeCell ref="F5:K5"/>
    <mergeCell ref="C5:E5"/>
    <mergeCell ref="F2:K2"/>
    <mergeCell ref="B38:D38"/>
    <mergeCell ref="A3:B3"/>
    <mergeCell ref="C3:T3"/>
    <mergeCell ref="C1:E1"/>
    <mergeCell ref="B39:D39"/>
    <mergeCell ref="A5:B5"/>
    <mergeCell ref="B40:D40"/>
    <mergeCell ref="B37:D37"/>
    <mergeCell ref="C2:E2"/>
    <mergeCell ref="A2:B2"/>
    <mergeCell ref="D17:E17"/>
    <mergeCell ref="C4:E4"/>
    <mergeCell ref="A4:B4"/>
  </mergeCells>
  <phoneticPr fontId="33" type="noConversion"/>
  <dataValidations count="3">
    <dataValidation type="list" allowBlank="1" showInputMessage="1" showErrorMessage="1" sqref="F37:T37">
      <formula1>"N,A,B, "</formula1>
    </dataValidation>
    <dataValidation type="list" allowBlank="1" showInputMessage="1" showErrorMessage="1" sqref="F38:T38">
      <formula1>"P,F, "</formula1>
    </dataValidation>
    <dataValidation type="list" allowBlank="1" showInputMessage="1" showErrorMessage="1" sqref="F8:T36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7"/>
  <sheetViews>
    <sheetView workbookViewId="0">
      <selection sqref="A1:IV1"/>
    </sheetView>
  </sheetViews>
  <sheetFormatPr defaultColWidth="9" defaultRowHeight="13.5" customHeight="1"/>
  <cols>
    <col min="1" max="1" width="8.08984375" style="76" customWidth="1"/>
    <col min="2" max="2" width="13.36328125" style="80" customWidth="1"/>
    <col min="3" max="3" width="10.81640625" style="76" customWidth="1"/>
    <col min="4" max="4" width="11.36328125" style="77" customWidth="1"/>
    <col min="5" max="5" width="1.81640625" style="76" hidden="1" customWidth="1"/>
    <col min="6" max="11" width="2.81640625" style="76" bestFit="1" customWidth="1"/>
    <col min="12" max="19" width="2.81640625" style="76" customWidth="1"/>
    <col min="20" max="20" width="2.81640625" style="76" bestFit="1" customWidth="1"/>
    <col min="21" max="21" width="2.81640625" style="76" customWidth="1"/>
    <col min="22" max="16384" width="9" style="76"/>
  </cols>
  <sheetData>
    <row r="1" spans="1:23" ht="13.5" customHeight="1">
      <c r="A1" s="257" t="s">
        <v>161</v>
      </c>
      <c r="B1" s="258"/>
      <c r="C1" s="259" t="s">
        <v>170</v>
      </c>
      <c r="D1" s="260"/>
      <c r="E1" s="261"/>
      <c r="F1" s="262" t="s">
        <v>162</v>
      </c>
      <c r="G1" s="263"/>
      <c r="H1" s="263"/>
      <c r="I1" s="263"/>
      <c r="J1" s="263"/>
      <c r="K1" s="263"/>
      <c r="L1" s="232" t="s">
        <v>163</v>
      </c>
      <c r="M1" s="233"/>
      <c r="N1" s="233"/>
      <c r="O1" s="233"/>
      <c r="P1" s="233"/>
      <c r="Q1" s="233"/>
      <c r="R1" s="233"/>
      <c r="S1" s="233"/>
      <c r="T1" s="234"/>
      <c r="V1" s="78"/>
    </row>
    <row r="2" spans="1:23" ht="13.5" customHeight="1">
      <c r="A2" s="250" t="s">
        <v>97</v>
      </c>
      <c r="B2" s="251"/>
      <c r="C2" s="245" t="s">
        <v>38</v>
      </c>
      <c r="D2" s="235"/>
      <c r="E2" s="246"/>
      <c r="F2" s="238" t="s">
        <v>98</v>
      </c>
      <c r="G2" s="239"/>
      <c r="H2" s="239"/>
      <c r="I2" s="239"/>
      <c r="J2" s="239"/>
      <c r="K2" s="240"/>
      <c r="L2" s="235"/>
      <c r="M2" s="235"/>
      <c r="N2" s="235"/>
      <c r="O2" s="145"/>
      <c r="P2" s="145"/>
      <c r="Q2" s="145"/>
      <c r="R2" s="145"/>
      <c r="S2" s="145"/>
      <c r="T2" s="146"/>
    </row>
    <row r="3" spans="1:23" ht="13.5" customHeight="1">
      <c r="A3" s="250" t="s">
        <v>99</v>
      </c>
      <c r="B3" s="251"/>
      <c r="C3" s="252" t="s">
        <v>96</v>
      </c>
      <c r="D3" s="252"/>
      <c r="E3" s="252"/>
      <c r="F3" s="253"/>
      <c r="G3" s="253"/>
      <c r="H3" s="253"/>
      <c r="I3" s="253"/>
      <c r="J3" s="253"/>
      <c r="K3" s="253"/>
      <c r="L3" s="252"/>
      <c r="M3" s="252"/>
      <c r="N3" s="252"/>
      <c r="O3" s="252"/>
      <c r="P3" s="252"/>
      <c r="Q3" s="252"/>
      <c r="R3" s="252"/>
      <c r="S3" s="252"/>
      <c r="T3" s="252"/>
    </row>
    <row r="4" spans="1:23" ht="13.5" customHeight="1">
      <c r="A4" s="248" t="s">
        <v>27</v>
      </c>
      <c r="B4" s="249"/>
      <c r="C4" s="236" t="s">
        <v>28</v>
      </c>
      <c r="D4" s="230"/>
      <c r="E4" s="237"/>
      <c r="F4" s="236" t="s">
        <v>29</v>
      </c>
      <c r="G4" s="230"/>
      <c r="H4" s="230"/>
      <c r="I4" s="230"/>
      <c r="J4" s="230"/>
      <c r="K4" s="241"/>
      <c r="L4" s="230" t="s">
        <v>100</v>
      </c>
      <c r="M4" s="230"/>
      <c r="N4" s="230"/>
      <c r="O4" s="229" t="s">
        <v>30</v>
      </c>
      <c r="P4" s="230"/>
      <c r="Q4" s="230"/>
      <c r="R4" s="230"/>
      <c r="S4" s="230"/>
      <c r="T4" s="231"/>
      <c r="V4" s="78"/>
    </row>
    <row r="5" spans="1:23" ht="13.5" customHeight="1" thickBot="1">
      <c r="A5" s="268">
        <f>COUNTIF(F45:HQ45,"P")</f>
        <v>0</v>
      </c>
      <c r="B5" s="267"/>
      <c r="C5" s="265">
        <f>COUNTIF(F45:HQ45,"F")</f>
        <v>0</v>
      </c>
      <c r="D5" s="255"/>
      <c r="E5" s="267"/>
      <c r="F5" s="265">
        <f>SUM(O5,- A5,- C5)</f>
        <v>15</v>
      </c>
      <c r="G5" s="255"/>
      <c r="H5" s="255"/>
      <c r="I5" s="255"/>
      <c r="J5" s="255"/>
      <c r="K5" s="266"/>
      <c r="L5" s="147">
        <f>COUNTIF(E44:HQ44,"N")</f>
        <v>0</v>
      </c>
      <c r="M5" s="147">
        <f>COUNTIF(E44:HQ44,"A")</f>
        <v>0</v>
      </c>
      <c r="N5" s="147">
        <f>COUNTIF(E44:HQ44,"B")</f>
        <v>0</v>
      </c>
      <c r="O5" s="254">
        <f>COUNTA(E7:HT7)</f>
        <v>15</v>
      </c>
      <c r="P5" s="255"/>
      <c r="Q5" s="255"/>
      <c r="R5" s="255"/>
      <c r="S5" s="255"/>
      <c r="T5" s="256"/>
      <c r="U5" s="79"/>
    </row>
    <row r="6" spans="1:23" ht="10.5" thickBot="1"/>
    <row r="7" spans="1:23" ht="45" customHeight="1" thickTop="1" thickBot="1">
      <c r="A7" s="186"/>
      <c r="B7" s="160"/>
      <c r="C7" s="161"/>
      <c r="D7" s="162"/>
      <c r="E7" s="161"/>
      <c r="F7" s="163" t="s">
        <v>39</v>
      </c>
      <c r="G7" s="163" t="s">
        <v>40</v>
      </c>
      <c r="H7" s="163" t="s">
        <v>40</v>
      </c>
      <c r="I7" s="163" t="s">
        <v>40</v>
      </c>
      <c r="J7" s="163" t="s">
        <v>40</v>
      </c>
      <c r="K7" s="163" t="s">
        <v>40</v>
      </c>
      <c r="L7" s="163" t="s">
        <v>45</v>
      </c>
      <c r="M7" s="163" t="s">
        <v>46</v>
      </c>
      <c r="N7" s="163" t="s">
        <v>47</v>
      </c>
      <c r="O7" s="163" t="s">
        <v>48</v>
      </c>
      <c r="P7" s="163" t="s">
        <v>49</v>
      </c>
      <c r="Q7" s="163" t="s">
        <v>50</v>
      </c>
      <c r="R7" s="163" t="s">
        <v>51</v>
      </c>
      <c r="S7" s="163" t="s">
        <v>52</v>
      </c>
      <c r="T7" s="164" t="s">
        <v>53</v>
      </c>
      <c r="U7" s="81"/>
      <c r="V7" s="82"/>
      <c r="W7" s="83"/>
    </row>
    <row r="8" spans="1:23" ht="13.5" customHeight="1">
      <c r="A8" s="180" t="s">
        <v>101</v>
      </c>
      <c r="B8" s="84" t="s">
        <v>81</v>
      </c>
      <c r="C8" s="85"/>
      <c r="D8" s="86"/>
      <c r="E8" s="87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192"/>
    </row>
    <row r="9" spans="1:23" ht="13.5" customHeight="1">
      <c r="A9" s="166"/>
      <c r="B9" s="84"/>
      <c r="C9" s="85"/>
      <c r="D9" s="86"/>
      <c r="E9" s="89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192"/>
      <c r="V9" s="78"/>
    </row>
    <row r="10" spans="1:23" ht="13.5" customHeight="1">
      <c r="A10" s="166"/>
      <c r="B10" s="84"/>
      <c r="C10" s="85"/>
      <c r="D10" s="86"/>
      <c r="E10" s="89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192"/>
    </row>
    <row r="11" spans="1:23" ht="13.5" customHeight="1">
      <c r="A11" s="166"/>
      <c r="B11" s="84"/>
      <c r="C11" s="85"/>
      <c r="D11" s="86"/>
      <c r="E11" s="90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192"/>
    </row>
    <row r="12" spans="1:23" ht="13.5" customHeight="1">
      <c r="A12" s="166"/>
      <c r="B12" s="84" t="s">
        <v>123</v>
      </c>
      <c r="C12" s="85"/>
      <c r="D12" s="86"/>
      <c r="E12" s="91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192"/>
    </row>
    <row r="13" spans="1:23" ht="13.5" customHeight="1">
      <c r="A13" s="166"/>
      <c r="B13" s="84"/>
      <c r="C13" s="85"/>
      <c r="D13" s="86">
        <v>-2</v>
      </c>
      <c r="E13" s="91"/>
      <c r="F13" s="88" t="s">
        <v>129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192"/>
    </row>
    <row r="14" spans="1:23" ht="13.5" customHeight="1">
      <c r="A14" s="166"/>
      <c r="B14" s="84"/>
      <c r="C14" s="85"/>
      <c r="D14" s="86">
        <v>-1</v>
      </c>
      <c r="E14" s="91"/>
      <c r="F14" s="88"/>
      <c r="G14" s="88"/>
      <c r="H14" s="88"/>
      <c r="I14" s="88"/>
      <c r="J14" s="88"/>
      <c r="K14" s="88"/>
      <c r="L14" s="88" t="s">
        <v>129</v>
      </c>
      <c r="M14" s="88"/>
      <c r="N14" s="88"/>
      <c r="O14" s="88"/>
      <c r="P14" s="88"/>
      <c r="Q14" s="88"/>
      <c r="R14" s="88"/>
      <c r="S14" s="88"/>
      <c r="T14" s="192"/>
    </row>
    <row r="15" spans="1:23" ht="13.5" customHeight="1">
      <c r="A15" s="166"/>
      <c r="B15" s="84"/>
      <c r="C15" s="85"/>
      <c r="D15" s="86">
        <v>0</v>
      </c>
      <c r="E15" s="91"/>
      <c r="F15" s="88"/>
      <c r="G15" s="88" t="s">
        <v>129</v>
      </c>
      <c r="H15" s="88" t="s">
        <v>129</v>
      </c>
      <c r="I15" s="88" t="s">
        <v>129</v>
      </c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192"/>
      <c r="U15" s="92"/>
    </row>
    <row r="16" spans="1:23" ht="13.5" customHeight="1">
      <c r="A16" s="166"/>
      <c r="B16" s="84"/>
      <c r="C16" s="85"/>
      <c r="D16" s="86">
        <v>1</v>
      </c>
      <c r="E16" s="91"/>
      <c r="F16" s="88"/>
      <c r="G16" s="88"/>
      <c r="H16" s="88"/>
      <c r="I16" s="88"/>
      <c r="J16" s="88" t="s">
        <v>129</v>
      </c>
      <c r="K16" s="88" t="s">
        <v>129</v>
      </c>
      <c r="L16" s="88"/>
      <c r="M16" s="88"/>
      <c r="N16" s="88"/>
      <c r="O16" s="88"/>
      <c r="P16" s="88"/>
      <c r="Q16" s="88"/>
      <c r="R16" s="88"/>
      <c r="S16" s="88"/>
      <c r="T16" s="192"/>
      <c r="U16" s="92"/>
    </row>
    <row r="17" spans="1:21" ht="13.5" customHeight="1">
      <c r="A17" s="166"/>
      <c r="B17" s="84" t="s">
        <v>124</v>
      </c>
      <c r="C17" s="85"/>
      <c r="D17" s="86"/>
      <c r="E17" s="91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192"/>
      <c r="U17" s="92"/>
    </row>
    <row r="18" spans="1:21" ht="13.5" customHeight="1">
      <c r="A18" s="166"/>
      <c r="B18" s="84"/>
      <c r="C18" s="85"/>
      <c r="D18" s="247">
        <v>0</v>
      </c>
      <c r="E18" s="247"/>
      <c r="F18" s="88"/>
      <c r="G18" s="88" t="s">
        <v>129</v>
      </c>
      <c r="H18" s="88" t="s">
        <v>129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192"/>
    </row>
    <row r="19" spans="1:21" ht="13.5" customHeight="1">
      <c r="A19" s="166"/>
      <c r="B19" s="84"/>
      <c r="C19" s="85"/>
      <c r="D19" s="86">
        <v>-2</v>
      </c>
      <c r="E19" s="91"/>
      <c r="F19" s="88"/>
      <c r="G19" s="88"/>
      <c r="H19" s="88"/>
      <c r="I19" s="88"/>
      <c r="J19" s="88" t="s">
        <v>129</v>
      </c>
      <c r="K19" s="88" t="s">
        <v>129</v>
      </c>
      <c r="L19" s="88" t="s">
        <v>129</v>
      </c>
      <c r="M19" s="88"/>
      <c r="N19" s="88"/>
      <c r="O19" s="88"/>
      <c r="P19" s="88"/>
      <c r="Q19" s="88"/>
      <c r="R19" s="88"/>
      <c r="S19" s="88"/>
      <c r="T19" s="192"/>
    </row>
    <row r="20" spans="1:21" ht="13.5" customHeight="1">
      <c r="A20" s="166"/>
      <c r="B20" s="84"/>
      <c r="C20" s="85"/>
      <c r="D20" s="86">
        <v>2</v>
      </c>
      <c r="E20" s="91"/>
      <c r="F20" s="88"/>
      <c r="G20" s="88"/>
      <c r="H20" s="88"/>
      <c r="I20" s="88" t="s">
        <v>129</v>
      </c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192"/>
    </row>
    <row r="21" spans="1:21" ht="13.5" customHeight="1">
      <c r="A21" s="166"/>
      <c r="B21" s="84" t="s">
        <v>125</v>
      </c>
      <c r="C21" s="85"/>
      <c r="D21" s="86"/>
      <c r="E21" s="91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192"/>
    </row>
    <row r="22" spans="1:21" ht="13.5" customHeight="1">
      <c r="A22" s="166"/>
      <c r="B22" s="84"/>
      <c r="C22" s="85"/>
      <c r="D22" s="86">
        <v>0</v>
      </c>
      <c r="E22" s="91"/>
      <c r="F22" s="88"/>
      <c r="G22" s="88" t="s">
        <v>129</v>
      </c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192"/>
    </row>
    <row r="23" spans="1:21" ht="13.5" customHeight="1">
      <c r="A23" s="166"/>
      <c r="B23" s="84"/>
      <c r="C23" s="85"/>
      <c r="D23" s="86">
        <v>1</v>
      </c>
      <c r="E23" s="91"/>
      <c r="F23" s="88"/>
      <c r="G23" s="88"/>
      <c r="H23" s="88" t="s">
        <v>129</v>
      </c>
      <c r="I23" s="88" t="s">
        <v>129</v>
      </c>
      <c r="J23" s="88" t="s">
        <v>129</v>
      </c>
      <c r="K23" s="88"/>
      <c r="L23" s="88"/>
      <c r="M23" s="88"/>
      <c r="N23" s="88"/>
      <c r="O23" s="88"/>
      <c r="P23" s="88"/>
      <c r="Q23" s="88"/>
      <c r="R23" s="88"/>
      <c r="S23" s="88"/>
      <c r="T23" s="192"/>
    </row>
    <row r="24" spans="1:21" ht="13.5" customHeight="1">
      <c r="A24" s="166"/>
      <c r="B24" s="84"/>
      <c r="C24" s="85"/>
      <c r="D24" s="86">
        <v>3</v>
      </c>
      <c r="E24" s="91"/>
      <c r="F24" s="88"/>
      <c r="G24" s="88"/>
      <c r="H24" s="88"/>
      <c r="I24" s="88"/>
      <c r="J24" s="88"/>
      <c r="K24" s="88"/>
      <c r="L24" s="88" t="s">
        <v>129</v>
      </c>
      <c r="M24" s="88"/>
      <c r="N24" s="88"/>
      <c r="O24" s="88"/>
      <c r="P24" s="88"/>
      <c r="Q24" s="88"/>
      <c r="R24" s="88"/>
      <c r="S24" s="88"/>
      <c r="T24" s="192"/>
    </row>
    <row r="25" spans="1:21" ht="13.5" customHeight="1">
      <c r="A25" s="166"/>
      <c r="B25" s="84"/>
      <c r="C25" s="85"/>
      <c r="D25" s="86">
        <v>5</v>
      </c>
      <c r="E25" s="91"/>
      <c r="F25" s="88"/>
      <c r="G25" s="88"/>
      <c r="H25" s="88"/>
      <c r="I25" s="88"/>
      <c r="J25" s="88"/>
      <c r="K25" s="88" t="s">
        <v>129</v>
      </c>
      <c r="L25" s="88"/>
      <c r="M25" s="88"/>
      <c r="N25" s="88"/>
      <c r="O25" s="88"/>
      <c r="P25" s="88"/>
      <c r="Q25" s="88"/>
      <c r="R25" s="88"/>
      <c r="S25" s="88"/>
      <c r="T25" s="192"/>
    </row>
    <row r="26" spans="1:21" ht="13.5" customHeight="1">
      <c r="A26" s="166"/>
      <c r="B26" s="84"/>
      <c r="C26" s="85"/>
      <c r="D26" s="86"/>
      <c r="E26" s="91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192"/>
    </row>
    <row r="27" spans="1:21" ht="13.5" customHeight="1">
      <c r="A27" s="166"/>
      <c r="B27" s="84"/>
      <c r="C27" s="85"/>
      <c r="D27" s="86"/>
      <c r="E27" s="91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192"/>
    </row>
    <row r="28" spans="1:21" ht="13.5" customHeight="1">
      <c r="A28" s="166"/>
      <c r="B28" s="84"/>
      <c r="C28" s="85"/>
      <c r="D28" s="86"/>
      <c r="E28" s="91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192"/>
    </row>
    <row r="29" spans="1:21" ht="13.5" customHeight="1">
      <c r="A29" s="166"/>
      <c r="B29" s="84"/>
      <c r="C29" s="85"/>
      <c r="D29" s="86"/>
      <c r="E29" s="91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192"/>
    </row>
    <row r="30" spans="1:21" ht="13.5" customHeight="1" thickBot="1">
      <c r="A30" s="166"/>
      <c r="B30" s="93"/>
      <c r="C30" s="94"/>
      <c r="D30" s="95"/>
      <c r="E30" s="96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193"/>
    </row>
    <row r="31" spans="1:21" ht="13.5" customHeight="1" thickTop="1">
      <c r="A31" s="179" t="s">
        <v>103</v>
      </c>
      <c r="B31" s="98" t="s">
        <v>82</v>
      </c>
      <c r="C31" s="99"/>
      <c r="D31" s="100"/>
      <c r="E31" s="101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94"/>
    </row>
    <row r="32" spans="1:21" ht="13.5" customHeight="1">
      <c r="A32" s="178"/>
      <c r="B32" s="113" t="s">
        <v>126</v>
      </c>
      <c r="C32" s="104"/>
      <c r="D32" s="105"/>
      <c r="E32" s="106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192"/>
    </row>
    <row r="33" spans="1:20" ht="13.5" customHeight="1">
      <c r="A33" s="178"/>
      <c r="B33" s="113"/>
      <c r="C33" s="104"/>
      <c r="D33" s="105" t="s">
        <v>127</v>
      </c>
      <c r="E33" s="106"/>
      <c r="F33" s="88" t="s">
        <v>129</v>
      </c>
      <c r="G33" s="88"/>
      <c r="H33" s="88" t="s">
        <v>129</v>
      </c>
      <c r="I33" s="88"/>
      <c r="J33" s="88"/>
      <c r="K33" s="88" t="s">
        <v>129</v>
      </c>
      <c r="L33" s="88"/>
      <c r="M33" s="88"/>
      <c r="N33" s="88"/>
      <c r="O33" s="88"/>
      <c r="P33" s="88"/>
      <c r="Q33" s="88"/>
      <c r="R33" s="88"/>
      <c r="S33" s="88"/>
      <c r="T33" s="192"/>
    </row>
    <row r="34" spans="1:20" ht="13.5" customHeight="1">
      <c r="A34" s="178"/>
      <c r="B34" s="113"/>
      <c r="C34" s="104"/>
      <c r="D34" s="105" t="s">
        <v>128</v>
      </c>
      <c r="E34" s="106"/>
      <c r="F34" s="88"/>
      <c r="G34" s="88" t="s">
        <v>129</v>
      </c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192"/>
    </row>
    <row r="35" spans="1:20" ht="13.5" customHeight="1">
      <c r="A35" s="178"/>
      <c r="B35" s="113"/>
      <c r="C35" s="104"/>
      <c r="D35" s="105" t="s">
        <v>131</v>
      </c>
      <c r="E35" s="106"/>
      <c r="F35" s="88"/>
      <c r="G35" s="88"/>
      <c r="H35" s="88"/>
      <c r="I35" s="88" t="s">
        <v>129</v>
      </c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192"/>
    </row>
    <row r="36" spans="1:20" ht="13.5" customHeight="1">
      <c r="A36" s="178"/>
      <c r="B36" s="113"/>
      <c r="C36" s="104"/>
      <c r="D36" s="105" t="s">
        <v>132</v>
      </c>
      <c r="E36" s="106"/>
      <c r="F36" s="88"/>
      <c r="G36" s="88"/>
      <c r="H36" s="88"/>
      <c r="I36" s="88"/>
      <c r="J36" s="88" t="s">
        <v>129</v>
      </c>
      <c r="K36" s="88"/>
      <c r="L36" s="88"/>
      <c r="M36" s="88"/>
      <c r="N36" s="88"/>
      <c r="O36" s="88"/>
      <c r="P36" s="88"/>
      <c r="Q36" s="88"/>
      <c r="R36" s="88"/>
      <c r="S36" s="88"/>
      <c r="T36" s="192"/>
    </row>
    <row r="37" spans="1:20" ht="13.5" customHeight="1">
      <c r="A37" s="178"/>
      <c r="B37" s="103"/>
      <c r="C37" s="107"/>
      <c r="D37" s="105" t="s">
        <v>133</v>
      </c>
      <c r="E37" s="108"/>
      <c r="F37" s="88"/>
      <c r="G37" s="88"/>
      <c r="H37" s="88"/>
      <c r="I37" s="88"/>
      <c r="J37" s="88"/>
      <c r="K37" s="88"/>
      <c r="L37" s="88" t="s">
        <v>129</v>
      </c>
      <c r="M37" s="88"/>
      <c r="N37" s="88"/>
      <c r="O37" s="88"/>
      <c r="P37" s="88"/>
      <c r="Q37" s="88"/>
      <c r="R37" s="88"/>
      <c r="S37" s="88"/>
      <c r="T37" s="192"/>
    </row>
    <row r="38" spans="1:20" ht="13.5" customHeight="1">
      <c r="A38" s="178"/>
      <c r="B38" s="103" t="s">
        <v>83</v>
      </c>
      <c r="C38" s="107"/>
      <c r="D38" s="105"/>
      <c r="E38" s="10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192"/>
    </row>
    <row r="39" spans="1:20" ht="13.5" customHeight="1">
      <c r="A39" s="178"/>
      <c r="B39" s="103"/>
      <c r="C39" s="107"/>
      <c r="D39" s="105"/>
      <c r="E39" s="10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192"/>
    </row>
    <row r="40" spans="1:20" ht="13.5" customHeight="1">
      <c r="A40" s="178"/>
      <c r="B40" s="103" t="s">
        <v>84</v>
      </c>
      <c r="C40" s="107"/>
      <c r="D40" s="105"/>
      <c r="E40" s="10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192"/>
    </row>
    <row r="41" spans="1:20" ht="13.5" customHeight="1">
      <c r="A41" s="178"/>
      <c r="B41" s="103"/>
      <c r="C41" s="107"/>
      <c r="D41" s="105" t="s">
        <v>130</v>
      </c>
      <c r="E41" s="108"/>
      <c r="F41" s="88" t="s">
        <v>129</v>
      </c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192"/>
    </row>
    <row r="42" spans="1:20" ht="13.5" customHeight="1" thickBot="1">
      <c r="A42" s="178"/>
      <c r="B42" s="152"/>
      <c r="C42" s="153"/>
      <c r="D42" s="154"/>
      <c r="E42" s="155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95"/>
    </row>
    <row r="43" spans="1:20" ht="13.5" customHeight="1" thickTop="1">
      <c r="A43" s="179" t="s">
        <v>61</v>
      </c>
      <c r="B43" s="244" t="s">
        <v>62</v>
      </c>
      <c r="C43" s="244"/>
      <c r="D43" s="244"/>
      <c r="E43" s="157"/>
      <c r="F43" s="185" t="s">
        <v>65</v>
      </c>
      <c r="G43" s="185" t="s">
        <v>63</v>
      </c>
      <c r="H43" s="185" t="s">
        <v>63</v>
      </c>
      <c r="I43" s="185" t="s">
        <v>63</v>
      </c>
      <c r="J43" s="185" t="s">
        <v>63</v>
      </c>
      <c r="K43" s="185" t="s">
        <v>63</v>
      </c>
      <c r="L43" s="185" t="s">
        <v>64</v>
      </c>
      <c r="M43" s="185"/>
      <c r="N43" s="185"/>
      <c r="O43" s="185"/>
      <c r="P43" s="185"/>
      <c r="Q43" s="185"/>
      <c r="R43" s="185"/>
      <c r="S43" s="185"/>
      <c r="T43" s="196"/>
    </row>
    <row r="44" spans="1:20" ht="13.5" customHeight="1">
      <c r="A44" s="171"/>
      <c r="B44" s="264" t="s">
        <v>66</v>
      </c>
      <c r="C44" s="264"/>
      <c r="D44" s="264"/>
      <c r="E44" s="110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97"/>
    </row>
    <row r="45" spans="1:20" ht="13.5" customHeight="1">
      <c r="A45" s="171"/>
      <c r="B45" s="242" t="s">
        <v>69</v>
      </c>
      <c r="C45" s="242"/>
      <c r="D45" s="242"/>
      <c r="E45" s="111"/>
      <c r="F45" s="112">
        <v>39139</v>
      </c>
      <c r="G45" s="112">
        <v>39139</v>
      </c>
      <c r="H45" s="112">
        <v>39139</v>
      </c>
      <c r="I45" s="112">
        <v>39139</v>
      </c>
      <c r="J45" s="112">
        <v>39139</v>
      </c>
      <c r="K45" s="112">
        <v>39139</v>
      </c>
      <c r="L45" s="112">
        <v>39144</v>
      </c>
      <c r="M45" s="112"/>
      <c r="N45" s="112"/>
      <c r="O45" s="112"/>
      <c r="P45" s="112"/>
      <c r="Q45" s="112"/>
      <c r="R45" s="112"/>
      <c r="S45" s="112"/>
      <c r="T45" s="173"/>
    </row>
    <row r="46" spans="1:20" ht="10.5" thickBot="1">
      <c r="A46" s="174"/>
      <c r="B46" s="243" t="s">
        <v>70</v>
      </c>
      <c r="C46" s="243"/>
      <c r="D46" s="243"/>
      <c r="E46" s="175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7"/>
    </row>
    <row r="47" spans="1:20" ht="10.5" thickTop="1">
      <c r="A47" s="80"/>
      <c r="B47" s="76"/>
      <c r="C47" s="77"/>
      <c r="D47" s="76"/>
    </row>
  </sheetData>
  <mergeCells count="24">
    <mergeCell ref="A1:B1"/>
    <mergeCell ref="C1:E1"/>
    <mergeCell ref="F1:K1"/>
    <mergeCell ref="L1:T1"/>
    <mergeCell ref="A2:B2"/>
    <mergeCell ref="C2:E2"/>
    <mergeCell ref="F2:K2"/>
    <mergeCell ref="L2:N2"/>
    <mergeCell ref="A3:B3"/>
    <mergeCell ref="C3:T3"/>
    <mergeCell ref="F4:K4"/>
    <mergeCell ref="L4:N4"/>
    <mergeCell ref="O4:T4"/>
    <mergeCell ref="A5:B5"/>
    <mergeCell ref="C5:E5"/>
    <mergeCell ref="F5:K5"/>
    <mergeCell ref="O5:T5"/>
    <mergeCell ref="B46:D46"/>
    <mergeCell ref="D18:E18"/>
    <mergeCell ref="B43:D43"/>
    <mergeCell ref="B44:D44"/>
    <mergeCell ref="B45:D45"/>
    <mergeCell ref="A4:B4"/>
    <mergeCell ref="C4:E4"/>
  </mergeCells>
  <phoneticPr fontId="43"/>
  <dataValidations count="3">
    <dataValidation type="list" allowBlank="1" showInputMessage="1" showErrorMessage="1" sqref="F44:T44">
      <formula1>"P,F, "</formula1>
    </dataValidation>
    <dataValidation type="list" allowBlank="1" showInputMessage="1" showErrorMessage="1" sqref="F43:T43">
      <formula1>"N,A,B, "</formula1>
    </dataValidation>
    <dataValidation type="list" allowBlank="1" showInputMessage="1" showErrorMessage="1" sqref="F8:T42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Guideline</vt:lpstr>
      <vt:lpstr>Cover</vt:lpstr>
      <vt:lpstr>MethodList</vt:lpstr>
      <vt:lpstr>Statistics</vt:lpstr>
      <vt:lpstr>methodName1</vt:lpstr>
      <vt:lpstr>methodName2</vt:lpstr>
      <vt:lpstr>Example</vt:lpstr>
      <vt:lpstr>Guideline!Print_Area</vt:lpstr>
      <vt:lpstr>MethodList!Print_Area</vt:lpstr>
      <vt:lpstr>methodName1!Print_Area</vt:lpstr>
      <vt:lpstr>methodName2!Print_Area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Võ Thành Đạt</cp:lastModifiedBy>
  <cp:lastPrinted>2008-03-12T04:05:49Z</cp:lastPrinted>
  <dcterms:created xsi:type="dcterms:W3CDTF">2007-10-09T09:39:48Z</dcterms:created>
  <dcterms:modified xsi:type="dcterms:W3CDTF">2026-08-11T08:21:23Z</dcterms:modified>
</cp:coreProperties>
</file>