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Clawbot\docs\test\"/>
    </mc:Choice>
  </mc:AlternateContent>
  <xr:revisionPtr revIDLastSave="0" documentId="13_ncr:1_{077E6255-FC2A-4883-8CE2-1F28A95ABFDA}" xr6:coauthVersionLast="47" xr6:coauthVersionMax="47" xr10:uidLastSave="{00000000-0000-0000-0000-000000000000}"/>
  <bookViews>
    <workbookView xWindow="2240" yWindow="2240" windowWidth="14400" windowHeight="7350" tabRatio="821" firstSheet="3" activeTab="7" xr2:uid="{00000000-000D-0000-FFFF-FFFF00000000}"/>
  </bookViews>
  <sheets>
    <sheet name="Cover" sheetId="9" r:id="rId1"/>
    <sheet name="Test Cases" sheetId="2" r:id="rId2"/>
    <sheet name="Test Statistics" sheetId="5" r:id="rId3"/>
    <sheet name="WF01 Onboarding" sheetId="10" r:id="rId4"/>
    <sheet name="WF02 Auto-reply" sheetId="11" r:id="rId5"/>
    <sheet name="WF03 Incident Recovery" sheetId="12" r:id="rId6"/>
    <sheet name="WF04 Lead Pipeline" sheetId="13" r:id="rId7"/>
    <sheet name="WF05 Content Pipeline" sheetId="14" r:id="rId8"/>
  </sheets>
  <definedNames>
    <definedName name="_xlnm._FilterDatabase" localSheetId="3" hidden="1">'WF01 Onboarding'!$A$10:$O$18</definedName>
    <definedName name="_xlnm._FilterDatabase" localSheetId="4" hidden="1">'WF02 Auto-reply'!$A$10:$O$18</definedName>
    <definedName name="_xlnm._FilterDatabase" localSheetId="5" hidden="1">'WF03 Incident Recovery'!$A$10:$O$18</definedName>
    <definedName name="_xlnm._FilterDatabase" localSheetId="6" hidden="1">'WF04 Lead Pipeline'!$A$10:$O$18</definedName>
    <definedName name="_xlnm._FilterDatabase" localSheetId="7" hidden="1">'WF05 Content Pipeline'!$A$10:$O$18</definedName>
    <definedName name="ACTION" localSheetId="0">#REF!</definedName>
    <definedName name="ACTION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5" l="1"/>
  <c r="G15" i="5"/>
  <c r="F15" i="5"/>
  <c r="C15" i="5"/>
  <c r="F14" i="5"/>
  <c r="E14" i="5"/>
  <c r="C14" i="5"/>
  <c r="H13" i="5"/>
  <c r="C13" i="5"/>
  <c r="G12" i="5"/>
  <c r="F12" i="5"/>
  <c r="C12" i="5"/>
  <c r="H11" i="5"/>
  <c r="F11" i="5"/>
  <c r="E11" i="5"/>
  <c r="E17" i="5" s="1"/>
  <c r="C11" i="5"/>
  <c r="D4" i="2"/>
  <c r="D3" i="2"/>
  <c r="E8" i="14"/>
  <c r="D8" i="14"/>
  <c r="C8" i="14"/>
  <c r="B8" i="14"/>
  <c r="E7" i="14"/>
  <c r="D7" i="14"/>
  <c r="C7" i="14"/>
  <c r="B7" i="14"/>
  <c r="B4" i="14"/>
  <c r="E8" i="13"/>
  <c r="D8" i="13"/>
  <c r="C8" i="13"/>
  <c r="B8" i="13"/>
  <c r="E7" i="13"/>
  <c r="D7" i="13"/>
  <c r="C7" i="13"/>
  <c r="B7" i="13"/>
  <c r="B4" i="13"/>
  <c r="H14" i="5" s="1"/>
  <c r="E8" i="12"/>
  <c r="D8" i="12"/>
  <c r="C8" i="12"/>
  <c r="B8" i="12"/>
  <c r="E7" i="12"/>
  <c r="D7" i="12"/>
  <c r="C7" i="12"/>
  <c r="B7" i="12"/>
  <c r="B4" i="12"/>
  <c r="E8" i="11"/>
  <c r="D8" i="11"/>
  <c r="C8" i="11"/>
  <c r="B8" i="11"/>
  <c r="E7" i="11"/>
  <c r="D7" i="11"/>
  <c r="C7" i="11"/>
  <c r="B7" i="11"/>
  <c r="B4" i="11"/>
  <c r="H12" i="5" s="1"/>
  <c r="H17" i="5" s="1"/>
  <c r="E8" i="10"/>
  <c r="D8" i="10"/>
  <c r="C8" i="10"/>
  <c r="B8" i="10"/>
  <c r="E7" i="10"/>
  <c r="D7" i="10"/>
  <c r="C7" i="10"/>
  <c r="B7" i="10"/>
  <c r="B4" i="10"/>
  <c r="E6" i="14"/>
  <c r="D6" i="14"/>
  <c r="C6" i="14"/>
  <c r="E15" i="5" s="1"/>
  <c r="B6" i="14"/>
  <c r="D15" i="5" s="1"/>
  <c r="E6" i="13"/>
  <c r="G14" i="5" s="1"/>
  <c r="D6" i="13"/>
  <c r="C6" i="13"/>
  <c r="B6" i="13"/>
  <c r="D14" i="5" s="1"/>
  <c r="E6" i="12"/>
  <c r="G13" i="5" s="1"/>
  <c r="D6" i="12"/>
  <c r="F13" i="5" s="1"/>
  <c r="C6" i="12"/>
  <c r="E13" i="5" s="1"/>
  <c r="B6" i="12"/>
  <c r="D13" i="5" s="1"/>
  <c r="E6" i="11"/>
  <c r="D6" i="11"/>
  <c r="C6" i="11"/>
  <c r="E12" i="5" s="1"/>
  <c r="B6" i="11"/>
  <c r="D12" i="5" s="1"/>
  <c r="E6" i="10"/>
  <c r="G11" i="5" s="1"/>
  <c r="D6" i="10"/>
  <c r="C6" i="10"/>
  <c r="B6" i="10"/>
  <c r="D11" i="5" s="1"/>
  <c r="D17" i="5" s="1"/>
  <c r="B6" i="9"/>
  <c r="G17" i="5" l="1"/>
  <c r="E20" i="5" s="1"/>
  <c r="F17" i="5"/>
  <c r="C5" i="5"/>
  <c r="E19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F2DBBDD0-1952-460F-B87F-03360764C8A8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C79B6319-5374-4936-9953-5EB8E6EE75B6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E633ECB5-383E-4A1E-A3A3-DBC10CAC5FBC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55665BC-4C04-4265-BE83-0998E948CB1A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7E1B9B82-0A5A-4C6B-B5E9-3FF9599FB1C2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<sst xmlns="http://schemas.openxmlformats.org/spreadsheetml/2006/main" count="559" uniqueCount="282">
  <si>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</si>
  <si>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</si>
  <si>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</si>
  <si>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</si>
  <si>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</si>
  <si>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</si>
  <si>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</si>
  <si>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</si>
  <si>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</si>
  <si>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</si>
  <si>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</si>
  <si>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</si>
  <si>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</si>
  <si>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</si>
  <si>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</si>
  <si>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</si>
  <si>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</si>
  <si>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</si>
  <si>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</si>
  <si>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</si>
  <si>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Test requirement</t>
  </si>
  <si>
    <t>Tester</t>
  </si>
  <si>
    <t>N/A</t>
  </si>
  <si>
    <t>Test Case Description</t>
  </si>
  <si>
    <t>Test date</t>
  </si>
  <si>
    <t>Note</t>
  </si>
  <si>
    <t>Notes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</si>
  <si>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</si>
  <si>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</si>
  <si>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</si>
  <si>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</si>
  <si>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</si>
  <si>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</si>
  <si>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</si>
  <si>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</si>
  <si>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</si>
  <si>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</si>
  <si>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</si>
  <si>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</si>
  <si>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</si>
  <si>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</si>
  <si>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</si>
  <si>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</si>
  <si>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Test Case ID</t>
  </si>
  <si>
    <t>Number of TCs</t>
  </si>
  <si>
    <t>TEST STATISTICS</t>
  </si>
  <si>
    <t>SYSTEM TEST REPORT DOCUMENT</t>
  </si>
  <si>
    <t>Workflow</t>
  </si>
  <si>
    <t>Tenant onboarding and initial configuration</t>
  </si>
  <si>
    <t>Create a new tenant, configure an LLM provider, connect a channel, grant roles and verify the first sign-in and permission fence</t>
  </si>
  <si>
    <t>Tenant and user setup</t>
  </si>
  <si>
    <t>TC-ST-ONB-001</t>
  </si>
  <si>
    <t>Create a new tenant from the admin panel</t>
  </si>
  <si>
    <t>1. Sign in as system admin.
2. Open system settings and create a new tenant with a unique name.</t>
  </si>
  <si>
    <t>The tenant is created and visible in the tenant list with status active.</t>
  </si>
  <si>
    <t>System admin account is seeded</t>
  </si>
  <si>
    <t>TC-ST-ONB-002</t>
  </si>
  <si>
    <t>Create the first admin user for the new tenant</t>
  </si>
  <si>
    <t>1. Open the new tenant.
2. Create an admin user account with a temporary password.</t>
  </si>
  <si>
    <t>The user is created; a welcome email is sent; the user can sign in.</t>
  </si>
  <si>
    <t>The tenant was created in TC-ST-ONB-001</t>
  </si>
  <si>
    <t>TC-ST-ONB-003</t>
  </si>
  <si>
    <t>Sign in as the new tenant admin and change the temporary password</t>
  </si>
  <si>
    <t>1. Sign in with the temporary password.
2. Follow the password-change prompt.
3. Sign in again with the new password.</t>
  </si>
  <si>
    <t>Password change succeeds; the temporary password is no longer accepted; the dashboard loads.</t>
  </si>
  <si>
    <t>TC-ST-ONB-002 has been completed</t>
  </si>
  <si>
    <t>TC-ST-ONB-004</t>
  </si>
  <si>
    <t>Navigation menu reflects the granted role permissions</t>
  </si>
  <si>
    <t>1. Create a user with a restricted role (conversations:read only).
2. Sign in as that user.</t>
  </si>
  <si>
    <t>Only the Inbox section is visible; /leads, /content, /kb, /agents are inaccessible.</t>
  </si>
  <si>
    <t>A restricted role has been created and granted</t>
  </si>
  <si>
    <t>LLM provider configuration</t>
  </si>
  <si>
    <t>TC-ST-ONB-005</t>
  </si>
  <si>
    <t>Configure an LLM provider with a valid API key</t>
  </si>
  <si>
    <t>1. Open LLM Providers (/llm-providers).
2. Add a provider (e.g. OpenAI) with a valid API key.
3. Save and run the connection test.</t>
  </si>
  <si>
    <t>Provider is saved; connection test returns success; status shows active.</t>
  </si>
  <si>
    <t>A valid API key is available in the test environment</t>
  </si>
  <si>
    <t>TC-ST-ONB-006</t>
  </si>
  <si>
    <t>Reject an LLM provider URL that points to a private host without a grant</t>
  </si>
  <si>
    <t>1. Attempt to save an LLM provider with baseUrl = http://192.168.1.10:8080.
2. Submit without enabling private host access.</t>
  </si>
  <si>
    <t>Save is rejected with an SSRF-guard error; no provider row is persisted.</t>
  </si>
  <si>
    <t>allowPrivateHosts is false (default)</t>
  </si>
  <si>
    <t>Channel connection</t>
  </si>
  <si>
    <t>TC-ST-ONB-007</t>
  </si>
  <si>
    <t>Connect a Facebook channel and verify the first message sync</t>
  </si>
  <si>
    <t>1. Open system channels (/system/channels).
2. Connect a Facebook page with a valid token.
3. Wait for the initial sync.</t>
  </si>
  <si>
    <t>Channel shows as connected; existing conversations appear in /conversations within a few minutes.</t>
  </si>
  <si>
    <t>A Facebook test page and valid token are available</t>
  </si>
  <si>
    <t>End-to-end auto-reply, handover and lead creation</t>
  </si>
  <si>
    <t>Receive an inbound message, answer it automatically using the knowledge base, pause when a sales agent intervenes, resume after the pause window, and create a scored lead from the conversation</t>
  </si>
  <si>
    <t>Automatic answering</t>
  </si>
  <si>
    <t>TC-ST-ARP-001</t>
  </si>
  <si>
    <t>Receive an inbound message and get an automatic reply</t>
  </si>
  <si>
    <t>1. Send a message from the test channel that matches a KB topic.
2. Wait up to 30 seconds.</t>
  </si>
  <si>
    <t>An automatic outbound reply is sent; the reply text reflects the KB content.</t>
  </si>
  <si>
    <t>Auto-reply is enabled; KB is deployed and indexed</t>
  </si>
  <si>
    <t>TC-ST-ARP-002</t>
  </si>
  <si>
    <t>Decline to answer when no KB content covers the question</t>
  </si>
  <si>
    <t>1. Send a message on a topic completely outside the KB.
2. Wait up to 30 seconds.</t>
  </si>
  <si>
    <t>The auto-reply sends a safe fallback message and optionally escalates to a human agent.</t>
  </si>
  <si>
    <t>Auto-reply is enabled; the question is outside all KB modules</t>
  </si>
  <si>
    <t>TC-ST-ARP-003</t>
  </si>
  <si>
    <t>Deduplicate a message delivered by both webhook and polling</t>
  </si>
  <si>
    <t>1. Enable both ingestion paths.
2. Send a single message from the channel.</t>
  </si>
  <si>
    <t>Exactly one auto-reply is sent; exactly one message record is stored.</t>
  </si>
  <si>
    <t>Both ingestion paths are active</t>
  </si>
  <si>
    <t>Handover to sales agent</t>
  </si>
  <si>
    <t>TC-ST-ARP-004</t>
  </si>
  <si>
    <t>A manual reply by a sales agent pauses auto-reply</t>
  </si>
  <si>
    <t>1. Sign in as a sales agent.
2. Send a manual reply on the conversation.
3. Send a new inbound message from the channel.</t>
  </si>
  <si>
    <t>Auto-reply stays silent for the configured pause window (default 5 minutes).</t>
  </si>
  <si>
    <t>Auto-reply is enabled on the conversation</t>
  </si>
  <si>
    <t>TC-ST-ARP-005</t>
  </si>
  <si>
    <t>Auto-reply resumes after the pause window without manual action</t>
  </si>
  <si>
    <t>1. Trigger a pause by sending a manual reply.
2. Advance time past the pause window (or wait).
3. Send a new inbound message.</t>
  </si>
  <si>
    <t>The sweep job re-enables auto-reply; the new message gets an automatic response.</t>
  </si>
  <si>
    <t>A pause was triggered; the TryResumeAiAutoReply sweep job is running</t>
  </si>
  <si>
    <t>TC-ST-ARP-006</t>
  </si>
  <si>
    <t>Manually disabling auto-reply prevents automatic resumption</t>
  </si>
  <si>
    <t>1. Toggle auto-reply OFF via the conversation UI.
2. Advance time past the default pause window.
3. Send a new inbound message.</t>
  </si>
  <si>
    <t>Auto-reply remains disabled (resume_at is null); no automatic response is sent.</t>
  </si>
  <si>
    <t>Auto-reply was explicitly toggled off</t>
  </si>
  <si>
    <t>Lead creation from conversation</t>
  </si>
  <si>
    <t>TC-ST-ARP-007</t>
  </si>
  <si>
    <t>Create a lead from a conversation and verify the initial score</t>
  </si>
  <si>
    <t>1. Open a conversation that has contact details.
2. Create a lead from the conversation panel.
3. Inspect the lead score on /leads.</t>
  </si>
  <si>
    <t>Lead is created; score is calculated based on the lead scoring rules; pipeline stage reflects the score (cold / warm / hot).</t>
  </si>
  <si>
    <t>The conversation has an identifiable contact; lead scoring rules are seeded</t>
  </si>
  <si>
    <t>TC-ST-ARP-008</t>
  </si>
  <si>
    <t>Lead score increases when a purchase-intent event is recorded</t>
  </si>
  <si>
    <t>1. Open the lead created in TC-ST-ARP-007.
2. Record a purchase_intent activity.
3. Refresh the lead card.</t>
  </si>
  <si>
    <t>The lead score increases by the purchase_intent delta (default +20); pipeline stage may advance.</t>
  </si>
  <si>
    <t>TC-ST-ARP-007 completed; lead is in cold or warm stage</t>
  </si>
  <si>
    <t>TC-ST-ARP-009</t>
  </si>
  <si>
    <t>Reactivate a lost lead when new inbound activity arrives</t>
  </si>
  <si>
    <t>1. Mark a lead as lost.
2. Send a new inbound message from the same contact.</t>
  </si>
  <si>
    <t>The lead is reactivated; LastActivityAt is updated; the lost status is cleared.</t>
  </si>
  <si>
    <t>A lost lead exists for the contact</t>
  </si>
  <si>
    <t>Recovery from job failures, queue outages and KB deploy errors</t>
  </si>
  <si>
    <t>Failed background jobs are retried and logged; message queue outages do not lose messages; a KB deploy failure leaves the previous version active and is surfaced in the error log</t>
  </si>
  <si>
    <t>Background job failure and retry</t>
  </si>
  <si>
    <t>TC-ST-REC-001</t>
  </si>
  <si>
    <t>A Hangfire job that fails is retried the configured number of times</t>
  </si>
  <si>
    <t>1. Inject a transient failure into a job handler.
2. Observe the Hangfire dashboard or job logs.</t>
  </si>
  <si>
    <t>The job is retried up to the configured retry count, then marked as failed with the error recorded.</t>
  </si>
  <si>
    <t>Retry count is configured; Hangfire dashboard is accessible</t>
  </si>
  <si>
    <t>TC-ST-REC-002</t>
  </si>
  <si>
    <t>A failed job appears in the system error log</t>
  </si>
  <si>
    <t>1. Let a job fail permanently (exhaust retries).
2. Open the error log tab (/logs).</t>
  </si>
  <si>
    <t>The failure entry is listed with its exception type, message and timestamp.</t>
  </si>
  <si>
    <t>TC-ST-REC-001 has been completed</t>
  </si>
  <si>
    <t>TC-ST-REC-003</t>
  </si>
  <si>
    <t>A Hangfire job runs in an isolated DI scope with the correct tenant context</t>
  </si>
  <si>
    <t>1. Trigger a scheduled job for a specific tenant.
2. Verify the job reads and writes data only for that tenant.</t>
  </si>
  <si>
    <t>No cross-tenant data contamination; ITenantOwned query filters are applied.</t>
  </si>
  <si>
    <t>Two tenant accounts with overlapping data exist</t>
  </si>
  <si>
    <t>Message queue outage</t>
  </si>
  <si>
    <t>TC-ST-REC-004</t>
  </si>
  <si>
    <t>Messages queued during a consumer outage are processed after restart</t>
  </si>
  <si>
    <t>1. Stop the RabbitMQ consumer service.
2. Send three inbound messages from the channel.
3. Start the consumer again.</t>
  </si>
  <si>
    <t>All three messages are ingested in order after the consumer restarts; none is lost.</t>
  </si>
  <si>
    <t>RabbitMQ queue durability is enabled</t>
  </si>
  <si>
    <t>TC-ST-REC-005</t>
  </si>
  <si>
    <t>A duplicate message delivered by a second consumer instance is not processed twice</t>
  </si>
  <si>
    <t>1. Start a second consumer instance.
2. Deliver one inbound message to the queue.</t>
  </si>
  <si>
    <t>Only one consumer processes the message; no duplicate reply is sent.</t>
  </si>
  <si>
    <t>RabbitMQ is configured with exclusive consumer or logical dedup</t>
  </si>
  <si>
    <t>KB deploy failure</t>
  </si>
  <si>
    <t>TC-ST-REC-006</t>
  </si>
  <si>
    <t>A KB deploy failure leaves the previously deployed version active</t>
  </si>
  <si>
    <t>1. Deploy a version while Qdrant is unavailable.
2. Check which version is active after the deploy job fails.</t>
  </si>
  <si>
    <t>The deploy job fails and is logged; the previous deployed version remains active for retrieval.</t>
  </si>
  <si>
    <t>A deployed version exists; Qdrant can be temporarily stopped</t>
  </si>
  <si>
    <t>TC-ST-REC-007</t>
  </si>
  <si>
    <t>KB deploy retries succeed once the vector store recovers</t>
  </si>
  <si>
    <t>1. Restore Qdrant after it was stopped in TC-ST-REC-006.
2. Re-trigger the deploy job.</t>
  </si>
  <si>
    <t>The deploy job completes successfully; the new version becomes active.</t>
  </si>
  <si>
    <t>TC-ST-REC-006 completed; Qdrant is restored</t>
  </si>
  <si>
    <t>WF04 Lead Pipeline</t>
  </si>
  <si>
    <t>Lead creation and initial scoring</t>
  </si>
  <si>
    <t>TC-ST-LP-001</t>
  </si>
  <si>
    <t>A new conversation from Facebook creates a lead in cold stage</t>
  </si>
  <si>
    <t>1. Simulate an inbound Facebook message.
2. Allow the auto-reply and lead-creation agent to run.
3. GET /api/leads and filter by contactId.</t>
  </si>
  <si>
    <t>A lead is created with stage=cold and score=0; the contact is linked.</t>
  </si>
  <si>
    <t>No existing lead for the contact</t>
  </si>
  <si>
    <t>TC-ST-LP-002</t>
  </si>
  <si>
    <t>Score advances the lead from cold to warm after price inquiry activities</t>
  </si>
  <si>
    <t>1. Record asked_price and fast_reply activities via POST /api/leads/{id}/activities.
2. GET /api/leads/{id}.</t>
  </si>
  <si>
    <t>score &gt;= 30; stage=warm.</t>
  </si>
  <si>
    <t>Lead is in cold stage; scoring rules are seeded</t>
  </si>
  <si>
    <t>Stage advancement and manual override</t>
  </si>
  <si>
    <t>TC-ST-LP-003</t>
  </si>
  <si>
    <t>Enough purchase-intent signals advance the lead to hot</t>
  </si>
  <si>
    <t>1. Record purchase_intent activities until score &gt;= 70.
2. GET /api/leads/{id}.</t>
  </si>
  <si>
    <t>stage=hot; score &gt;= 70.</t>
  </si>
  <si>
    <t>Lead is in warm stage</t>
  </si>
  <si>
    <t>TC-ST-LP-004</t>
  </si>
  <si>
    <t>A sales agent manually moves a hot lead to won</t>
  </si>
  <si>
    <t>1. POST /api/leads/{id}/stage with stage=won.</t>
  </si>
  <si>
    <t>HTTP 200; stage=won; WonAt timestamp is set; the lead no longer appears in active pipeline views.</t>
  </si>
  <si>
    <t>Lead is in hot stage</t>
  </si>
  <si>
    <t>TC-ST-LP-005</t>
  </si>
  <si>
    <t>A hot lead is moved to lost and a reason is recorded</t>
  </si>
  <si>
    <t>1. POST /api/leads/{id}/stage with stage=lost and reason.</t>
  </si>
  <si>
    <t>HTTP 200; stage=lost; LostReason is stored.</t>
  </si>
  <si>
    <t>Reactivation and forecast</t>
  </si>
  <si>
    <t>TC-ST-LP-006</t>
  </si>
  <si>
    <t>A lost lead is reactivated when the customer sends a new message</t>
  </si>
  <si>
    <t>1. Simulate an inbound message from the lost lead contact.
2. GET /api/leads/{id}.</t>
  </si>
  <si>
    <t>Lead status returns to active; LastActivityAt is updated; stage resets to warm (not cold).</t>
  </si>
  <si>
    <t>A lost lead exists; the contact has an active conversation channel</t>
  </si>
  <si>
    <t>TC-ST-LP-007</t>
  </si>
  <si>
    <t>Forecast shows the correct count and estimated value for hot leads</t>
  </si>
  <si>
    <t>1. GET /api/leads/forecast.</t>
  </si>
  <si>
    <t>Response includes hot lead count and summed estimated value; numbers match the current database state.</t>
  </si>
  <si>
    <t>At least two leads are in hot stage</t>
  </si>
  <si>
    <t>TC-ST-LP-008</t>
  </si>
  <si>
    <t>Re-scoring all leads after a rule change updates stages in bulk</t>
  </si>
  <si>
    <t>1. Update the purchase_intent delta via PUT /api/lead-scoring-rules/{id}.
2. POST /api/leads/rescore-all.</t>
  </si>
  <si>
    <t>All affected leads have their scores and stages recalculated; no leads are left with a stale score.</t>
  </si>
  <si>
    <t>Multiple leads with purchase_intent activities exist</t>
  </si>
  <si>
    <t>WF05 Content Pipeline</t>
  </si>
  <si>
    <t>Brief creation and AI generation</t>
  </si>
  <si>
    <t>TC-ST-CP-001</t>
  </si>
  <si>
    <t>A content brief triggers AI generation and produces a draft item</t>
  </si>
  <si>
    <t>1. POST /api/content/briefs with platform=facebook and topic.
2. POST /api/content/items/generate with the briefId.
3. Poll until item status=draft.</t>
  </si>
  <si>
    <t>A content item with a non-empty body is created in draft status within 60 seconds.</t>
  </si>
  <si>
    <t>LLM provider responds within the configured timeout</t>
  </si>
  <si>
    <t>TC-ST-CP-002</t>
  </si>
  <si>
    <t>Lint blocks a draft that contains an absolute guarantee phrase</t>
  </si>
  <si>
    <t>1. Generate a draft using a stub that returns a body containing the phrase "100% guaranteed".
2. Check item status.</t>
  </si>
  <si>
    <t>Item status=needs_human; lint error code is reported.</t>
  </si>
  <si>
    <t>LLM stub is configured; ContentLint is enabled</t>
  </si>
  <si>
    <t>Review and approval</t>
  </si>
  <si>
    <t>TC-ST-CP-003</t>
  </si>
  <si>
    <t>Agent reviewer approves a clean draft and it becomes ready for human approval</t>
  </si>
  <si>
    <t>1. Wait for the reviewer agent run to complete on the draft item.
2. GET /api/content/items/{id}.</t>
  </si>
  <si>
    <t>AgentReviewStatus=passed; item is in the human approval queue.</t>
  </si>
  <si>
    <t>Reviewer agent is bound to an LLM provider; draft item is clean</t>
  </si>
  <si>
    <t>TC-ST-CP-004</t>
  </si>
  <si>
    <t>A human approves the item and it becomes approved</t>
  </si>
  <si>
    <t>1. POST /api/content/items/{id}/approve.</t>
  </si>
  <si>
    <t>HTTP 200; status=approved; ApprovedAt and ApprovedBy are recorded.</t>
  </si>
  <si>
    <t>Item has passed agent review</t>
  </si>
  <si>
    <t>TC-ST-CP-005</t>
  </si>
  <si>
    <t>A human rejects a draft and provides a reason</t>
  </si>
  <si>
    <t>1. POST /api/content/items/{id}/reject with reason="off-brand tone".</t>
  </si>
  <si>
    <t>HTTP 200; status=rejected; RejectedReason=off-brand tone.</t>
  </si>
  <si>
    <t>Item is in draft or needs_human state</t>
  </si>
  <si>
    <t>Scheduling and repurpose</t>
  </si>
  <si>
    <t>TC-ST-CP-006</t>
  </si>
  <si>
    <t>An approved item is scheduled for the Facebook golden hour</t>
  </si>
  <si>
    <t>1. Calculate the next Facebook golden hour (20:30 VN time).
2. POST /api/content/items/{id}/schedule with publishAt set to that time.</t>
  </si>
  <si>
    <t>HTTP 200; status=scheduled; publishAt matches the golden hour.</t>
  </si>
  <si>
    <t>Item is approved</t>
  </si>
  <si>
    <t>TC-ST-CP-007</t>
  </si>
  <si>
    <t>A published item is repurposed for TikTok</t>
  </si>
  <si>
    <t>1. POST /api/content/items/{id}/repurpose with targetPlatform=tiktok.</t>
  </si>
  <si>
    <t>HTTP 202; a new draft item is created for tiktok; the original item status is unchanged.</t>
  </si>
  <si>
    <t>A published item exists; a brief for tiktok exists</t>
  </si>
  <si>
    <t>TC-ST-CP-008</t>
  </si>
  <si>
    <t>Chain metrics are recorded after a successful publish</t>
  </si>
  <si>
    <t>1. Trigger a simulated publish for the scheduled item.
2. GET /api/content/chain-metrics.</t>
  </si>
  <si>
    <t>A metric entry exists for the chain run; generation and review latencies are recorded.</t>
  </si>
  <si>
    <t>The mock publish adapter is active</t>
  </si>
  <si>
    <t>Clawbot</t>
  </si>
  <si>
    <t>&lt;Creator&gt;</t>
  </si>
  <si>
    <t>CLAWBOT</t>
  </si>
  <si>
    <t>v1.0</t>
  </si>
  <si>
    <t>System Test Report</t>
  </si>
  <si>
    <t>A</t>
  </si>
  <si>
    <t>Initial version</t>
  </si>
  <si>
    <t>1. Frontend: React + Vite (localhost:15876)
2. API Backend: .NET 8 (localhost:15874)
3. AgentService gRPC (localhost:15875)
4. Gateway: .NET 10 Ocelot (localhost:15873)
5. SQL Server 2022 (Docker :1433)
6. Redis 7 (Docker :6379)
7. Qdrant (Docker :6333)
8. MinIO (Docker :9001)
9. RabbitMQ (Docker :15672)</t>
  </si>
  <si>
    <t>WF01 Onboarding</t>
  </si>
  <si>
    <t>The full stack is running (all services up); an admin seed account exists</t>
  </si>
  <si>
    <t>WF02 Auto-reply</t>
  </si>
  <si>
    <t>A channel is connected; a knowledge base is deployed; auto-reply is enabled on the test conversation</t>
  </si>
  <si>
    <t>WF03 Incident Recovery</t>
  </si>
  <si>
    <t>Hangfire job scheduler and RabbitMQ are running; the system error log tab is accessible</t>
  </si>
  <si>
    <t>The full stack is running (all services up); an admin seed account exists; lead scoring rules are seeded via POST /api/lead-scoring-rules/seed-defaults</t>
  </si>
  <si>
    <t>The full stack is running (all services up); a configured LLM provider is active; a deployed KB module exists for RAG context</t>
  </si>
  <si>
    <t>WF01 Onboarding, WF02 Auto-reply, WF03 Incident Recovery, WF04 Lead Pipeline, WF05 Content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</si>
</sst>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4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</cellStyleXfs>
  <cellXfs count="143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10" fillId="5" borderId="25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6" xfId="3" applyFont="1" applyFill="1" applyBorder="1" applyAlignment="1">
      <alignment horizontal="center" vertical="center" wrapText="1"/>
    </xf>
    <xf numFmtId="0" fontId="18" fillId="2" borderId="26" xfId="3" applyFont="1" applyFill="1" applyBorder="1" applyAlignment="1">
      <alignment horizontal="center" vertical="top" wrapText="1"/>
    </xf>
    <xf numFmtId="0" fontId="2" fillId="2" borderId="26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18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4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10" fillId="2" borderId="27" xfId="3" applyFont="1" applyFill="1" applyBorder="1" applyAlignment="1">
      <alignment horizontal="center" vertical="top" wrapText="1"/>
    </xf>
    <xf numFmtId="0" fontId="10" fillId="2" borderId="30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10" fillId="2" borderId="1" xfId="5" applyFont="1" applyFill="1" applyBorder="1" applyAlignment="1">
      <alignment vertical="center"/>
    </xf>
    <xf numFmtId="0" fontId="21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4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left"/>
    </xf>
    <xf numFmtId="0" fontId="21" fillId="0" borderId="13" xfId="5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28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  <xf numFmtId="0" fontId="2" fillId="2" borderId="26" xfId="3" applyFont="1" applyFill="1" applyBorder="1" applyAlignment="1">
      <alignment horizontal="left" vertical="top" wrapText="1"/>
    </xf>
    <xf numFmtId="0" fontId="2" fillId="2" borderId="31" xfId="3" applyFont="1" applyFill="1" applyBorder="1" applyAlignment="1">
      <alignment horizontal="left" vertical="top" wrapText="1"/>
    </xf>
    <xf numFmtId="14" fontId="21" fillId="0" borderId="2" xfId="5" applyNumberFormat="1" applyFont="1" applyBorder="1"/>
    <xf numFmtId="14" fontId="21" fillId="0" borderId="6" xfId="5" applyNumberFormat="1" applyFont="1" applyBorder="1" applyAlignment="1">
      <alignment vertical="top" wrapText="1"/>
    </xf>
    <xf numFmtId="14" fontId="6" fillId="2" borderId="2" xfId="0" applyNumberFormat="1" applyFont="1" applyFill="1" applyBorder="1" applyAlignment="1">
      <alignment vertical="top"/>
    </xf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2009775</xdr:colOff>
      <xdr:row>1</xdr:row>
      <xdr:rowOff>756396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386"/>
          <a:ext cx="2009775" cy="6674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zoomScale="85" zoomScaleNormal="85" workbookViewId="0"/>
  </sheetViews>
  <sheetFormatPr defaultColWidth="9" defaultRowHeight="12.5"/>
  <cols>
    <col min="1" max="1" width="28.08984375" style="123" customWidth="1"/>
    <col min="2" max="2" width="10" style="98" customWidth="1"/>
    <col min="3" max="3" width="14.36328125" style="98" customWidth="1"/>
    <col min="4" max="4" width="8" style="98" customWidth="1"/>
    <col min="5" max="5" width="38" style="98" customWidth="1"/>
    <col min="6" max="6" width="48.08984375" style="98" customWidth="1"/>
    <col min="7" max="256" width="9" style="98"/>
    <col min="257" max="257" width="28.08984375" style="98" customWidth="1"/>
    <col min="258" max="258" width="10" style="98" customWidth="1"/>
    <col min="259" max="259" width="14.36328125" style="98" customWidth="1"/>
    <col min="260" max="260" width="8" style="98" customWidth="1"/>
    <col min="261" max="261" width="38" style="98" customWidth="1"/>
    <col min="262" max="262" width="48.08984375" style="98" customWidth="1"/>
    <col min="263" max="512" width="9" style="98"/>
    <col min="513" max="513" width="28.08984375" style="98" customWidth="1"/>
    <col min="514" max="514" width="10" style="98" customWidth="1"/>
    <col min="515" max="515" width="14.36328125" style="98" customWidth="1"/>
    <col min="516" max="516" width="8" style="98" customWidth="1"/>
    <col min="517" max="517" width="38" style="98" customWidth="1"/>
    <col min="518" max="518" width="48.08984375" style="98" customWidth="1"/>
    <col min="519" max="768" width="9" style="98"/>
    <col min="769" max="769" width="28.08984375" style="98" customWidth="1"/>
    <col min="770" max="770" width="10" style="98" customWidth="1"/>
    <col min="771" max="771" width="14.36328125" style="98" customWidth="1"/>
    <col min="772" max="772" width="8" style="98" customWidth="1"/>
    <col min="773" max="773" width="38" style="98" customWidth="1"/>
    <col min="774" max="774" width="48.08984375" style="98" customWidth="1"/>
    <col min="775" max="1024" width="9" style="98"/>
    <col min="1025" max="1025" width="28.08984375" style="98" customWidth="1"/>
    <col min="1026" max="1026" width="10" style="98" customWidth="1"/>
    <col min="1027" max="1027" width="14.36328125" style="98" customWidth="1"/>
    <col min="1028" max="1028" width="8" style="98" customWidth="1"/>
    <col min="1029" max="1029" width="38" style="98" customWidth="1"/>
    <col min="1030" max="1030" width="48.08984375" style="98" customWidth="1"/>
    <col min="1031" max="1280" width="9" style="98"/>
    <col min="1281" max="1281" width="28.08984375" style="98" customWidth="1"/>
    <col min="1282" max="1282" width="10" style="98" customWidth="1"/>
    <col min="1283" max="1283" width="14.36328125" style="98" customWidth="1"/>
    <col min="1284" max="1284" width="8" style="98" customWidth="1"/>
    <col min="1285" max="1285" width="38" style="98" customWidth="1"/>
    <col min="1286" max="1286" width="48.08984375" style="98" customWidth="1"/>
    <col min="1287" max="1536" width="9" style="98"/>
    <col min="1537" max="1537" width="28.08984375" style="98" customWidth="1"/>
    <col min="1538" max="1538" width="10" style="98" customWidth="1"/>
    <col min="1539" max="1539" width="14.36328125" style="98" customWidth="1"/>
    <col min="1540" max="1540" width="8" style="98" customWidth="1"/>
    <col min="1541" max="1541" width="38" style="98" customWidth="1"/>
    <col min="1542" max="1542" width="48.08984375" style="98" customWidth="1"/>
    <col min="1543" max="1792" width="9" style="98"/>
    <col min="1793" max="1793" width="28.08984375" style="98" customWidth="1"/>
    <col min="1794" max="1794" width="10" style="98" customWidth="1"/>
    <col min="1795" max="1795" width="14.36328125" style="98" customWidth="1"/>
    <col min="1796" max="1796" width="8" style="98" customWidth="1"/>
    <col min="1797" max="1797" width="38" style="98" customWidth="1"/>
    <col min="1798" max="1798" width="48.08984375" style="98" customWidth="1"/>
    <col min="1799" max="2048" width="9" style="98"/>
    <col min="2049" max="2049" width="28.08984375" style="98" customWidth="1"/>
    <col min="2050" max="2050" width="10" style="98" customWidth="1"/>
    <col min="2051" max="2051" width="14.36328125" style="98" customWidth="1"/>
    <col min="2052" max="2052" width="8" style="98" customWidth="1"/>
    <col min="2053" max="2053" width="38" style="98" customWidth="1"/>
    <col min="2054" max="2054" width="48.08984375" style="98" customWidth="1"/>
    <col min="2055" max="2304" width="9" style="98"/>
    <col min="2305" max="2305" width="28.08984375" style="98" customWidth="1"/>
    <col min="2306" max="2306" width="10" style="98" customWidth="1"/>
    <col min="2307" max="2307" width="14.36328125" style="98" customWidth="1"/>
    <col min="2308" max="2308" width="8" style="98" customWidth="1"/>
    <col min="2309" max="2309" width="38" style="98" customWidth="1"/>
    <col min="2310" max="2310" width="48.08984375" style="98" customWidth="1"/>
    <col min="2311" max="2560" width="9" style="98"/>
    <col min="2561" max="2561" width="28.08984375" style="98" customWidth="1"/>
    <col min="2562" max="2562" width="10" style="98" customWidth="1"/>
    <col min="2563" max="2563" width="14.36328125" style="98" customWidth="1"/>
    <col min="2564" max="2564" width="8" style="98" customWidth="1"/>
    <col min="2565" max="2565" width="38" style="98" customWidth="1"/>
    <col min="2566" max="2566" width="48.08984375" style="98" customWidth="1"/>
    <col min="2567" max="2816" width="9" style="98"/>
    <col min="2817" max="2817" width="28.08984375" style="98" customWidth="1"/>
    <col min="2818" max="2818" width="10" style="98" customWidth="1"/>
    <col min="2819" max="2819" width="14.36328125" style="98" customWidth="1"/>
    <col min="2820" max="2820" width="8" style="98" customWidth="1"/>
    <col min="2821" max="2821" width="38" style="98" customWidth="1"/>
    <col min="2822" max="2822" width="48.08984375" style="98" customWidth="1"/>
    <col min="2823" max="3072" width="9" style="98"/>
    <col min="3073" max="3073" width="28.08984375" style="98" customWidth="1"/>
    <col min="3074" max="3074" width="10" style="98" customWidth="1"/>
    <col min="3075" max="3075" width="14.36328125" style="98" customWidth="1"/>
    <col min="3076" max="3076" width="8" style="98" customWidth="1"/>
    <col min="3077" max="3077" width="38" style="98" customWidth="1"/>
    <col min="3078" max="3078" width="48.08984375" style="98" customWidth="1"/>
    <col min="3079" max="3328" width="9" style="98"/>
    <col min="3329" max="3329" width="28.08984375" style="98" customWidth="1"/>
    <col min="3330" max="3330" width="10" style="98" customWidth="1"/>
    <col min="3331" max="3331" width="14.36328125" style="98" customWidth="1"/>
    <col min="3332" max="3332" width="8" style="98" customWidth="1"/>
    <col min="3333" max="3333" width="38" style="98" customWidth="1"/>
    <col min="3334" max="3334" width="48.08984375" style="98" customWidth="1"/>
    <col min="3335" max="3584" width="9" style="98"/>
    <col min="3585" max="3585" width="28.08984375" style="98" customWidth="1"/>
    <col min="3586" max="3586" width="10" style="98" customWidth="1"/>
    <col min="3587" max="3587" width="14.36328125" style="98" customWidth="1"/>
    <col min="3588" max="3588" width="8" style="98" customWidth="1"/>
    <col min="3589" max="3589" width="38" style="98" customWidth="1"/>
    <col min="3590" max="3590" width="48.08984375" style="98" customWidth="1"/>
    <col min="3591" max="3840" width="9" style="98"/>
    <col min="3841" max="3841" width="28.08984375" style="98" customWidth="1"/>
    <col min="3842" max="3842" width="10" style="98" customWidth="1"/>
    <col min="3843" max="3843" width="14.36328125" style="98" customWidth="1"/>
    <col min="3844" max="3844" width="8" style="98" customWidth="1"/>
    <col min="3845" max="3845" width="38" style="98" customWidth="1"/>
    <col min="3846" max="3846" width="48.08984375" style="98" customWidth="1"/>
    <col min="3847" max="4096" width="9" style="98"/>
    <col min="4097" max="4097" width="28.08984375" style="98" customWidth="1"/>
    <col min="4098" max="4098" width="10" style="98" customWidth="1"/>
    <col min="4099" max="4099" width="14.36328125" style="98" customWidth="1"/>
    <col min="4100" max="4100" width="8" style="98" customWidth="1"/>
    <col min="4101" max="4101" width="38" style="98" customWidth="1"/>
    <col min="4102" max="4102" width="48.08984375" style="98" customWidth="1"/>
    <col min="4103" max="4352" width="9" style="98"/>
    <col min="4353" max="4353" width="28.08984375" style="98" customWidth="1"/>
    <col min="4354" max="4354" width="10" style="98" customWidth="1"/>
    <col min="4355" max="4355" width="14.36328125" style="98" customWidth="1"/>
    <col min="4356" max="4356" width="8" style="98" customWidth="1"/>
    <col min="4357" max="4357" width="38" style="98" customWidth="1"/>
    <col min="4358" max="4358" width="48.08984375" style="98" customWidth="1"/>
    <col min="4359" max="4608" width="9" style="98"/>
    <col min="4609" max="4609" width="28.08984375" style="98" customWidth="1"/>
    <col min="4610" max="4610" width="10" style="98" customWidth="1"/>
    <col min="4611" max="4611" width="14.36328125" style="98" customWidth="1"/>
    <col min="4612" max="4612" width="8" style="98" customWidth="1"/>
    <col min="4613" max="4613" width="38" style="98" customWidth="1"/>
    <col min="4614" max="4614" width="48.08984375" style="98" customWidth="1"/>
    <col min="4615" max="4864" width="9" style="98"/>
    <col min="4865" max="4865" width="28.08984375" style="98" customWidth="1"/>
    <col min="4866" max="4866" width="10" style="98" customWidth="1"/>
    <col min="4867" max="4867" width="14.36328125" style="98" customWidth="1"/>
    <col min="4868" max="4868" width="8" style="98" customWidth="1"/>
    <col min="4869" max="4869" width="38" style="98" customWidth="1"/>
    <col min="4870" max="4870" width="48.08984375" style="98" customWidth="1"/>
    <col min="4871" max="5120" width="9" style="98"/>
    <col min="5121" max="5121" width="28.08984375" style="98" customWidth="1"/>
    <col min="5122" max="5122" width="10" style="98" customWidth="1"/>
    <col min="5123" max="5123" width="14.36328125" style="98" customWidth="1"/>
    <col min="5124" max="5124" width="8" style="98" customWidth="1"/>
    <col min="5125" max="5125" width="38" style="98" customWidth="1"/>
    <col min="5126" max="5126" width="48.08984375" style="98" customWidth="1"/>
    <col min="5127" max="5376" width="9" style="98"/>
    <col min="5377" max="5377" width="28.08984375" style="98" customWidth="1"/>
    <col min="5378" max="5378" width="10" style="98" customWidth="1"/>
    <col min="5379" max="5379" width="14.36328125" style="98" customWidth="1"/>
    <col min="5380" max="5380" width="8" style="98" customWidth="1"/>
    <col min="5381" max="5381" width="38" style="98" customWidth="1"/>
    <col min="5382" max="5382" width="48.08984375" style="98" customWidth="1"/>
    <col min="5383" max="5632" width="9" style="98"/>
    <col min="5633" max="5633" width="28.08984375" style="98" customWidth="1"/>
    <col min="5634" max="5634" width="10" style="98" customWidth="1"/>
    <col min="5635" max="5635" width="14.36328125" style="98" customWidth="1"/>
    <col min="5636" max="5636" width="8" style="98" customWidth="1"/>
    <col min="5637" max="5637" width="38" style="98" customWidth="1"/>
    <col min="5638" max="5638" width="48.08984375" style="98" customWidth="1"/>
    <col min="5639" max="5888" width="9" style="98"/>
    <col min="5889" max="5889" width="28.08984375" style="98" customWidth="1"/>
    <col min="5890" max="5890" width="10" style="98" customWidth="1"/>
    <col min="5891" max="5891" width="14.36328125" style="98" customWidth="1"/>
    <col min="5892" max="5892" width="8" style="98" customWidth="1"/>
    <col min="5893" max="5893" width="38" style="98" customWidth="1"/>
    <col min="5894" max="5894" width="48.08984375" style="98" customWidth="1"/>
    <col min="5895" max="6144" width="9" style="98"/>
    <col min="6145" max="6145" width="28.08984375" style="98" customWidth="1"/>
    <col min="6146" max="6146" width="10" style="98" customWidth="1"/>
    <col min="6147" max="6147" width="14.36328125" style="98" customWidth="1"/>
    <col min="6148" max="6148" width="8" style="98" customWidth="1"/>
    <col min="6149" max="6149" width="38" style="98" customWidth="1"/>
    <col min="6150" max="6150" width="48.08984375" style="98" customWidth="1"/>
    <col min="6151" max="6400" width="9" style="98"/>
    <col min="6401" max="6401" width="28.08984375" style="98" customWidth="1"/>
    <col min="6402" max="6402" width="10" style="98" customWidth="1"/>
    <col min="6403" max="6403" width="14.36328125" style="98" customWidth="1"/>
    <col min="6404" max="6404" width="8" style="98" customWidth="1"/>
    <col min="6405" max="6405" width="38" style="98" customWidth="1"/>
    <col min="6406" max="6406" width="48.08984375" style="98" customWidth="1"/>
    <col min="6407" max="6656" width="9" style="98"/>
    <col min="6657" max="6657" width="28.08984375" style="98" customWidth="1"/>
    <col min="6658" max="6658" width="10" style="98" customWidth="1"/>
    <col min="6659" max="6659" width="14.36328125" style="98" customWidth="1"/>
    <col min="6660" max="6660" width="8" style="98" customWidth="1"/>
    <col min="6661" max="6661" width="38" style="98" customWidth="1"/>
    <col min="6662" max="6662" width="48.08984375" style="98" customWidth="1"/>
    <col min="6663" max="6912" width="9" style="98"/>
    <col min="6913" max="6913" width="28.08984375" style="98" customWidth="1"/>
    <col min="6914" max="6914" width="10" style="98" customWidth="1"/>
    <col min="6915" max="6915" width="14.36328125" style="98" customWidth="1"/>
    <col min="6916" max="6916" width="8" style="98" customWidth="1"/>
    <col min="6917" max="6917" width="38" style="98" customWidth="1"/>
    <col min="6918" max="6918" width="48.08984375" style="98" customWidth="1"/>
    <col min="6919" max="7168" width="9" style="98"/>
    <col min="7169" max="7169" width="28.08984375" style="98" customWidth="1"/>
    <col min="7170" max="7170" width="10" style="98" customWidth="1"/>
    <col min="7171" max="7171" width="14.36328125" style="98" customWidth="1"/>
    <col min="7172" max="7172" width="8" style="98" customWidth="1"/>
    <col min="7173" max="7173" width="38" style="98" customWidth="1"/>
    <col min="7174" max="7174" width="48.08984375" style="98" customWidth="1"/>
    <col min="7175" max="7424" width="9" style="98"/>
    <col min="7425" max="7425" width="28.08984375" style="98" customWidth="1"/>
    <col min="7426" max="7426" width="10" style="98" customWidth="1"/>
    <col min="7427" max="7427" width="14.36328125" style="98" customWidth="1"/>
    <col min="7428" max="7428" width="8" style="98" customWidth="1"/>
    <col min="7429" max="7429" width="38" style="98" customWidth="1"/>
    <col min="7430" max="7430" width="48.08984375" style="98" customWidth="1"/>
    <col min="7431" max="7680" width="9" style="98"/>
    <col min="7681" max="7681" width="28.08984375" style="98" customWidth="1"/>
    <col min="7682" max="7682" width="10" style="98" customWidth="1"/>
    <col min="7683" max="7683" width="14.36328125" style="98" customWidth="1"/>
    <col min="7684" max="7684" width="8" style="98" customWidth="1"/>
    <col min="7685" max="7685" width="38" style="98" customWidth="1"/>
    <col min="7686" max="7686" width="48.08984375" style="98" customWidth="1"/>
    <col min="7687" max="7936" width="9" style="98"/>
    <col min="7937" max="7937" width="28.08984375" style="98" customWidth="1"/>
    <col min="7938" max="7938" width="10" style="98" customWidth="1"/>
    <col min="7939" max="7939" width="14.36328125" style="98" customWidth="1"/>
    <col min="7940" max="7940" width="8" style="98" customWidth="1"/>
    <col min="7941" max="7941" width="38" style="98" customWidth="1"/>
    <col min="7942" max="7942" width="48.08984375" style="98" customWidth="1"/>
    <col min="7943" max="8192" width="9" style="98"/>
    <col min="8193" max="8193" width="28.08984375" style="98" customWidth="1"/>
    <col min="8194" max="8194" width="10" style="98" customWidth="1"/>
    <col min="8195" max="8195" width="14.36328125" style="98" customWidth="1"/>
    <col min="8196" max="8196" width="8" style="98" customWidth="1"/>
    <col min="8197" max="8197" width="38" style="98" customWidth="1"/>
    <col min="8198" max="8198" width="48.08984375" style="98" customWidth="1"/>
    <col min="8199" max="8448" width="9" style="98"/>
    <col min="8449" max="8449" width="28.08984375" style="98" customWidth="1"/>
    <col min="8450" max="8450" width="10" style="98" customWidth="1"/>
    <col min="8451" max="8451" width="14.36328125" style="98" customWidth="1"/>
    <col min="8452" max="8452" width="8" style="98" customWidth="1"/>
    <col min="8453" max="8453" width="38" style="98" customWidth="1"/>
    <col min="8454" max="8454" width="48.08984375" style="98" customWidth="1"/>
    <col min="8455" max="8704" width="9" style="98"/>
    <col min="8705" max="8705" width="28.08984375" style="98" customWidth="1"/>
    <col min="8706" max="8706" width="10" style="98" customWidth="1"/>
    <col min="8707" max="8707" width="14.36328125" style="98" customWidth="1"/>
    <col min="8708" max="8708" width="8" style="98" customWidth="1"/>
    <col min="8709" max="8709" width="38" style="98" customWidth="1"/>
    <col min="8710" max="8710" width="48.08984375" style="98" customWidth="1"/>
    <col min="8711" max="8960" width="9" style="98"/>
    <col min="8961" max="8961" width="28.08984375" style="98" customWidth="1"/>
    <col min="8962" max="8962" width="10" style="98" customWidth="1"/>
    <col min="8963" max="8963" width="14.36328125" style="98" customWidth="1"/>
    <col min="8964" max="8964" width="8" style="98" customWidth="1"/>
    <col min="8965" max="8965" width="38" style="98" customWidth="1"/>
    <col min="8966" max="8966" width="48.08984375" style="98" customWidth="1"/>
    <col min="8967" max="9216" width="9" style="98"/>
    <col min="9217" max="9217" width="28.08984375" style="98" customWidth="1"/>
    <col min="9218" max="9218" width="10" style="98" customWidth="1"/>
    <col min="9219" max="9219" width="14.36328125" style="98" customWidth="1"/>
    <col min="9220" max="9220" width="8" style="98" customWidth="1"/>
    <col min="9221" max="9221" width="38" style="98" customWidth="1"/>
    <col min="9222" max="9222" width="48.08984375" style="98" customWidth="1"/>
    <col min="9223" max="9472" width="9" style="98"/>
    <col min="9473" max="9473" width="28.08984375" style="98" customWidth="1"/>
    <col min="9474" max="9474" width="10" style="98" customWidth="1"/>
    <col min="9475" max="9475" width="14.36328125" style="98" customWidth="1"/>
    <col min="9476" max="9476" width="8" style="98" customWidth="1"/>
    <col min="9477" max="9477" width="38" style="98" customWidth="1"/>
    <col min="9478" max="9478" width="48.08984375" style="98" customWidth="1"/>
    <col min="9479" max="9728" width="9" style="98"/>
    <col min="9729" max="9729" width="28.08984375" style="98" customWidth="1"/>
    <col min="9730" max="9730" width="10" style="98" customWidth="1"/>
    <col min="9731" max="9731" width="14.36328125" style="98" customWidth="1"/>
    <col min="9732" max="9732" width="8" style="98" customWidth="1"/>
    <col min="9733" max="9733" width="38" style="98" customWidth="1"/>
    <col min="9734" max="9734" width="48.08984375" style="98" customWidth="1"/>
    <col min="9735" max="9984" width="9" style="98"/>
    <col min="9985" max="9985" width="28.08984375" style="98" customWidth="1"/>
    <col min="9986" max="9986" width="10" style="98" customWidth="1"/>
    <col min="9987" max="9987" width="14.36328125" style="98" customWidth="1"/>
    <col min="9988" max="9988" width="8" style="98" customWidth="1"/>
    <col min="9989" max="9989" width="38" style="98" customWidth="1"/>
    <col min="9990" max="9990" width="48.08984375" style="98" customWidth="1"/>
    <col min="9991" max="10240" width="9" style="98"/>
    <col min="10241" max="10241" width="28.08984375" style="98" customWidth="1"/>
    <col min="10242" max="10242" width="10" style="98" customWidth="1"/>
    <col min="10243" max="10243" width="14.36328125" style="98" customWidth="1"/>
    <col min="10244" max="10244" width="8" style="98" customWidth="1"/>
    <col min="10245" max="10245" width="38" style="98" customWidth="1"/>
    <col min="10246" max="10246" width="48.08984375" style="98" customWidth="1"/>
    <col min="10247" max="10496" width="9" style="98"/>
    <col min="10497" max="10497" width="28.08984375" style="98" customWidth="1"/>
    <col min="10498" max="10498" width="10" style="98" customWidth="1"/>
    <col min="10499" max="10499" width="14.36328125" style="98" customWidth="1"/>
    <col min="10500" max="10500" width="8" style="98" customWidth="1"/>
    <col min="10501" max="10501" width="38" style="98" customWidth="1"/>
    <col min="10502" max="10502" width="48.08984375" style="98" customWidth="1"/>
    <col min="10503" max="10752" width="9" style="98"/>
    <col min="10753" max="10753" width="28.08984375" style="98" customWidth="1"/>
    <col min="10754" max="10754" width="10" style="98" customWidth="1"/>
    <col min="10755" max="10755" width="14.36328125" style="98" customWidth="1"/>
    <col min="10756" max="10756" width="8" style="98" customWidth="1"/>
    <col min="10757" max="10757" width="38" style="98" customWidth="1"/>
    <col min="10758" max="10758" width="48.08984375" style="98" customWidth="1"/>
    <col min="10759" max="11008" width="9" style="98"/>
    <col min="11009" max="11009" width="28.08984375" style="98" customWidth="1"/>
    <col min="11010" max="11010" width="10" style="98" customWidth="1"/>
    <col min="11011" max="11011" width="14.36328125" style="98" customWidth="1"/>
    <col min="11012" max="11012" width="8" style="98" customWidth="1"/>
    <col min="11013" max="11013" width="38" style="98" customWidth="1"/>
    <col min="11014" max="11014" width="48.08984375" style="98" customWidth="1"/>
    <col min="11015" max="11264" width="9" style="98"/>
    <col min="11265" max="11265" width="28.08984375" style="98" customWidth="1"/>
    <col min="11266" max="11266" width="10" style="98" customWidth="1"/>
    <col min="11267" max="11267" width="14.36328125" style="98" customWidth="1"/>
    <col min="11268" max="11268" width="8" style="98" customWidth="1"/>
    <col min="11269" max="11269" width="38" style="98" customWidth="1"/>
    <col min="11270" max="11270" width="48.08984375" style="98" customWidth="1"/>
    <col min="11271" max="11520" width="9" style="98"/>
    <col min="11521" max="11521" width="28.08984375" style="98" customWidth="1"/>
    <col min="11522" max="11522" width="10" style="98" customWidth="1"/>
    <col min="11523" max="11523" width="14.36328125" style="98" customWidth="1"/>
    <col min="11524" max="11524" width="8" style="98" customWidth="1"/>
    <col min="11525" max="11525" width="38" style="98" customWidth="1"/>
    <col min="11526" max="11526" width="48.08984375" style="98" customWidth="1"/>
    <col min="11527" max="11776" width="9" style="98"/>
    <col min="11777" max="11777" width="28.08984375" style="98" customWidth="1"/>
    <col min="11778" max="11778" width="10" style="98" customWidth="1"/>
    <col min="11779" max="11779" width="14.36328125" style="98" customWidth="1"/>
    <col min="11780" max="11780" width="8" style="98" customWidth="1"/>
    <col min="11781" max="11781" width="38" style="98" customWidth="1"/>
    <col min="11782" max="11782" width="48.08984375" style="98" customWidth="1"/>
    <col min="11783" max="12032" width="9" style="98"/>
    <col min="12033" max="12033" width="28.08984375" style="98" customWidth="1"/>
    <col min="12034" max="12034" width="10" style="98" customWidth="1"/>
    <col min="12035" max="12035" width="14.36328125" style="98" customWidth="1"/>
    <col min="12036" max="12036" width="8" style="98" customWidth="1"/>
    <col min="12037" max="12037" width="38" style="98" customWidth="1"/>
    <col min="12038" max="12038" width="48.08984375" style="98" customWidth="1"/>
    <col min="12039" max="12288" width="9" style="98"/>
    <col min="12289" max="12289" width="28.08984375" style="98" customWidth="1"/>
    <col min="12290" max="12290" width="10" style="98" customWidth="1"/>
    <col min="12291" max="12291" width="14.36328125" style="98" customWidth="1"/>
    <col min="12292" max="12292" width="8" style="98" customWidth="1"/>
    <col min="12293" max="12293" width="38" style="98" customWidth="1"/>
    <col min="12294" max="12294" width="48.08984375" style="98" customWidth="1"/>
    <col min="12295" max="12544" width="9" style="98"/>
    <col min="12545" max="12545" width="28.08984375" style="98" customWidth="1"/>
    <col min="12546" max="12546" width="10" style="98" customWidth="1"/>
    <col min="12547" max="12547" width="14.36328125" style="98" customWidth="1"/>
    <col min="12548" max="12548" width="8" style="98" customWidth="1"/>
    <col min="12549" max="12549" width="38" style="98" customWidth="1"/>
    <col min="12550" max="12550" width="48.08984375" style="98" customWidth="1"/>
    <col min="12551" max="12800" width="9" style="98"/>
    <col min="12801" max="12801" width="28.08984375" style="98" customWidth="1"/>
    <col min="12802" max="12802" width="10" style="98" customWidth="1"/>
    <col min="12803" max="12803" width="14.36328125" style="98" customWidth="1"/>
    <col min="12804" max="12804" width="8" style="98" customWidth="1"/>
    <col min="12805" max="12805" width="38" style="98" customWidth="1"/>
    <col min="12806" max="12806" width="48.08984375" style="98" customWidth="1"/>
    <col min="12807" max="13056" width="9" style="98"/>
    <col min="13057" max="13057" width="28.08984375" style="98" customWidth="1"/>
    <col min="13058" max="13058" width="10" style="98" customWidth="1"/>
    <col min="13059" max="13059" width="14.36328125" style="98" customWidth="1"/>
    <col min="13060" max="13060" width="8" style="98" customWidth="1"/>
    <col min="13061" max="13061" width="38" style="98" customWidth="1"/>
    <col min="13062" max="13062" width="48.08984375" style="98" customWidth="1"/>
    <col min="13063" max="13312" width="9" style="98"/>
    <col min="13313" max="13313" width="28.08984375" style="98" customWidth="1"/>
    <col min="13314" max="13314" width="10" style="98" customWidth="1"/>
    <col min="13315" max="13315" width="14.36328125" style="98" customWidth="1"/>
    <col min="13316" max="13316" width="8" style="98" customWidth="1"/>
    <col min="13317" max="13317" width="38" style="98" customWidth="1"/>
    <col min="13318" max="13318" width="48.08984375" style="98" customWidth="1"/>
    <col min="13319" max="13568" width="9" style="98"/>
    <col min="13569" max="13569" width="28.08984375" style="98" customWidth="1"/>
    <col min="13570" max="13570" width="10" style="98" customWidth="1"/>
    <col min="13571" max="13571" width="14.36328125" style="98" customWidth="1"/>
    <col min="13572" max="13572" width="8" style="98" customWidth="1"/>
    <col min="13573" max="13573" width="38" style="98" customWidth="1"/>
    <col min="13574" max="13574" width="48.08984375" style="98" customWidth="1"/>
    <col min="13575" max="13824" width="9" style="98"/>
    <col min="13825" max="13825" width="28.08984375" style="98" customWidth="1"/>
    <col min="13826" max="13826" width="10" style="98" customWidth="1"/>
    <col min="13827" max="13827" width="14.36328125" style="98" customWidth="1"/>
    <col min="13828" max="13828" width="8" style="98" customWidth="1"/>
    <col min="13829" max="13829" width="38" style="98" customWidth="1"/>
    <col min="13830" max="13830" width="48.08984375" style="98" customWidth="1"/>
    <col min="13831" max="14080" width="9" style="98"/>
    <col min="14081" max="14081" width="28.08984375" style="98" customWidth="1"/>
    <col min="14082" max="14082" width="10" style="98" customWidth="1"/>
    <col min="14083" max="14083" width="14.36328125" style="98" customWidth="1"/>
    <col min="14084" max="14084" width="8" style="98" customWidth="1"/>
    <col min="14085" max="14085" width="38" style="98" customWidth="1"/>
    <col min="14086" max="14086" width="48.08984375" style="98" customWidth="1"/>
    <col min="14087" max="14336" width="9" style="98"/>
    <col min="14337" max="14337" width="28.08984375" style="98" customWidth="1"/>
    <col min="14338" max="14338" width="10" style="98" customWidth="1"/>
    <col min="14339" max="14339" width="14.36328125" style="98" customWidth="1"/>
    <col min="14340" max="14340" width="8" style="98" customWidth="1"/>
    <col min="14341" max="14341" width="38" style="98" customWidth="1"/>
    <col min="14342" max="14342" width="48.08984375" style="98" customWidth="1"/>
    <col min="14343" max="14592" width="9" style="98"/>
    <col min="14593" max="14593" width="28.08984375" style="98" customWidth="1"/>
    <col min="14594" max="14594" width="10" style="98" customWidth="1"/>
    <col min="14595" max="14595" width="14.36328125" style="98" customWidth="1"/>
    <col min="14596" max="14596" width="8" style="98" customWidth="1"/>
    <col min="14597" max="14597" width="38" style="98" customWidth="1"/>
    <col min="14598" max="14598" width="48.08984375" style="98" customWidth="1"/>
    <col min="14599" max="14848" width="9" style="98"/>
    <col min="14849" max="14849" width="28.08984375" style="98" customWidth="1"/>
    <col min="14850" max="14850" width="10" style="98" customWidth="1"/>
    <col min="14851" max="14851" width="14.36328125" style="98" customWidth="1"/>
    <col min="14852" max="14852" width="8" style="98" customWidth="1"/>
    <col min="14853" max="14853" width="38" style="98" customWidth="1"/>
    <col min="14854" max="14854" width="48.08984375" style="98" customWidth="1"/>
    <col min="14855" max="15104" width="9" style="98"/>
    <col min="15105" max="15105" width="28.08984375" style="98" customWidth="1"/>
    <col min="15106" max="15106" width="10" style="98" customWidth="1"/>
    <col min="15107" max="15107" width="14.36328125" style="98" customWidth="1"/>
    <col min="15108" max="15108" width="8" style="98" customWidth="1"/>
    <col min="15109" max="15109" width="38" style="98" customWidth="1"/>
    <col min="15110" max="15110" width="48.08984375" style="98" customWidth="1"/>
    <col min="15111" max="15360" width="9" style="98"/>
    <col min="15361" max="15361" width="28.08984375" style="98" customWidth="1"/>
    <col min="15362" max="15362" width="10" style="98" customWidth="1"/>
    <col min="15363" max="15363" width="14.36328125" style="98" customWidth="1"/>
    <col min="15364" max="15364" width="8" style="98" customWidth="1"/>
    <col min="15365" max="15365" width="38" style="98" customWidth="1"/>
    <col min="15366" max="15366" width="48.08984375" style="98" customWidth="1"/>
    <col min="15367" max="15616" width="9" style="98"/>
    <col min="15617" max="15617" width="28.08984375" style="98" customWidth="1"/>
    <col min="15618" max="15618" width="10" style="98" customWidth="1"/>
    <col min="15619" max="15619" width="14.36328125" style="98" customWidth="1"/>
    <col min="15620" max="15620" width="8" style="98" customWidth="1"/>
    <col min="15621" max="15621" width="38" style="98" customWidth="1"/>
    <col min="15622" max="15622" width="48.08984375" style="98" customWidth="1"/>
    <col min="15623" max="15872" width="9" style="98"/>
    <col min="15873" max="15873" width="28.08984375" style="98" customWidth="1"/>
    <col min="15874" max="15874" width="10" style="98" customWidth="1"/>
    <col min="15875" max="15875" width="14.36328125" style="98" customWidth="1"/>
    <col min="15876" max="15876" width="8" style="98" customWidth="1"/>
    <col min="15877" max="15877" width="38" style="98" customWidth="1"/>
    <col min="15878" max="15878" width="48.08984375" style="98" customWidth="1"/>
    <col min="15879" max="16128" width="9" style="98"/>
    <col min="16129" max="16129" width="28.08984375" style="98" customWidth="1"/>
    <col min="16130" max="16130" width="10" style="98" customWidth="1"/>
    <col min="16131" max="16131" width="14.36328125" style="98" customWidth="1"/>
    <col min="16132" max="16132" width="8" style="98" customWidth="1"/>
    <col min="16133" max="16133" width="38" style="98" customWidth="1"/>
    <col min="16134" max="16134" width="48.08984375" style="98" customWidth="1"/>
    <col min="16135" max="16384" width="9" style="98"/>
  </cols>
  <sheetData>
    <row r="2" spans="1:6" s="95" customFormat="1" ht="75.75" customHeight="1">
      <c r="A2" s="94"/>
      <c r="B2" s="124" t="s">
        <v>46</v>
      </c>
      <c r="C2" s="124"/>
      <c r="D2" s="124"/>
      <c r="E2" s="124"/>
      <c r="F2" s="124"/>
    </row>
    <row r="3" spans="1:6">
      <c r="A3" s="96"/>
      <c r="B3" s="97"/>
      <c r="E3" s="99"/>
    </row>
    <row r="4" spans="1:6" ht="14.25" customHeight="1">
      <c r="A4" s="100" t="s">
        <v>0</v>
      </c>
      <c r="B4" s="125" t="s">
        <v>265</v>
      </c>
      <c r="C4" s="125"/>
      <c r="D4" s="125"/>
      <c r="E4" s="100" t="s">
        <v>1</v>
      </c>
      <c r="F4" s="101" t="s">
        <v>266</v>
      </c>
    </row>
    <row r="5" spans="1:6" ht="14.25" customHeight="1">
      <c r="A5" s="100" t="s">
        <v>2</v>
      </c>
      <c r="B5" s="125" t="s">
        <v>267</v>
      </c>
      <c r="C5" s="125"/>
      <c r="D5" s="125"/>
      <c r="E5" s="100" t="s">
        <v>5</v>
      </c>
      <c r="F5" s="140">
        <v>46244.708333333336</v>
      </c>
    </row>
    <row r="6" spans="1:6" ht="15.75" customHeight="1">
      <c r="A6" s="102" t="s">
        <v>4</v>
      </c>
      <c r="B6" s="126" t="str">
        <f>B5&amp;"_"&amp;"XXX"&amp;"_"&amp;"vx.x"</f>
        <v>CLAWBOT_XXX_vx.x</v>
      </c>
      <c r="C6" s="127"/>
      <c r="D6" s="128"/>
      <c r="E6" s="100" t="s">
        <v>6</v>
      </c>
      <c r="F6" s="103" t="s">
        <v>268</v>
      </c>
    </row>
    <row r="7" spans="1:6">
      <c r="A7" s="104"/>
      <c r="B7" s="105"/>
      <c r="E7" s="106"/>
      <c r="F7" s="97"/>
    </row>
    <row r="8" spans="1:6">
      <c r="A8" s="98"/>
    </row>
    <row r="9" spans="1:6">
      <c r="A9" s="107" t="s">
        <v>7</v>
      </c>
    </row>
    <row r="10" spans="1:6" s="111" customFormat="1">
      <c r="A10" s="108" t="s">
        <v>8</v>
      </c>
      <c r="B10" s="109" t="s">
        <v>6</v>
      </c>
      <c r="C10" s="109" t="s">
        <v>9</v>
      </c>
      <c r="D10" s="109" t="s">
        <v>10</v>
      </c>
      <c r="E10" s="109" t="s">
        <v>11</v>
      </c>
      <c r="F10" s="110" t="s">
        <v>12</v>
      </c>
    </row>
    <row r="11" spans="1:6" s="116" customFormat="1" ht="26.25" customHeight="1">
      <c r="A11" s="141">
        <v>46244.708333333336</v>
      </c>
      <c r="B11" s="112" t="s">
        <v>268</v>
      </c>
      <c r="C11" s="113" t="s">
        <v>269</v>
      </c>
      <c r="D11" s="113" t="s">
        <v>270</v>
      </c>
      <c r="E11" s="114" t="s">
        <v>271</v>
      </c>
      <c r="F11" s="115"/>
    </row>
    <row r="12" spans="1:6" s="116" customFormat="1" ht="21.75" customHeight="1">
      <c r="A12" s="117"/>
      <c r="B12" s="112"/>
      <c r="C12" s="113"/>
      <c r="D12" s="113"/>
      <c r="E12" s="113"/>
      <c r="F12" s="118"/>
    </row>
    <row r="13" spans="1:6" s="116" customFormat="1" ht="19.5" customHeight="1">
      <c r="A13" s="117"/>
      <c r="B13" s="112"/>
      <c r="C13" s="113"/>
      <c r="D13" s="113"/>
      <c r="E13" s="113"/>
      <c r="F13" s="118"/>
    </row>
    <row r="14" spans="1:6" s="116" customFormat="1" ht="21.75" customHeight="1">
      <c r="A14" s="117"/>
      <c r="B14" s="112"/>
      <c r="C14" s="113"/>
      <c r="D14" s="113"/>
      <c r="E14" s="113"/>
      <c r="F14" s="118"/>
    </row>
    <row r="15" spans="1:6" s="116" customFormat="1" ht="19.5" customHeight="1">
      <c r="A15" s="117"/>
      <c r="B15" s="112"/>
      <c r="C15" s="113"/>
      <c r="D15" s="113"/>
      <c r="E15" s="113"/>
      <c r="F15" s="118"/>
    </row>
    <row r="16" spans="1:6" s="116" customFormat="1" ht="21.75" customHeight="1">
      <c r="A16" s="117"/>
      <c r="B16" s="112"/>
      <c r="C16" s="113"/>
      <c r="D16" s="113"/>
      <c r="E16" s="113"/>
      <c r="F16" s="118"/>
    </row>
    <row r="17" spans="1:6" s="116" customFormat="1" ht="19.5" customHeight="1">
      <c r="A17" s="119"/>
      <c r="B17" s="120"/>
      <c r="C17" s="121"/>
      <c r="D17" s="121"/>
      <c r="E17" s="121"/>
      <c r="F17" s="122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workbookViewId="0">
      <selection activeCell="B12" sqref="B12"/>
    </sheetView>
  </sheetViews>
  <sheetFormatPr defaultColWidth="9" defaultRowHeight="12.5"/>
  <cols>
    <col min="1" max="1" width="1.36328125" style="1" customWidth="1"/>
    <col min="2" max="2" width="6.36328125" style="3" customWidth="1"/>
    <col min="3" max="3" width="26.453125" style="4" customWidth="1"/>
    <col min="4" max="4" width="17.08984375" style="4" customWidth="1"/>
    <col min="5" max="5" width="28.08984375" style="4" customWidth="1"/>
    <col min="6" max="6" width="30.6328125" style="4" customWidth="1"/>
    <col min="7" max="16384" width="9" style="1"/>
  </cols>
  <sheetData>
    <row r="1" spans="2:6" ht="24.5">
      <c r="B1" s="5"/>
      <c r="D1" s="6" t="s">
        <v>13</v>
      </c>
      <c r="E1" s="7"/>
    </row>
    <row r="2" spans="2:6" ht="13.5" customHeight="1">
      <c r="B2" s="5"/>
      <c r="D2" s="8"/>
      <c r="E2" s="8"/>
    </row>
    <row r="3" spans="2:6">
      <c r="B3" s="131" t="s">
        <v>0</v>
      </c>
      <c r="C3" s="131"/>
      <c r="D3" s="132" t="str">
        <f>Cover!B4</f>
        <v>Clawbot</v>
      </c>
      <c r="E3" s="132"/>
      <c r="F3" s="132"/>
    </row>
    <row r="4" spans="2:6">
      <c r="B4" s="131" t="s">
        <v>2</v>
      </c>
      <c r="C4" s="131"/>
      <c r="D4" s="132" t="str">
        <f>Cover!B5</f>
        <v>CLAWBOT</v>
      </c>
      <c r="E4" s="132"/>
      <c r="F4" s="132"/>
    </row>
    <row r="5" spans="2:6" s="9" customFormat="1" ht="84.75" customHeight="1">
      <c r="B5" s="129" t="s">
        <v>14</v>
      </c>
      <c r="C5" s="129"/>
      <c r="D5" s="130" t="s">
        <v>272</v>
      </c>
      <c r="E5" s="130"/>
      <c r="F5" s="130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15</v>
      </c>
      <c r="C8" s="16" t="s">
        <v>16</v>
      </c>
      <c r="D8" s="16" t="s">
        <v>17</v>
      </c>
      <c r="E8" s="17" t="s">
        <v>18</v>
      </c>
      <c r="F8" s="18" t="s">
        <v>19</v>
      </c>
    </row>
    <row r="9" spans="2:6" ht="13">
      <c r="B9" s="19">
        <v>1</v>
      </c>
      <c r="C9" s="20" t="s">
        <v>48</v>
      </c>
      <c r="D9" s="93" t="s">
        <v>273</v>
      </c>
      <c r="E9" s="21" t="s">
        <v>49</v>
      </c>
      <c r="F9" s="22" t="s">
        <v>274</v>
      </c>
    </row>
    <row r="10" spans="2:6" ht="13">
      <c r="B10" s="19">
        <v>2</v>
      </c>
      <c r="C10" s="20" t="s">
        <v>88</v>
      </c>
      <c r="D10" s="93" t="s">
        <v>275</v>
      </c>
      <c r="E10" s="21" t="s">
        <v>89</v>
      </c>
      <c r="F10" s="22" t="s">
        <v>276</v>
      </c>
    </row>
    <row r="11" spans="2:6" ht="13">
      <c r="B11" s="19">
        <v>3</v>
      </c>
      <c r="C11" s="20" t="s">
        <v>138</v>
      </c>
      <c r="D11" s="93" t="s">
        <v>277</v>
      </c>
      <c r="E11" s="21" t="s">
        <v>139</v>
      </c>
      <c r="F11" s="22" t="s">
        <v>278</v>
      </c>
    </row>
    <row r="12" spans="2:6" ht="13">
      <c r="B12" s="19">
        <v>4</v>
      </c>
      <c r="C12" s="20" t="s">
        <v>178</v>
      </c>
      <c r="D12" s="93" t="s">
        <v>178</v>
      </c>
      <c r="E12" s="21"/>
      <c r="F12" s="22" t="s">
        <v>279</v>
      </c>
    </row>
    <row r="13" spans="2:6" ht="13">
      <c r="B13" s="19">
        <v>5</v>
      </c>
      <c r="C13" s="20" t="s">
        <v>221</v>
      </c>
      <c r="D13" s="93" t="s">
        <v>221</v>
      </c>
      <c r="E13" s="21"/>
      <c r="F13" s="22" t="s">
        <v>280</v>
      </c>
    </row>
    <row r="14" spans="2:6">
      <c r="B14" s="19"/>
      <c r="C14" s="20"/>
      <c r="D14" s="23"/>
      <c r="E14" s="23"/>
      <c r="F14" s="22"/>
    </row>
    <row r="15" spans="2:6">
      <c r="B15" s="19"/>
      <c r="C15" s="20"/>
      <c r="D15" s="23"/>
      <c r="E15" s="23"/>
      <c r="F15" s="22"/>
    </row>
    <row r="16" spans="2:6">
      <c r="B16" s="19"/>
      <c r="C16" s="20"/>
      <c r="D16" s="23"/>
      <c r="E16" s="23"/>
      <c r="F16" s="22"/>
    </row>
    <row r="17" spans="2:6">
      <c r="B17" s="19"/>
      <c r="C17" s="20"/>
      <c r="D17" s="23"/>
      <c r="E17" s="23"/>
      <c r="F17" s="22"/>
    </row>
    <row r="18" spans="2:6">
      <c r="B18" s="19"/>
      <c r="C18" s="20"/>
      <c r="D18" s="23"/>
      <c r="E18" s="23"/>
      <c r="F18" s="22"/>
    </row>
    <row r="19" spans="2:6">
      <c r="B19" s="19"/>
      <c r="C19" s="20"/>
      <c r="D19" s="23"/>
      <c r="E19" s="23"/>
      <c r="F19" s="22"/>
    </row>
    <row r="20" spans="2:6">
      <c r="B20" s="19"/>
      <c r="C20" s="20"/>
      <c r="D20" s="23"/>
      <c r="E20" s="23"/>
      <c r="F20" s="22"/>
    </row>
    <row r="21" spans="2:6">
      <c r="B21" s="24"/>
      <c r="C21" s="25"/>
      <c r="D21" s="26"/>
      <c r="E21" s="26"/>
      <c r="F21" s="27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>
      <selection activeCell="B2" sqref="B2"/>
    </sheetView>
  </sheetViews>
  <sheetFormatPr defaultColWidth="9" defaultRowHeight="12.5"/>
  <cols>
    <col min="1" max="1" width="4.453125" style="1" customWidth="1"/>
    <col min="2" max="2" width="18.36328125" style="1" customWidth="1"/>
    <col min="3" max="3" width="19.36328125" style="1" customWidth="1"/>
    <col min="4" max="6" width="11.6328125" style="1" customWidth="1"/>
    <col min="7" max="7" width="9" style="1"/>
    <col min="8" max="8" width="35.453125" style="1" customWidth="1"/>
    <col min="9" max="9" width="33.08984375" style="1" customWidth="1"/>
    <col min="10" max="16384" width="9" style="1"/>
  </cols>
  <sheetData>
    <row r="1" spans="1:8" ht="25.5" customHeight="1">
      <c r="B1" s="135" t="s">
        <v>45</v>
      </c>
      <c r="C1" s="135"/>
      <c r="D1" s="135"/>
      <c r="E1" s="135"/>
      <c r="F1" s="135"/>
      <c r="G1" s="135"/>
      <c r="H1" s="135"/>
    </row>
    <row r="2" spans="1:8" ht="14.25" customHeight="1">
      <c r="A2" s="47"/>
      <c r="B2" s="47"/>
      <c r="C2" s="48"/>
      <c r="D2" s="48"/>
      <c r="E2" s="48"/>
      <c r="F2" s="48"/>
      <c r="G2" s="48"/>
      <c r="H2" s="49"/>
    </row>
    <row r="3" spans="1:8" ht="12" customHeight="1">
      <c r="B3" s="2" t="s">
        <v>0</v>
      </c>
      <c r="C3" s="132" t="s">
        <v>265</v>
      </c>
      <c r="D3" s="132"/>
      <c r="E3" s="133" t="s">
        <v>1</v>
      </c>
      <c r="F3" s="133"/>
      <c r="G3" s="50" t="s">
        <v>266</v>
      </c>
      <c r="H3" s="51"/>
    </row>
    <row r="4" spans="1:8" ht="12" customHeight="1">
      <c r="B4" s="2" t="s">
        <v>2</v>
      </c>
      <c r="C4" s="132" t="s">
        <v>267</v>
      </c>
      <c r="D4" s="132"/>
      <c r="E4" s="133" t="s">
        <v>3</v>
      </c>
      <c r="F4" s="133"/>
      <c r="G4" s="50"/>
      <c r="H4" s="51"/>
    </row>
    <row r="5" spans="1:8" ht="12" customHeight="1">
      <c r="B5" s="52" t="s">
        <v>4</v>
      </c>
      <c r="C5" s="132" t="str">
        <f>C4&amp;"_"&amp;"Test Report"&amp;"_"&amp;"vx.x"</f>
        <v>CLAWBOT_Test Report_vx.x</v>
      </c>
      <c r="D5" s="132"/>
      <c r="E5" s="133" t="s">
        <v>5</v>
      </c>
      <c r="F5" s="133"/>
      <c r="G5" s="50"/>
      <c r="H5" s="142">
        <v>46244.708333333336</v>
      </c>
    </row>
    <row r="6" spans="1:8" ht="21.75" customHeight="1">
      <c r="A6" s="47"/>
      <c r="B6" s="52" t="s">
        <v>26</v>
      </c>
      <c r="C6" s="134" t="s">
        <v>281</v>
      </c>
      <c r="D6" s="134"/>
      <c r="E6" s="134"/>
      <c r="F6" s="134"/>
      <c r="G6" s="134"/>
      <c r="H6" s="134"/>
    </row>
    <row r="7" spans="1:8" ht="14.25" customHeight="1">
      <c r="A7" s="47"/>
      <c r="B7" s="53"/>
      <c r="C7" s="54"/>
      <c r="D7" s="48"/>
      <c r="E7" s="48"/>
      <c r="F7" s="48"/>
      <c r="G7" s="48"/>
      <c r="H7" s="49"/>
    </row>
    <row r="8" spans="1:8">
      <c r="B8" s="53"/>
      <c r="C8" s="54"/>
      <c r="D8" s="48"/>
      <c r="E8" s="48"/>
      <c r="F8" s="48"/>
      <c r="G8" s="48"/>
      <c r="H8" s="49"/>
    </row>
    <row r="10" spans="1:8">
      <c r="A10" s="55"/>
      <c r="B10" s="56" t="s">
        <v>15</v>
      </c>
      <c r="C10" s="57" t="s">
        <v>27</v>
      </c>
      <c r="D10" s="58" t="s">
        <v>36</v>
      </c>
      <c r="E10" s="57" t="s">
        <v>37</v>
      </c>
      <c r="F10" s="57" t="s">
        <v>35</v>
      </c>
      <c r="G10" s="59" t="s">
        <v>22</v>
      </c>
      <c r="H10" s="60" t="s">
        <v>28</v>
      </c>
    </row>
    <row r="11" spans="1:8">
      <c r="A11" s="55"/>
      <c r="B11" s="61">
        <v>1</v>
      </c>
      <c r="C11" s="62" t="str">
        <f>'WF01 Onboarding'!B2</f>
        <v>Tenant onboarding and initial configuration</v>
      </c>
      <c r="D11" s="63">
        <f>'WF01 Onboarding'!B6</f>
        <v>0</v>
      </c>
      <c r="E11" s="63">
        <f>'WF01 Onboarding'!C6</f>
        <v>0</v>
      </c>
      <c r="F11" s="63">
        <f>'WF01 Onboarding'!D6</f>
        <v>7</v>
      </c>
      <c r="G11" s="63">
        <f>'WF01 Onboarding'!E6</f>
        <v>0</v>
      </c>
      <c r="H11" s="65">
        <f>'WF01 Onboarding'!B4</f>
        <v>7</v>
      </c>
    </row>
    <row r="12" spans="1:8">
      <c r="A12" s="55"/>
      <c r="B12" s="61">
        <v>2</v>
      </c>
      <c r="C12" s="62" t="str">
        <f>'WF02 Auto-reply'!B2</f>
        <v>End-to-end auto-reply, handover and lead creation</v>
      </c>
      <c r="D12" s="63">
        <f>'WF02 Auto-reply'!B6</f>
        <v>0</v>
      </c>
      <c r="E12" s="63">
        <f>'WF02 Auto-reply'!C6</f>
        <v>0</v>
      </c>
      <c r="F12" s="63">
        <f>'WF02 Auto-reply'!D6</f>
        <v>9</v>
      </c>
      <c r="G12" s="63">
        <f>'WF02 Auto-reply'!E6</f>
        <v>0</v>
      </c>
      <c r="H12" s="63">
        <f>'WF02 Auto-reply'!B4</f>
        <v>9</v>
      </c>
    </row>
    <row r="13" spans="1:8">
      <c r="A13" s="55"/>
      <c r="B13" s="61">
        <v>3</v>
      </c>
      <c r="C13" s="62" t="str">
        <f>'WF03 Incident Recovery'!B2</f>
        <v>Recovery from job failures, queue outages and KB deploy errors</v>
      </c>
      <c r="D13" s="63">
        <f>'WF03 Incident Recovery'!B6</f>
        <v>0</v>
      </c>
      <c r="E13" s="63">
        <f>'WF03 Incident Recovery'!C6</f>
        <v>0</v>
      </c>
      <c r="F13" s="63">
        <f>'WF03 Incident Recovery'!D6</f>
        <v>7</v>
      </c>
      <c r="G13" s="63">
        <f>'WF03 Incident Recovery'!E6</f>
        <v>0</v>
      </c>
      <c r="H13" s="63">
        <f>'WF03 Incident Recovery'!B4</f>
        <v>7</v>
      </c>
    </row>
    <row r="14" spans="1:8">
      <c r="A14" s="55"/>
      <c r="B14" s="61">
        <v>4</v>
      </c>
      <c r="C14" s="62" t="str">
        <f>'WF04 Lead Pipeline'!B2</f>
        <v>WF04 Lead Pipeline</v>
      </c>
      <c r="D14" s="63">
        <f>'WF04 Lead Pipeline'!B6</f>
        <v>0</v>
      </c>
      <c r="E14" s="63">
        <f>'WF04 Lead Pipeline'!C6</f>
        <v>0</v>
      </c>
      <c r="F14" s="63">
        <f>'WF04 Lead Pipeline'!D6</f>
        <v>8</v>
      </c>
      <c r="G14" s="63">
        <f>'WF04 Lead Pipeline'!E6</f>
        <v>0</v>
      </c>
      <c r="H14" s="63">
        <f>'WF04 Lead Pipeline'!B4</f>
        <v>8</v>
      </c>
    </row>
    <row r="15" spans="1:8">
      <c r="A15" s="55"/>
      <c r="B15" s="61">
        <v>5</v>
      </c>
      <c r="C15" s="62" t="str">
        <f>'WF05 Content Pipeline'!B2</f>
        <v>WF05 Content Pipeline</v>
      </c>
      <c r="D15" s="63">
        <f>'WF05 Content Pipeline'!B6</f>
        <v>0</v>
      </c>
      <c r="E15" s="63">
        <f>'WF05 Content Pipeline'!C6</f>
        <v>0</v>
      </c>
      <c r="F15" s="63">
        <f>'WF05 Content Pipeline'!D6</f>
        <v>8</v>
      </c>
      <c r="G15" s="63">
        <f>'WF05 Content Pipeline'!E6</f>
        <v>0</v>
      </c>
      <c r="H15" s="63">
        <f>'WF05 Content Pipeline'!B4</f>
        <v>8</v>
      </c>
    </row>
    <row r="16" spans="1:8">
      <c r="A16" s="55"/>
      <c r="B16" s="61"/>
      <c r="C16" s="62"/>
      <c r="D16" s="63"/>
      <c r="E16" s="63"/>
      <c r="F16" s="63"/>
      <c r="G16" s="64"/>
      <c r="H16" s="65"/>
    </row>
    <row r="17" spans="1:8">
      <c r="A17" s="55"/>
      <c r="B17" s="66"/>
      <c r="C17" s="67" t="s">
        <v>29</v>
      </c>
      <c r="D17" s="68">
        <f>SUM(D11:D15)</f>
        <v>0</v>
      </c>
      <c r="E17" s="68">
        <f>SUM(E11:E15)</f>
        <v>0</v>
      </c>
      <c r="F17" s="68">
        <f>SUM(F11:F15)</f>
        <v>39</v>
      </c>
      <c r="G17" s="68">
        <f>SUM(G11:G15)</f>
        <v>0</v>
      </c>
      <c r="H17" s="69">
        <f>SUM(H11:H15)</f>
        <v>39</v>
      </c>
    </row>
    <row r="18" spans="1:8">
      <c r="B18" s="70"/>
      <c r="D18" s="71"/>
      <c r="E18" s="72"/>
      <c r="F18" s="72"/>
      <c r="G18" s="72"/>
      <c r="H18" s="72"/>
    </row>
    <row r="19" spans="1:8">
      <c r="C19" s="73" t="s">
        <v>30</v>
      </c>
      <c r="E19" s="74">
        <f>(D17+E17)*100/(H17-G17)</f>
        <v>0</v>
      </c>
      <c r="F19" s="1" t="s">
        <v>31</v>
      </c>
      <c r="H19" s="33"/>
    </row>
    <row r="20" spans="1:8">
      <c r="C20" s="73" t="s">
        <v>32</v>
      </c>
      <c r="E20" s="74">
        <f>D17*100/(H17-G17)</f>
        <v>0</v>
      </c>
      <c r="F20" s="1" t="s">
        <v>31</v>
      </c>
      <c r="H20" s="3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D655-3BC4-4A39-AC75-0F8A96BA5ED8}">
  <sheetPr>
    <outlinePr summaryBelow="0" summaryRight="0"/>
  </sheetPr>
  <dimension ref="A1:R20"/>
  <sheetViews>
    <sheetView zoomScale="85" zoomScaleNormal="85" workbookViewId="0">
      <pane ySplit="10" topLeftCell="A11" activePane="bottomLeft" state="frozen"/>
      <selection pane="bottomLeft" activeCell="A19" sqref="A19:XFD19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/>
    <col min="7" max="7" width="10.6328125" style="1" customWidth="1" outlineLevel="1"/>
    <col min="8" max="8" width="7" style="1" bestFit="1" customWidth="1" outlineLevel="1"/>
    <col min="9" max="9" width="9.36328125" style="1" customWidth="1"/>
    <col min="10" max="10" width="10.6328125" style="1" customWidth="1" outlineLevel="1"/>
    <col min="11" max="11" width="7" style="1" bestFit="1" customWidth="1" outlineLevel="1"/>
    <col min="12" max="12" width="9.36328125" style="1" customWidth="1"/>
    <col min="13" max="13" width="10.6328125" style="1" customWidth="1" outlineLevel="1"/>
    <col min="14" max="14" width="7" style="1" bestFit="1" customWidth="1" outlineLevel="1"/>
    <col min="15" max="15" width="28.6328125" style="1" customWidth="1"/>
    <col min="16" max="16" width="10.08984375" style="1" customWidth="1"/>
    <col min="17" max="17" width="8.08984375" style="28" customWidth="1"/>
    <col min="18" max="18" width="7.6328125" style="1" hidden="1" customWidth="1"/>
    <col min="19" max="16384" width="9" style="1"/>
  </cols>
  <sheetData>
    <row r="1" spans="1:18" ht="13" thickBot="1"/>
    <row r="2" spans="1:18" s="30" customFormat="1" ht="15" customHeight="1">
      <c r="A2" s="91" t="s">
        <v>47</v>
      </c>
      <c r="B2" s="136" t="s">
        <v>48</v>
      </c>
      <c r="C2" s="136"/>
      <c r="D2" s="136"/>
      <c r="E2" s="137"/>
      <c r="F2" s="81"/>
      <c r="G2" s="75"/>
      <c r="H2" s="9"/>
      <c r="I2" s="81"/>
      <c r="J2" s="75"/>
      <c r="K2" s="9"/>
      <c r="L2" s="81"/>
      <c r="M2" s="75"/>
      <c r="N2" s="9"/>
      <c r="O2" s="9"/>
      <c r="P2" s="9"/>
      <c r="Q2" s="29"/>
      <c r="R2" s="30" t="s">
        <v>36</v>
      </c>
    </row>
    <row r="3" spans="1:18" s="30" customFormat="1">
      <c r="A3" s="92" t="s">
        <v>20</v>
      </c>
      <c r="B3" s="138" t="s">
        <v>49</v>
      </c>
      <c r="C3" s="138"/>
      <c r="D3" s="138"/>
      <c r="E3" s="139"/>
      <c r="F3" s="81"/>
      <c r="G3" s="75"/>
      <c r="H3" s="9"/>
      <c r="I3" s="81"/>
      <c r="J3" s="75"/>
      <c r="K3" s="9"/>
      <c r="L3" s="81"/>
      <c r="M3" s="75"/>
      <c r="N3" s="9"/>
      <c r="O3" s="9"/>
      <c r="P3" s="9"/>
      <c r="Q3" s="29"/>
      <c r="R3" s="30" t="s">
        <v>37</v>
      </c>
    </row>
    <row r="4" spans="1:18" s="30" customFormat="1" ht="18" customHeight="1">
      <c r="A4" s="92" t="s">
        <v>44</v>
      </c>
      <c r="B4" s="138">
        <f>COUNTIF($A$12:$A$1000,"TC-*")</f>
        <v>7</v>
      </c>
      <c r="C4" s="138"/>
      <c r="D4" s="138"/>
      <c r="E4" s="139"/>
      <c r="F4" s="81"/>
      <c r="G4" s="75"/>
      <c r="H4" s="9"/>
      <c r="I4" s="81"/>
      <c r="J4" s="75"/>
      <c r="K4" s="9"/>
      <c r="L4" s="81"/>
      <c r="M4" s="75"/>
      <c r="N4" s="9"/>
      <c r="O4" s="9"/>
      <c r="P4" s="9"/>
      <c r="Q4" s="29"/>
      <c r="R4" s="30" t="s">
        <v>35</v>
      </c>
    </row>
    <row r="5" spans="1:18" s="30" customFormat="1" ht="19.5" customHeight="1">
      <c r="A5" s="85" t="s">
        <v>38</v>
      </c>
      <c r="B5" s="83" t="s">
        <v>36</v>
      </c>
      <c r="C5" s="83" t="s">
        <v>37</v>
      </c>
      <c r="D5" s="83" t="s">
        <v>35</v>
      </c>
      <c r="E5" s="86" t="s">
        <v>22</v>
      </c>
      <c r="F5" s="76"/>
      <c r="G5" s="76"/>
      <c r="H5" s="31"/>
      <c r="I5" s="76"/>
      <c r="J5" s="76"/>
      <c r="K5" s="31"/>
      <c r="L5" s="76"/>
      <c r="M5" s="76"/>
      <c r="N5" s="31"/>
      <c r="O5" s="31"/>
      <c r="P5" s="31"/>
      <c r="Q5" s="32"/>
      <c r="R5" s="30" t="s">
        <v>22</v>
      </c>
    </row>
    <row r="6" spans="1:18" s="30" customFormat="1" ht="15" customHeight="1">
      <c r="A6" s="85" t="s">
        <v>39</v>
      </c>
      <c r="B6" s="84">
        <f>COUNTIF($F10:$F999,B5)</f>
        <v>0</v>
      </c>
      <c r="C6" s="84">
        <f>COUNTIF($F10:$F999,C5)</f>
        <v>0</v>
      </c>
      <c r="D6" s="84">
        <f>COUNTIF($F10:$F999,D5)</f>
        <v>7</v>
      </c>
      <c r="E6" s="90">
        <f>COUNTIF($F10:$F999,E5)</f>
        <v>0</v>
      </c>
      <c r="F6" s="77"/>
      <c r="G6" s="77"/>
      <c r="H6" s="31"/>
      <c r="I6" s="77"/>
      <c r="J6" s="77"/>
      <c r="K6" s="31"/>
      <c r="L6" s="77"/>
      <c r="M6" s="77"/>
      <c r="N6" s="31"/>
      <c r="O6" s="31"/>
      <c r="P6" s="31"/>
      <c r="Q6" s="32"/>
    </row>
    <row r="7" spans="1:18" s="30" customFormat="1" ht="15" customHeight="1">
      <c r="A7" s="85" t="s">
        <v>41</v>
      </c>
      <c r="B7" s="84">
        <f>COUNTIF($I10:$I998,B5)</f>
        <v>0</v>
      </c>
      <c r="C7" s="84">
        <f>COUNTIF($I10:$I998,C5)</f>
        <v>0</v>
      </c>
      <c r="D7" s="84">
        <f>COUNTIF($I10:$I998,D5)</f>
        <v>7</v>
      </c>
      <c r="E7" s="90">
        <f>COUNTIF($I10:$I998,E5)</f>
        <v>0</v>
      </c>
      <c r="F7" s="77"/>
      <c r="G7" s="77"/>
      <c r="H7" s="31"/>
      <c r="I7" s="77"/>
      <c r="J7" s="77"/>
      <c r="K7" s="31"/>
      <c r="L7" s="77"/>
      <c r="M7" s="77"/>
      <c r="N7" s="31"/>
      <c r="O7" s="31"/>
      <c r="P7" s="31"/>
      <c r="Q7" s="32"/>
    </row>
    <row r="8" spans="1:18" s="30" customFormat="1" ht="15" customHeight="1" thickBot="1">
      <c r="A8" s="87" t="s">
        <v>42</v>
      </c>
      <c r="B8" s="88">
        <f>COUNTIF($L10:$L998,B5)</f>
        <v>0</v>
      </c>
      <c r="C8" s="88">
        <f>COUNTIF($L10:$L998,C5)</f>
        <v>0</v>
      </c>
      <c r="D8" s="88">
        <f>COUNTIF($L10:$L998,D5)</f>
        <v>7</v>
      </c>
      <c r="E8" s="89">
        <f>COUNTIF($L10:$L998,E5)</f>
        <v>0</v>
      </c>
      <c r="F8" s="77"/>
      <c r="G8" s="77"/>
      <c r="H8" s="31"/>
      <c r="I8" s="77"/>
      <c r="J8" s="77"/>
      <c r="K8" s="31"/>
      <c r="L8" s="77"/>
      <c r="M8" s="77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2" t="s">
        <v>43</v>
      </c>
      <c r="B10" s="82" t="s">
        <v>23</v>
      </c>
      <c r="C10" s="82" t="s">
        <v>34</v>
      </c>
      <c r="D10" s="82" t="s">
        <v>33</v>
      </c>
      <c r="E10" s="82" t="s">
        <v>40</v>
      </c>
      <c r="F10" s="82" t="s">
        <v>39</v>
      </c>
      <c r="G10" s="82" t="s">
        <v>24</v>
      </c>
      <c r="H10" s="82" t="s">
        <v>21</v>
      </c>
      <c r="I10" s="82" t="s">
        <v>41</v>
      </c>
      <c r="J10" s="82" t="s">
        <v>24</v>
      </c>
      <c r="K10" s="82" t="s">
        <v>21</v>
      </c>
      <c r="L10" s="82" t="s">
        <v>42</v>
      </c>
      <c r="M10" s="82" t="s">
        <v>24</v>
      </c>
      <c r="N10" s="82" t="s">
        <v>21</v>
      </c>
      <c r="O10" s="82" t="s">
        <v>25</v>
      </c>
      <c r="Q10" s="34"/>
    </row>
    <row r="11" spans="1:18" s="30" customFormat="1" ht="15.75" customHeight="1">
      <c r="A11" s="78" t="s">
        <v>50</v>
      </c>
      <c r="B11" s="78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0"/>
      <c r="Q11" s="38"/>
    </row>
    <row r="12" spans="1:18" s="44" customFormat="1" ht="121" customHeight="1" outlineLevel="1">
      <c r="A12" s="39" t="s">
        <v>51</v>
      </c>
      <c r="B12" s="40" t="s">
        <v>52</v>
      </c>
      <c r="C12" s="40" t="s">
        <v>53</v>
      </c>
      <c r="D12" s="41" t="s">
        <v>54</v>
      </c>
      <c r="E12" s="41" t="s">
        <v>55</v>
      </c>
      <c r="F12" s="39" t="s">
        <v>35</v>
      </c>
      <c r="G12" s="39"/>
      <c r="H12" s="39"/>
      <c r="I12" s="39" t="s">
        <v>35</v>
      </c>
      <c r="J12" s="39"/>
      <c r="K12" s="39"/>
      <c r="L12" s="39" t="s">
        <v>35</v>
      </c>
      <c r="M12" s="39"/>
      <c r="N12" s="39"/>
      <c r="O12" s="42"/>
      <c r="Q12" s="43"/>
    </row>
    <row r="13" spans="1:18" ht="37.5" outlineLevel="1">
      <c r="A13" s="39" t="s">
        <v>56</v>
      </c>
      <c r="B13" s="39" t="s">
        <v>57</v>
      </c>
      <c r="C13" s="39" t="s">
        <v>58</v>
      </c>
      <c r="D13" s="45" t="s">
        <v>59</v>
      </c>
      <c r="E13" s="45" t="s">
        <v>60</v>
      </c>
      <c r="F13" s="39" t="s">
        <v>35</v>
      </c>
      <c r="G13" s="39"/>
      <c r="H13" s="39"/>
      <c r="I13" s="39" t="s">
        <v>35</v>
      </c>
      <c r="J13" s="39"/>
      <c r="K13" s="39"/>
      <c r="L13" s="39" t="s">
        <v>35</v>
      </c>
      <c r="M13" s="39"/>
      <c r="N13" s="39"/>
      <c r="O13" s="42"/>
      <c r="Q13" s="43"/>
    </row>
    <row r="14" spans="1:18" ht="37.5" outlineLevel="1">
      <c r="A14" s="39" t="s">
        <v>61</v>
      </c>
      <c r="B14" s="39" t="s">
        <v>62</v>
      </c>
      <c r="C14" s="39" t="s">
        <v>63</v>
      </c>
      <c r="D14" s="45" t="s">
        <v>64</v>
      </c>
      <c r="E14" s="45" t="s">
        <v>65</v>
      </c>
      <c r="F14" s="39" t="s">
        <v>35</v>
      </c>
      <c r="G14" s="39"/>
      <c r="H14" s="39"/>
      <c r="I14" s="39" t="s">
        <v>35</v>
      </c>
      <c r="J14" s="39"/>
      <c r="K14" s="39"/>
      <c r="L14" s="39" t="s">
        <v>35</v>
      </c>
      <c r="M14" s="39"/>
      <c r="N14" s="39"/>
      <c r="O14" s="42"/>
      <c r="Q14" s="43"/>
    </row>
    <row r="15" spans="1:18" ht="12.5" customHeight="1" outlineLevel="1">
      <c r="A15" s="39" t="s">
        <v>66</v>
      </c>
      <c r="B15" s="39" t="s">
        <v>67</v>
      </c>
      <c r="C15" s="39" t="s">
        <v>68</v>
      </c>
      <c r="D15" s="39" t="s">
        <v>69</v>
      </c>
      <c r="E15" s="39" t="s">
        <v>70</v>
      </c>
      <c r="F15" s="39" t="s">
        <v>35</v>
      </c>
      <c r="G15" s="39"/>
      <c r="H15" s="39"/>
      <c r="I15" s="39" t="s">
        <v>35</v>
      </c>
      <c r="J15" s="39"/>
      <c r="K15" s="39"/>
      <c r="L15" s="39" t="s">
        <v>35</v>
      </c>
      <c r="M15" s="39"/>
      <c r="N15" s="39"/>
      <c r="O15" s="42"/>
      <c r="Q15" s="43"/>
    </row>
    <row r="16" spans="1:18" s="30" customFormat="1" ht="15.75" customHeight="1">
      <c r="A16" s="78" t="s">
        <v>71</v>
      </c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7"/>
      <c r="Q16" s="38"/>
    </row>
    <row r="17" spans="1:17" ht="50" outlineLevel="1">
      <c r="A17" s="39" t="s">
        <v>72</v>
      </c>
      <c r="B17" s="39" t="s">
        <v>73</v>
      </c>
      <c r="C17" s="39" t="s">
        <v>74</v>
      </c>
      <c r="D17" s="39" t="s">
        <v>75</v>
      </c>
      <c r="E17" s="39" t="s">
        <v>76</v>
      </c>
      <c r="F17" s="39" t="s">
        <v>35</v>
      </c>
      <c r="G17" s="46"/>
      <c r="H17" s="46"/>
      <c r="I17" s="39" t="s">
        <v>35</v>
      </c>
      <c r="J17" s="46"/>
      <c r="K17" s="46"/>
      <c r="L17" s="39" t="s">
        <v>35</v>
      </c>
      <c r="M17" s="46"/>
      <c r="N17" s="46"/>
      <c r="O17" s="46"/>
    </row>
    <row r="18" spans="1:17" ht="12.5" customHeight="1" outlineLevel="1">
      <c r="A18" s="39" t="s">
        <v>77</v>
      </c>
      <c r="B18" s="39" t="s">
        <v>78</v>
      </c>
      <c r="C18" s="39" t="s">
        <v>79</v>
      </c>
      <c r="D18" s="39" t="s">
        <v>80</v>
      </c>
      <c r="E18" s="39" t="s">
        <v>81</v>
      </c>
      <c r="F18" s="39" t="s">
        <v>35</v>
      </c>
      <c r="G18" s="39"/>
      <c r="H18" s="39"/>
      <c r="I18" s="39" t="s">
        <v>35</v>
      </c>
      <c r="J18" s="39"/>
      <c r="K18" s="39"/>
      <c r="L18" s="39" t="s">
        <v>35</v>
      </c>
      <c r="M18" s="39"/>
      <c r="N18" s="39"/>
      <c r="O18" s="42"/>
      <c r="Q18" s="43"/>
    </row>
    <row r="19" spans="1:17" s="30" customFormat="1" ht="15.75" customHeight="1">
      <c r="A19" s="78" t="s">
        <v>82</v>
      </c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7"/>
      <c r="Q19" s="38"/>
    </row>
    <row r="20" spans="1:17" ht="62.5" outlineLevel="1">
      <c r="A20" s="39" t="s">
        <v>83</v>
      </c>
      <c r="B20" s="39" t="s">
        <v>84</v>
      </c>
      <c r="C20" s="39" t="s">
        <v>85</v>
      </c>
      <c r="D20" s="39" t="s">
        <v>86</v>
      </c>
      <c r="E20" s="39" t="s">
        <v>87</v>
      </c>
      <c r="F20" s="39" t="s">
        <v>35</v>
      </c>
      <c r="G20" s="39"/>
      <c r="H20" s="39"/>
      <c r="I20" s="39" t="s">
        <v>35</v>
      </c>
      <c r="J20" s="39"/>
      <c r="K20" s="39"/>
      <c r="L20" s="39" t="s">
        <v>35</v>
      </c>
      <c r="M20" s="39"/>
      <c r="N20" s="39"/>
      <c r="O20" s="42"/>
      <c r="Q20" s="43"/>
    </row>
  </sheetData>
  <mergeCells count="3">
    <mergeCell ref="B2:E2"/>
    <mergeCell ref="B3:E3"/>
    <mergeCell ref="B4:E4"/>
  </mergeCells>
  <dataValidations count="2">
    <dataValidation allowBlank="1" showErrorMessage="1" sqref="F10 I10 L10" xr:uid="{49EF1E97-B15E-4CE9-86D0-6D6C607D9C1D}"/>
    <dataValidation type="list" allowBlank="1" showErrorMessage="1" sqref="G2:G3 G9 G21:G148 J2:J3 J9 J21:J148 M2:M3 M9 M21:M148 I12:I20 F12:F20 L12:L20" xr:uid="{F67D2903-7A8B-4A84-B243-D758C1867CDB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E029-9A1A-4CCB-B56F-0ACE122C1818}">
  <sheetPr>
    <outlinePr summaryBelow="0" summaryRight="0"/>
  </sheetPr>
  <dimension ref="A1:R22"/>
  <sheetViews>
    <sheetView zoomScale="85" zoomScaleNormal="85" workbookViewId="0">
      <pane ySplit="10" topLeftCell="A11" activePane="bottomLeft" state="frozen"/>
      <selection pane="bottomLeft" activeCell="A19" sqref="A19:XFD19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/>
    <col min="7" max="7" width="10.6328125" style="1" customWidth="1" outlineLevel="1"/>
    <col min="8" max="8" width="7" style="1" bestFit="1" customWidth="1" outlineLevel="1"/>
    <col min="9" max="9" width="9.36328125" style="1" customWidth="1"/>
    <col min="10" max="10" width="10.6328125" style="1" customWidth="1" outlineLevel="1"/>
    <col min="11" max="11" width="7" style="1" bestFit="1" customWidth="1" outlineLevel="1"/>
    <col min="12" max="12" width="9.36328125" style="1" customWidth="1"/>
    <col min="13" max="13" width="10.6328125" style="1" customWidth="1" outlineLevel="1"/>
    <col min="14" max="14" width="7" style="1" bestFit="1" customWidth="1" outlineLevel="1"/>
    <col min="15" max="15" width="28.6328125" style="1" customWidth="1"/>
    <col min="16" max="16" width="10.08984375" style="1" customWidth="1"/>
    <col min="17" max="17" width="8.08984375" style="28" customWidth="1"/>
    <col min="18" max="18" width="7.6328125" style="1" hidden="1" customWidth="1"/>
    <col min="19" max="16384" width="9" style="1"/>
  </cols>
  <sheetData>
    <row r="1" spans="1:18" ht="13" thickBot="1"/>
    <row r="2" spans="1:18" s="30" customFormat="1" ht="15" customHeight="1">
      <c r="A2" s="91" t="s">
        <v>47</v>
      </c>
      <c r="B2" s="136" t="s">
        <v>88</v>
      </c>
      <c r="C2" s="136"/>
      <c r="D2" s="136"/>
      <c r="E2" s="137"/>
      <c r="F2" s="81"/>
      <c r="G2" s="75"/>
      <c r="H2" s="9"/>
      <c r="I2" s="81"/>
      <c r="J2" s="75"/>
      <c r="K2" s="9"/>
      <c r="L2" s="81"/>
      <c r="M2" s="75"/>
      <c r="N2" s="9"/>
      <c r="O2" s="9"/>
      <c r="P2" s="9"/>
      <c r="Q2" s="29"/>
      <c r="R2" s="30" t="s">
        <v>36</v>
      </c>
    </row>
    <row r="3" spans="1:18" s="30" customFormat="1">
      <c r="A3" s="92" t="s">
        <v>20</v>
      </c>
      <c r="B3" s="138" t="s">
        <v>89</v>
      </c>
      <c r="C3" s="138"/>
      <c r="D3" s="138"/>
      <c r="E3" s="139"/>
      <c r="F3" s="81"/>
      <c r="G3" s="75"/>
      <c r="H3" s="9"/>
      <c r="I3" s="81"/>
      <c r="J3" s="75"/>
      <c r="K3" s="9"/>
      <c r="L3" s="81"/>
      <c r="M3" s="75"/>
      <c r="N3" s="9"/>
      <c r="O3" s="9"/>
      <c r="P3" s="9"/>
      <c r="Q3" s="29"/>
      <c r="R3" s="30" t="s">
        <v>37</v>
      </c>
    </row>
    <row r="4" spans="1:18" s="30" customFormat="1" ht="18" customHeight="1">
      <c r="A4" s="92" t="s">
        <v>44</v>
      </c>
      <c r="B4" s="138">
        <f>COUNTIF($A$12:$A$1000,"TC-*")</f>
        <v>9</v>
      </c>
      <c r="C4" s="138"/>
      <c r="D4" s="138"/>
      <c r="E4" s="139"/>
      <c r="F4" s="81"/>
      <c r="G4" s="75"/>
      <c r="H4" s="9"/>
      <c r="I4" s="81"/>
      <c r="J4" s="75"/>
      <c r="K4" s="9"/>
      <c r="L4" s="81"/>
      <c r="M4" s="75"/>
      <c r="N4" s="9"/>
      <c r="O4" s="9"/>
      <c r="P4" s="9"/>
      <c r="Q4" s="29"/>
      <c r="R4" s="30" t="s">
        <v>35</v>
      </c>
    </row>
    <row r="5" spans="1:18" s="30" customFormat="1" ht="19.5" customHeight="1">
      <c r="A5" s="85" t="s">
        <v>38</v>
      </c>
      <c r="B5" s="83" t="s">
        <v>36</v>
      </c>
      <c r="C5" s="83" t="s">
        <v>37</v>
      </c>
      <c r="D5" s="83" t="s">
        <v>35</v>
      </c>
      <c r="E5" s="86" t="s">
        <v>22</v>
      </c>
      <c r="F5" s="76"/>
      <c r="G5" s="76"/>
      <c r="H5" s="31"/>
      <c r="I5" s="76"/>
      <c r="J5" s="76"/>
      <c r="K5" s="31"/>
      <c r="L5" s="76"/>
      <c r="M5" s="76"/>
      <c r="N5" s="31"/>
      <c r="O5" s="31"/>
      <c r="P5" s="31"/>
      <c r="Q5" s="32"/>
      <c r="R5" s="30" t="s">
        <v>22</v>
      </c>
    </row>
    <row r="6" spans="1:18" s="30" customFormat="1" ht="15" customHeight="1">
      <c r="A6" s="85" t="s">
        <v>39</v>
      </c>
      <c r="B6" s="84">
        <f>COUNTIF($F10:$F1001,B5)</f>
        <v>0</v>
      </c>
      <c r="C6" s="84">
        <f>COUNTIF($F10:$F1001,C5)</f>
        <v>0</v>
      </c>
      <c r="D6" s="84">
        <f>COUNTIF($F10:$F1001,D5)</f>
        <v>9</v>
      </c>
      <c r="E6" s="90">
        <f>COUNTIF($F10:$F1001,E5)</f>
        <v>0</v>
      </c>
      <c r="F6" s="77"/>
      <c r="G6" s="77"/>
      <c r="H6" s="31"/>
      <c r="I6" s="77"/>
      <c r="J6" s="77"/>
      <c r="K6" s="31"/>
      <c r="L6" s="77"/>
      <c r="M6" s="77"/>
      <c r="N6" s="31"/>
      <c r="O6" s="31"/>
      <c r="P6" s="31"/>
      <c r="Q6" s="32"/>
    </row>
    <row r="7" spans="1:18" s="30" customFormat="1" ht="15" customHeight="1">
      <c r="A7" s="85" t="s">
        <v>41</v>
      </c>
      <c r="B7" s="84">
        <f>COUNTIF($I10:$I998,B5)</f>
        <v>0</v>
      </c>
      <c r="C7" s="84">
        <f>COUNTIF($I10:$I998,C5)</f>
        <v>0</v>
      </c>
      <c r="D7" s="84">
        <f>COUNTIF($I10:$I998,D5)</f>
        <v>9</v>
      </c>
      <c r="E7" s="90">
        <f>COUNTIF($I10:$I998,E5)</f>
        <v>0</v>
      </c>
      <c r="F7" s="77"/>
      <c r="G7" s="77"/>
      <c r="H7" s="31"/>
      <c r="I7" s="77"/>
      <c r="J7" s="77"/>
      <c r="K7" s="31"/>
      <c r="L7" s="77"/>
      <c r="M7" s="77"/>
      <c r="N7" s="31"/>
      <c r="O7" s="31"/>
      <c r="P7" s="31"/>
      <c r="Q7" s="32"/>
    </row>
    <row r="8" spans="1:18" s="30" customFormat="1" ht="15" customHeight="1" thickBot="1">
      <c r="A8" s="87" t="s">
        <v>42</v>
      </c>
      <c r="B8" s="88">
        <f>COUNTIF($L10:$L998,B5)</f>
        <v>0</v>
      </c>
      <c r="C8" s="88">
        <f>COUNTIF($L10:$L998,C5)</f>
        <v>0</v>
      </c>
      <c r="D8" s="88">
        <f>COUNTIF($L10:$L998,D5)</f>
        <v>9</v>
      </c>
      <c r="E8" s="89">
        <f>COUNTIF($L10:$L998,E5)</f>
        <v>0</v>
      </c>
      <c r="F8" s="77"/>
      <c r="G8" s="77"/>
      <c r="H8" s="31"/>
      <c r="I8" s="77"/>
      <c r="J8" s="77"/>
      <c r="K8" s="31"/>
      <c r="L8" s="77"/>
      <c r="M8" s="77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2" t="s">
        <v>43</v>
      </c>
      <c r="B10" s="82" t="s">
        <v>23</v>
      </c>
      <c r="C10" s="82" t="s">
        <v>34</v>
      </c>
      <c r="D10" s="82" t="s">
        <v>33</v>
      </c>
      <c r="E10" s="82" t="s">
        <v>40</v>
      </c>
      <c r="F10" s="82" t="s">
        <v>39</v>
      </c>
      <c r="G10" s="82" t="s">
        <v>24</v>
      </c>
      <c r="H10" s="82" t="s">
        <v>21</v>
      </c>
      <c r="I10" s="82" t="s">
        <v>41</v>
      </c>
      <c r="J10" s="82" t="s">
        <v>24</v>
      </c>
      <c r="K10" s="82" t="s">
        <v>21</v>
      </c>
      <c r="L10" s="82" t="s">
        <v>42</v>
      </c>
      <c r="M10" s="82" t="s">
        <v>24</v>
      </c>
      <c r="N10" s="82" t="s">
        <v>21</v>
      </c>
      <c r="O10" s="82" t="s">
        <v>25</v>
      </c>
      <c r="Q10" s="34"/>
    </row>
    <row r="11" spans="1:18" s="30" customFormat="1" ht="15.75" customHeight="1">
      <c r="A11" s="78" t="s">
        <v>90</v>
      </c>
      <c r="B11" s="78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0"/>
      <c r="Q11" s="38"/>
    </row>
    <row r="12" spans="1:18" s="44" customFormat="1" ht="121" customHeight="1" outlineLevel="1">
      <c r="A12" s="39" t="s">
        <v>91</v>
      </c>
      <c r="B12" s="40" t="s">
        <v>92</v>
      </c>
      <c r="C12" s="40" t="s">
        <v>93</v>
      </c>
      <c r="D12" s="41" t="s">
        <v>94</v>
      </c>
      <c r="E12" s="41" t="s">
        <v>95</v>
      </c>
      <c r="F12" s="39" t="s">
        <v>35</v>
      </c>
      <c r="G12" s="39"/>
      <c r="H12" s="39"/>
      <c r="I12" s="39" t="s">
        <v>35</v>
      </c>
      <c r="J12" s="39"/>
      <c r="K12" s="39"/>
      <c r="L12" s="39" t="s">
        <v>35</v>
      </c>
      <c r="M12" s="39"/>
      <c r="N12" s="39"/>
      <c r="O12" s="42"/>
      <c r="Q12" s="43"/>
    </row>
    <row r="13" spans="1:18" ht="37.5" outlineLevel="1">
      <c r="A13" s="39" t="s">
        <v>96</v>
      </c>
      <c r="B13" s="39" t="s">
        <v>97</v>
      </c>
      <c r="C13" s="39" t="s">
        <v>98</v>
      </c>
      <c r="D13" s="45" t="s">
        <v>99</v>
      </c>
      <c r="E13" s="45" t="s">
        <v>100</v>
      </c>
      <c r="F13" s="39" t="s">
        <v>35</v>
      </c>
      <c r="G13" s="39"/>
      <c r="H13" s="39"/>
      <c r="I13" s="39" t="s">
        <v>35</v>
      </c>
      <c r="J13" s="39"/>
      <c r="K13" s="39"/>
      <c r="L13" s="39" t="s">
        <v>35</v>
      </c>
      <c r="M13" s="39"/>
      <c r="N13" s="39"/>
      <c r="O13" s="42"/>
      <c r="Q13" s="43"/>
    </row>
    <row r="14" spans="1:18" ht="37.5" outlineLevel="1">
      <c r="A14" s="39" t="s">
        <v>101</v>
      </c>
      <c r="B14" s="39" t="s">
        <v>102</v>
      </c>
      <c r="C14" s="39" t="s">
        <v>103</v>
      </c>
      <c r="D14" s="45" t="s">
        <v>104</v>
      </c>
      <c r="E14" s="45" t="s">
        <v>105</v>
      </c>
      <c r="F14" s="39" t="s">
        <v>35</v>
      </c>
      <c r="G14" s="39"/>
      <c r="H14" s="39"/>
      <c r="I14" s="39" t="s">
        <v>35</v>
      </c>
      <c r="J14" s="39"/>
      <c r="K14" s="39"/>
      <c r="L14" s="39" t="s">
        <v>35</v>
      </c>
      <c r="M14" s="39"/>
      <c r="N14" s="39"/>
      <c r="O14" s="42"/>
      <c r="Q14" s="43"/>
    </row>
    <row r="15" spans="1:18" s="30" customFormat="1" ht="15.75" customHeight="1">
      <c r="A15" s="78" t="s">
        <v>106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ht="62.5" outlineLevel="1">
      <c r="A16" s="39" t="s">
        <v>107</v>
      </c>
      <c r="B16" s="39" t="s">
        <v>108</v>
      </c>
      <c r="C16" s="39" t="s">
        <v>109</v>
      </c>
      <c r="D16" s="39" t="s">
        <v>110</v>
      </c>
      <c r="E16" s="39" t="s">
        <v>111</v>
      </c>
      <c r="F16" s="39" t="s">
        <v>35</v>
      </c>
      <c r="G16" s="39"/>
      <c r="H16" s="39"/>
      <c r="I16" s="39" t="s">
        <v>35</v>
      </c>
      <c r="J16" s="39"/>
      <c r="K16" s="39"/>
      <c r="L16" s="39" t="s">
        <v>35</v>
      </c>
      <c r="M16" s="39"/>
      <c r="N16" s="39"/>
      <c r="O16" s="42"/>
      <c r="Q16" s="43"/>
    </row>
    <row r="17" spans="1:17" ht="62.5" outlineLevel="1">
      <c r="A17" s="39" t="s">
        <v>112</v>
      </c>
      <c r="B17" s="39" t="s">
        <v>113</v>
      </c>
      <c r="C17" s="39" t="s">
        <v>114</v>
      </c>
      <c r="D17" s="39" t="s">
        <v>115</v>
      </c>
      <c r="E17" s="39" t="s">
        <v>116</v>
      </c>
      <c r="F17" s="39" t="s">
        <v>35</v>
      </c>
      <c r="G17" s="46"/>
      <c r="H17" s="46"/>
      <c r="I17" s="39" t="s">
        <v>35</v>
      </c>
      <c r="J17" s="46"/>
      <c r="K17" s="46"/>
      <c r="L17" s="39" t="s">
        <v>35</v>
      </c>
      <c r="M17" s="46"/>
      <c r="N17" s="46"/>
      <c r="O17" s="46"/>
    </row>
    <row r="18" spans="1:17" ht="12.5" customHeight="1" outlineLevel="1">
      <c r="A18" s="39" t="s">
        <v>117</v>
      </c>
      <c r="B18" s="39" t="s">
        <v>118</v>
      </c>
      <c r="C18" s="39" t="s">
        <v>119</v>
      </c>
      <c r="D18" s="39" t="s">
        <v>120</v>
      </c>
      <c r="E18" s="39" t="s">
        <v>121</v>
      </c>
      <c r="F18" s="39" t="s">
        <v>35</v>
      </c>
      <c r="G18" s="39"/>
      <c r="H18" s="39"/>
      <c r="I18" s="39" t="s">
        <v>35</v>
      </c>
      <c r="J18" s="39"/>
      <c r="K18" s="39"/>
      <c r="L18" s="39" t="s">
        <v>35</v>
      </c>
      <c r="M18" s="39"/>
      <c r="N18" s="39"/>
      <c r="O18" s="42"/>
      <c r="Q18" s="43"/>
    </row>
    <row r="19" spans="1:17" s="30" customFormat="1" ht="15.75" customHeight="1">
      <c r="A19" s="78" t="s">
        <v>122</v>
      </c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7"/>
      <c r="Q19" s="38"/>
    </row>
    <row r="20" spans="1:17" ht="62.5" outlineLevel="1">
      <c r="A20" s="39" t="s">
        <v>123</v>
      </c>
      <c r="B20" s="39" t="s">
        <v>124</v>
      </c>
      <c r="C20" s="39" t="s">
        <v>125</v>
      </c>
      <c r="D20" s="39" t="s">
        <v>126</v>
      </c>
      <c r="E20" s="39" t="s">
        <v>127</v>
      </c>
      <c r="F20" s="39" t="s">
        <v>35</v>
      </c>
      <c r="G20" s="39"/>
      <c r="H20" s="39"/>
      <c r="I20" s="39" t="s">
        <v>35</v>
      </c>
      <c r="J20" s="39"/>
      <c r="K20" s="39"/>
      <c r="L20" s="39" t="s">
        <v>35</v>
      </c>
      <c r="M20" s="39"/>
      <c r="N20" s="39"/>
      <c r="O20" s="42"/>
      <c r="Q20" s="43"/>
    </row>
    <row r="21" spans="1:17" ht="50" outlineLevel="1">
      <c r="A21" s="39" t="s">
        <v>128</v>
      </c>
      <c r="B21" s="39" t="s">
        <v>129</v>
      </c>
      <c r="C21" s="39" t="s">
        <v>130</v>
      </c>
      <c r="D21" s="39" t="s">
        <v>131</v>
      </c>
      <c r="E21" s="39" t="s">
        <v>132</v>
      </c>
      <c r="F21" s="39" t="s">
        <v>35</v>
      </c>
      <c r="G21" s="39"/>
      <c r="H21" s="39"/>
      <c r="I21" s="39" t="s">
        <v>35</v>
      </c>
      <c r="J21" s="39"/>
      <c r="K21" s="39"/>
      <c r="L21" s="39" t="s">
        <v>35</v>
      </c>
      <c r="M21" s="39"/>
      <c r="N21" s="39"/>
      <c r="O21" s="42"/>
      <c r="Q21" s="43"/>
    </row>
    <row r="22" spans="1:17" ht="37.5" outlineLevel="1">
      <c r="A22" s="39" t="s">
        <v>133</v>
      </c>
      <c r="B22" s="39" t="s">
        <v>134</v>
      </c>
      <c r="C22" s="39" t="s">
        <v>135</v>
      </c>
      <c r="D22" s="39" t="s">
        <v>136</v>
      </c>
      <c r="E22" s="39" t="s">
        <v>137</v>
      </c>
      <c r="F22" s="39" t="s">
        <v>35</v>
      </c>
      <c r="G22" s="39"/>
      <c r="H22" s="39"/>
      <c r="I22" s="39" t="s">
        <v>35</v>
      </c>
      <c r="J22" s="39"/>
      <c r="K22" s="39"/>
      <c r="L22" s="39" t="s">
        <v>35</v>
      </c>
      <c r="M22" s="39"/>
      <c r="N22" s="39"/>
      <c r="O22" s="42"/>
      <c r="Q22" s="43"/>
    </row>
  </sheetData>
  <mergeCells count="3">
    <mergeCell ref="B2:E2"/>
    <mergeCell ref="B3:E3"/>
    <mergeCell ref="B4:E4"/>
  </mergeCells>
  <dataValidations count="2">
    <dataValidation allowBlank="1" showErrorMessage="1" sqref="F10 I10 L10" xr:uid="{25D6494F-266E-409A-B87E-2C8B5542E6B2}"/>
    <dataValidation type="list" allowBlank="1" showErrorMessage="1" sqref="G2:G3 G9 G23:G150 J2:J3 J9 J23:J150 M2:M3 M9 M23:M150 L12:L22 I12:I22 F12:F22" xr:uid="{D0283EAA-4FF1-4847-AABC-05FA4988E207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DECB-911A-4017-8E0F-0210D3071961}">
  <sheetPr>
    <outlinePr summaryBelow="0" summaryRight="0"/>
  </sheetPr>
  <dimension ref="A1:R20"/>
  <sheetViews>
    <sheetView zoomScale="85" zoomScaleNormal="85" workbookViewId="0">
      <pane ySplit="10" topLeftCell="A11" activePane="bottomLeft" state="frozen"/>
      <selection pane="bottomLeft" activeCell="A11" sqref="A11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/>
    <col min="7" max="7" width="10.6328125" style="1" customWidth="1" outlineLevel="1"/>
    <col min="8" max="8" width="7" style="1" bestFit="1" customWidth="1" outlineLevel="1"/>
    <col min="9" max="9" width="9.36328125" style="1" customWidth="1"/>
    <col min="10" max="10" width="10.6328125" style="1" customWidth="1" outlineLevel="1"/>
    <col min="11" max="11" width="7" style="1" bestFit="1" customWidth="1" outlineLevel="1"/>
    <col min="12" max="12" width="9.36328125" style="1" customWidth="1"/>
    <col min="13" max="13" width="10.6328125" style="1" customWidth="1" outlineLevel="1"/>
    <col min="14" max="14" width="7" style="1" bestFit="1" customWidth="1" outlineLevel="1"/>
    <col min="15" max="15" width="28.6328125" style="1" customWidth="1"/>
    <col min="16" max="16" width="10.08984375" style="1" customWidth="1"/>
    <col min="17" max="17" width="8.08984375" style="28" customWidth="1"/>
    <col min="18" max="18" width="7.6328125" style="1" hidden="1" customWidth="1"/>
    <col min="19" max="16384" width="9" style="1"/>
  </cols>
  <sheetData>
    <row r="1" spans="1:18" ht="13" thickBot="1"/>
    <row r="2" spans="1:18" s="30" customFormat="1" ht="15" customHeight="1">
      <c r="A2" s="91" t="s">
        <v>47</v>
      </c>
      <c r="B2" s="136" t="s">
        <v>138</v>
      </c>
      <c r="C2" s="136"/>
      <c r="D2" s="136"/>
      <c r="E2" s="137"/>
      <c r="F2" s="81"/>
      <c r="G2" s="75"/>
      <c r="H2" s="9"/>
      <c r="I2" s="81"/>
      <c r="J2" s="75"/>
      <c r="K2" s="9"/>
      <c r="L2" s="81"/>
      <c r="M2" s="75"/>
      <c r="N2" s="9"/>
      <c r="O2" s="9"/>
      <c r="P2" s="9"/>
      <c r="Q2" s="29"/>
      <c r="R2" s="30" t="s">
        <v>36</v>
      </c>
    </row>
    <row r="3" spans="1:18" s="30" customFormat="1">
      <c r="A3" s="92" t="s">
        <v>20</v>
      </c>
      <c r="B3" s="138" t="s">
        <v>139</v>
      </c>
      <c r="C3" s="138"/>
      <c r="D3" s="138"/>
      <c r="E3" s="139"/>
      <c r="F3" s="81"/>
      <c r="G3" s="75"/>
      <c r="H3" s="9"/>
      <c r="I3" s="81"/>
      <c r="J3" s="75"/>
      <c r="K3" s="9"/>
      <c r="L3" s="81"/>
      <c r="M3" s="75"/>
      <c r="N3" s="9"/>
      <c r="O3" s="9"/>
      <c r="P3" s="9"/>
      <c r="Q3" s="29"/>
      <c r="R3" s="30" t="s">
        <v>37</v>
      </c>
    </row>
    <row r="4" spans="1:18" s="30" customFormat="1" ht="18" customHeight="1">
      <c r="A4" s="92" t="s">
        <v>44</v>
      </c>
      <c r="B4" s="138">
        <f>COUNTIF($A$12:$A$1000,"TC-*")</f>
        <v>7</v>
      </c>
      <c r="C4" s="138"/>
      <c r="D4" s="138"/>
      <c r="E4" s="139"/>
      <c r="F4" s="81"/>
      <c r="G4" s="75"/>
      <c r="H4" s="9"/>
      <c r="I4" s="81"/>
      <c r="J4" s="75"/>
      <c r="K4" s="9"/>
      <c r="L4" s="81"/>
      <c r="M4" s="75"/>
      <c r="N4" s="9"/>
      <c r="O4" s="9"/>
      <c r="P4" s="9"/>
      <c r="Q4" s="29"/>
      <c r="R4" s="30" t="s">
        <v>35</v>
      </c>
    </row>
    <row r="5" spans="1:18" s="30" customFormat="1" ht="19.5" customHeight="1">
      <c r="A5" s="85" t="s">
        <v>38</v>
      </c>
      <c r="B5" s="83" t="s">
        <v>36</v>
      </c>
      <c r="C5" s="83" t="s">
        <v>37</v>
      </c>
      <c r="D5" s="83" t="s">
        <v>35</v>
      </c>
      <c r="E5" s="86" t="s">
        <v>22</v>
      </c>
      <c r="F5" s="76"/>
      <c r="G5" s="76"/>
      <c r="H5" s="31"/>
      <c r="I5" s="76"/>
      <c r="J5" s="76"/>
      <c r="K5" s="31"/>
      <c r="L5" s="76"/>
      <c r="M5" s="76"/>
      <c r="N5" s="31"/>
      <c r="O5" s="31"/>
      <c r="P5" s="31"/>
      <c r="Q5" s="32"/>
      <c r="R5" s="30" t="s">
        <v>22</v>
      </c>
    </row>
    <row r="6" spans="1:18" s="30" customFormat="1" ht="15" customHeight="1">
      <c r="A6" s="85" t="s">
        <v>39</v>
      </c>
      <c r="B6" s="84">
        <f>COUNTIF($F10:$F999,B5)</f>
        <v>0</v>
      </c>
      <c r="C6" s="84">
        <f t="shared" ref="C6:E6" si="0">COUNTIF($F10:$F999,C5)</f>
        <v>0</v>
      </c>
      <c r="D6" s="84">
        <f t="shared" si="0"/>
        <v>7</v>
      </c>
      <c r="E6" s="90">
        <f t="shared" si="0"/>
        <v>0</v>
      </c>
      <c r="F6" s="77"/>
      <c r="G6" s="77"/>
      <c r="H6" s="31"/>
      <c r="I6" s="77"/>
      <c r="J6" s="77"/>
      <c r="K6" s="31"/>
      <c r="L6" s="77"/>
      <c r="M6" s="77"/>
      <c r="N6" s="31"/>
      <c r="O6" s="31"/>
      <c r="P6" s="31"/>
      <c r="Q6" s="32"/>
    </row>
    <row r="7" spans="1:18" s="30" customFormat="1" ht="15" customHeight="1">
      <c r="A7" s="85" t="s">
        <v>41</v>
      </c>
      <c r="B7" s="84">
        <f>COUNTIF($I10:$I998,B5)</f>
        <v>0</v>
      </c>
      <c r="C7" s="84">
        <f>COUNTIF($I10:$I998,C5)</f>
        <v>0</v>
      </c>
      <c r="D7" s="84">
        <f>COUNTIF($I10:$I998,D5)</f>
        <v>7</v>
      </c>
      <c r="E7" s="90">
        <f>COUNTIF($I10:$I998,E5)</f>
        <v>0</v>
      </c>
      <c r="F7" s="77"/>
      <c r="G7" s="77"/>
      <c r="H7" s="31"/>
      <c r="I7" s="77"/>
      <c r="J7" s="77"/>
      <c r="K7" s="31"/>
      <c r="L7" s="77"/>
      <c r="M7" s="77"/>
      <c r="N7" s="31"/>
      <c r="O7" s="31"/>
      <c r="P7" s="31"/>
      <c r="Q7" s="32"/>
    </row>
    <row r="8" spans="1:18" s="30" customFormat="1" ht="15" customHeight="1" thickBot="1">
      <c r="A8" s="87" t="s">
        <v>42</v>
      </c>
      <c r="B8" s="88">
        <f>COUNTIF($L10:$L998,B5)</f>
        <v>0</v>
      </c>
      <c r="C8" s="88">
        <f>COUNTIF($L10:$L998,C5)</f>
        <v>0</v>
      </c>
      <c r="D8" s="88">
        <f>COUNTIF($L10:$L998,D5)</f>
        <v>7</v>
      </c>
      <c r="E8" s="89">
        <f>COUNTIF($L10:$L998,E5)</f>
        <v>0</v>
      </c>
      <c r="F8" s="77"/>
      <c r="G8" s="77"/>
      <c r="H8" s="31"/>
      <c r="I8" s="77"/>
      <c r="J8" s="77"/>
      <c r="K8" s="31"/>
      <c r="L8" s="77"/>
      <c r="M8" s="77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2" t="s">
        <v>43</v>
      </c>
      <c r="B10" s="82" t="s">
        <v>23</v>
      </c>
      <c r="C10" s="82" t="s">
        <v>34</v>
      </c>
      <c r="D10" s="82" t="s">
        <v>33</v>
      </c>
      <c r="E10" s="82" t="s">
        <v>40</v>
      </c>
      <c r="F10" s="82" t="s">
        <v>39</v>
      </c>
      <c r="G10" s="82" t="s">
        <v>24</v>
      </c>
      <c r="H10" s="82" t="s">
        <v>21</v>
      </c>
      <c r="I10" s="82" t="s">
        <v>41</v>
      </c>
      <c r="J10" s="82" t="s">
        <v>24</v>
      </c>
      <c r="K10" s="82" t="s">
        <v>21</v>
      </c>
      <c r="L10" s="82" t="s">
        <v>42</v>
      </c>
      <c r="M10" s="82" t="s">
        <v>24</v>
      </c>
      <c r="N10" s="82" t="s">
        <v>21</v>
      </c>
      <c r="O10" s="82" t="s">
        <v>25</v>
      </c>
      <c r="Q10" s="34"/>
    </row>
    <row r="11" spans="1:18" s="30" customFormat="1" ht="15.75" customHeight="1">
      <c r="A11" s="78" t="s">
        <v>140</v>
      </c>
      <c r="B11" s="78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0"/>
      <c r="Q11" s="38"/>
    </row>
    <row r="12" spans="1:18" s="44" customFormat="1" ht="121" customHeight="1" outlineLevel="1">
      <c r="A12" s="39" t="s">
        <v>141</v>
      </c>
      <c r="B12" s="40" t="s">
        <v>142</v>
      </c>
      <c r="C12" s="40" t="s">
        <v>143</v>
      </c>
      <c r="D12" s="41" t="s">
        <v>144</v>
      </c>
      <c r="E12" s="41" t="s">
        <v>145</v>
      </c>
      <c r="F12" s="39" t="s">
        <v>35</v>
      </c>
      <c r="G12" s="39"/>
      <c r="H12" s="39"/>
      <c r="I12" s="39" t="s">
        <v>35</v>
      </c>
      <c r="J12" s="39"/>
      <c r="K12" s="39"/>
      <c r="L12" s="39" t="s">
        <v>35</v>
      </c>
      <c r="M12" s="39"/>
      <c r="N12" s="39"/>
      <c r="O12" s="42"/>
      <c r="Q12" s="43"/>
    </row>
    <row r="13" spans="1:18" ht="37.5" outlineLevel="1">
      <c r="A13" s="39" t="s">
        <v>146</v>
      </c>
      <c r="B13" s="39" t="s">
        <v>147</v>
      </c>
      <c r="C13" s="39" t="s">
        <v>148</v>
      </c>
      <c r="D13" s="45" t="s">
        <v>149</v>
      </c>
      <c r="E13" s="45" t="s">
        <v>150</v>
      </c>
      <c r="F13" s="39" t="s">
        <v>35</v>
      </c>
      <c r="G13" s="39"/>
      <c r="H13" s="39"/>
      <c r="I13" s="39" t="s">
        <v>35</v>
      </c>
      <c r="J13" s="39"/>
      <c r="K13" s="39"/>
      <c r="L13" s="39" t="s">
        <v>35</v>
      </c>
      <c r="M13" s="39"/>
      <c r="N13" s="39"/>
      <c r="O13" s="42"/>
      <c r="Q13" s="43"/>
    </row>
    <row r="14" spans="1:18" ht="50" outlineLevel="1">
      <c r="A14" s="39" t="s">
        <v>151</v>
      </c>
      <c r="B14" s="39" t="s">
        <v>152</v>
      </c>
      <c r="C14" s="39" t="s">
        <v>153</v>
      </c>
      <c r="D14" s="45" t="s">
        <v>154</v>
      </c>
      <c r="E14" s="45" t="s">
        <v>155</v>
      </c>
      <c r="F14" s="39" t="s">
        <v>35</v>
      </c>
      <c r="G14" s="39"/>
      <c r="H14" s="39"/>
      <c r="I14" s="39" t="s">
        <v>35</v>
      </c>
      <c r="J14" s="39"/>
      <c r="K14" s="39"/>
      <c r="L14" s="39" t="s">
        <v>35</v>
      </c>
      <c r="M14" s="39"/>
      <c r="N14" s="39"/>
      <c r="O14" s="42"/>
      <c r="Q14" s="43"/>
    </row>
    <row r="15" spans="1:18" s="30" customFormat="1" ht="15.75" customHeight="1">
      <c r="A15" s="78" t="s">
        <v>156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ht="50" outlineLevel="1">
      <c r="A16" s="39" t="s">
        <v>157</v>
      </c>
      <c r="B16" s="39" t="s">
        <v>158</v>
      </c>
      <c r="C16" s="39" t="s">
        <v>159</v>
      </c>
      <c r="D16" s="39" t="s">
        <v>160</v>
      </c>
      <c r="E16" s="39" t="s">
        <v>161</v>
      </c>
      <c r="F16" s="39" t="s">
        <v>35</v>
      </c>
      <c r="G16" s="39"/>
      <c r="H16" s="39"/>
      <c r="I16" s="39" t="s">
        <v>35</v>
      </c>
      <c r="J16" s="39"/>
      <c r="K16" s="39"/>
      <c r="L16" s="39" t="s">
        <v>35</v>
      </c>
      <c r="M16" s="39"/>
      <c r="N16" s="39"/>
      <c r="O16" s="42"/>
      <c r="Q16" s="43"/>
    </row>
    <row r="17" spans="1:17" ht="37.5" outlineLevel="1">
      <c r="A17" s="39" t="s">
        <v>162</v>
      </c>
      <c r="B17" s="39" t="s">
        <v>163</v>
      </c>
      <c r="C17" s="39" t="s">
        <v>164</v>
      </c>
      <c r="D17" s="39" t="s">
        <v>165</v>
      </c>
      <c r="E17" s="39" t="s">
        <v>166</v>
      </c>
      <c r="F17" s="39" t="s">
        <v>35</v>
      </c>
      <c r="G17" s="46"/>
      <c r="H17" s="46"/>
      <c r="I17" s="39" t="s">
        <v>35</v>
      </c>
      <c r="J17" s="46"/>
      <c r="K17" s="46"/>
      <c r="L17" s="39" t="s">
        <v>35</v>
      </c>
      <c r="M17" s="46"/>
      <c r="N17" s="46"/>
      <c r="O17" s="46"/>
    </row>
    <row r="18" spans="1:17" s="30" customFormat="1" ht="15.75" customHeight="1">
      <c r="A18" s="78" t="s">
        <v>167</v>
      </c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Q18" s="38"/>
    </row>
    <row r="19" spans="1:17" ht="50" outlineLevel="1">
      <c r="A19" s="39" t="s">
        <v>168</v>
      </c>
      <c r="B19" s="39" t="s">
        <v>169</v>
      </c>
      <c r="C19" s="39" t="s">
        <v>170</v>
      </c>
      <c r="D19" s="39" t="s">
        <v>171</v>
      </c>
      <c r="E19" s="39" t="s">
        <v>172</v>
      </c>
      <c r="F19" s="39" t="s">
        <v>35</v>
      </c>
      <c r="G19" s="39"/>
      <c r="H19" s="39"/>
      <c r="I19" s="39" t="s">
        <v>35</v>
      </c>
      <c r="J19" s="39"/>
      <c r="K19" s="39"/>
      <c r="L19" s="39" t="s">
        <v>35</v>
      </c>
      <c r="M19" s="39"/>
      <c r="N19" s="39"/>
      <c r="O19" s="42"/>
      <c r="Q19" s="43"/>
    </row>
    <row r="20" spans="1:17" ht="37.5" outlineLevel="1">
      <c r="A20" s="39" t="s">
        <v>173</v>
      </c>
      <c r="B20" s="39" t="s">
        <v>174</v>
      </c>
      <c r="C20" s="39" t="s">
        <v>175</v>
      </c>
      <c r="D20" s="39" t="s">
        <v>176</v>
      </c>
      <c r="E20" s="39" t="s">
        <v>177</v>
      </c>
      <c r="F20" s="39" t="s">
        <v>35</v>
      </c>
      <c r="G20" s="39"/>
      <c r="H20" s="39"/>
      <c r="I20" s="39" t="s">
        <v>35</v>
      </c>
      <c r="J20" s="39"/>
      <c r="K20" s="39"/>
      <c r="L20" s="39" t="s">
        <v>35</v>
      </c>
      <c r="M20" s="39"/>
      <c r="N20" s="39"/>
      <c r="O20" s="42"/>
      <c r="Q20" s="43"/>
    </row>
  </sheetData>
  <mergeCells count="3">
    <mergeCell ref="B2:E2"/>
    <mergeCell ref="B3:E3"/>
    <mergeCell ref="B4:E4"/>
  </mergeCells>
  <dataValidations count="2">
    <dataValidation allowBlank="1" showErrorMessage="1" sqref="F10 I10 L10" xr:uid="{AC39E0C9-62B7-4E1C-AD8D-6C26833B3D40}"/>
    <dataValidation type="list" allowBlank="1" showErrorMessage="1" sqref="G2:G3 G9 G21:G148 F12:F20 J2:J3 J9 J21:J148 L12:L20 M2:M3 M9 M21:M148 I12:I20" xr:uid="{7FEC7987-F1C3-44C1-BCCC-86304692F4ED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8F54-EB9D-4B00-8A33-F54736146DF6}">
  <sheetPr>
    <outlinePr summaryBelow="0" summaryRight="0"/>
  </sheetPr>
  <dimension ref="A1:R21"/>
  <sheetViews>
    <sheetView zoomScale="85" zoomScaleNormal="85" workbookViewId="0">
      <pane ySplit="10" topLeftCell="A11" activePane="bottomLeft" state="frozen"/>
      <selection pane="bottomLeft" activeCell="A15" sqref="A15:XFD15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/>
    <col min="7" max="7" width="10.6328125" style="1" customWidth="1" outlineLevel="1"/>
    <col min="8" max="8" width="7" style="1" bestFit="1" customWidth="1" outlineLevel="1"/>
    <col min="9" max="9" width="9.36328125" style="1" customWidth="1"/>
    <col min="10" max="10" width="10.6328125" style="1" customWidth="1" outlineLevel="1"/>
    <col min="11" max="11" width="7" style="1" bestFit="1" customWidth="1" outlineLevel="1"/>
    <col min="12" max="12" width="9.36328125" style="1" customWidth="1"/>
    <col min="13" max="13" width="10.6328125" style="1" customWidth="1" outlineLevel="1"/>
    <col min="14" max="14" width="7" style="1" bestFit="1" customWidth="1" outlineLevel="1"/>
    <col min="15" max="15" width="28.6328125" style="1" customWidth="1"/>
    <col min="16" max="16" width="10.08984375" style="1" customWidth="1"/>
    <col min="17" max="17" width="8.08984375" style="28" customWidth="1"/>
    <col min="18" max="18" width="7.6328125" style="1" hidden="1" customWidth="1"/>
    <col min="19" max="16384" width="9" style="1"/>
  </cols>
  <sheetData>
    <row r="1" spans="1:18" ht="13" thickBot="1"/>
    <row r="2" spans="1:18" s="30" customFormat="1" ht="15" customHeight="1">
      <c r="A2" s="91" t="s">
        <v>47</v>
      </c>
      <c r="B2" s="136" t="s">
        <v>178</v>
      </c>
      <c r="C2" s="136"/>
      <c r="D2" s="136"/>
      <c r="E2" s="137"/>
      <c r="F2" s="81"/>
      <c r="G2" s="75"/>
      <c r="H2" s="9"/>
      <c r="I2" s="81"/>
      <c r="J2" s="75"/>
      <c r="K2" s="9"/>
      <c r="L2" s="81"/>
      <c r="M2" s="75"/>
      <c r="N2" s="9"/>
      <c r="O2" s="9"/>
      <c r="P2" s="9"/>
      <c r="Q2" s="29"/>
      <c r="R2" s="30" t="s">
        <v>36</v>
      </c>
    </row>
    <row r="3" spans="1:18" s="30" customFormat="1">
      <c r="A3" s="92" t="s">
        <v>20</v>
      </c>
      <c r="B3" s="138"/>
      <c r="C3" s="138"/>
      <c r="D3" s="138"/>
      <c r="E3" s="139"/>
      <c r="F3" s="81"/>
      <c r="G3" s="75"/>
      <c r="H3" s="9"/>
      <c r="I3" s="81"/>
      <c r="J3" s="75"/>
      <c r="K3" s="9"/>
      <c r="L3" s="81"/>
      <c r="M3" s="75"/>
      <c r="N3" s="9"/>
      <c r="O3" s="9"/>
      <c r="P3" s="9"/>
      <c r="Q3" s="29"/>
      <c r="R3" s="30" t="s">
        <v>37</v>
      </c>
    </row>
    <row r="4" spans="1:18" s="30" customFormat="1" ht="18" customHeight="1">
      <c r="A4" s="92" t="s">
        <v>44</v>
      </c>
      <c r="B4" s="138">
        <f>COUNTIF($A$12:$A$1000,"TC-*")</f>
        <v>8</v>
      </c>
      <c r="C4" s="138"/>
      <c r="D4" s="138"/>
      <c r="E4" s="139"/>
      <c r="F4" s="81"/>
      <c r="G4" s="75"/>
      <c r="H4" s="9"/>
      <c r="I4" s="81"/>
      <c r="J4" s="75"/>
      <c r="K4" s="9"/>
      <c r="L4" s="81"/>
      <c r="M4" s="75"/>
      <c r="N4" s="9"/>
      <c r="O4" s="9"/>
      <c r="P4" s="9"/>
      <c r="Q4" s="29"/>
      <c r="R4" s="30" t="s">
        <v>35</v>
      </c>
    </row>
    <row r="5" spans="1:18" s="30" customFormat="1" ht="19.5" customHeight="1">
      <c r="A5" s="85" t="s">
        <v>38</v>
      </c>
      <c r="B5" s="83" t="s">
        <v>36</v>
      </c>
      <c r="C5" s="83" t="s">
        <v>37</v>
      </c>
      <c r="D5" s="83" t="s">
        <v>35</v>
      </c>
      <c r="E5" s="86" t="s">
        <v>22</v>
      </c>
      <c r="F5" s="76"/>
      <c r="G5" s="76"/>
      <c r="H5" s="31"/>
      <c r="I5" s="76"/>
      <c r="J5" s="76"/>
      <c r="K5" s="31"/>
      <c r="L5" s="76"/>
      <c r="M5" s="76"/>
      <c r="N5" s="31"/>
      <c r="O5" s="31"/>
      <c r="P5" s="31"/>
      <c r="Q5" s="32"/>
      <c r="R5" s="30" t="s">
        <v>22</v>
      </c>
    </row>
    <row r="6" spans="1:18" s="30" customFormat="1" ht="15" customHeight="1">
      <c r="A6" s="85" t="s">
        <v>39</v>
      </c>
      <c r="B6" s="84">
        <f>COUNTIF($F10:$F1000,B5)</f>
        <v>0</v>
      </c>
      <c r="C6" s="84">
        <f>COUNTIF($F10:$F1000,C5)</f>
        <v>0</v>
      </c>
      <c r="D6" s="84">
        <f>COUNTIF($F10:$F1000,D5)</f>
        <v>8</v>
      </c>
      <c r="E6" s="90">
        <f>COUNTIF($F10:$F1000,E5)</f>
        <v>0</v>
      </c>
      <c r="F6" s="77"/>
      <c r="G6" s="77"/>
      <c r="H6" s="31"/>
      <c r="I6" s="77"/>
      <c r="J6" s="77"/>
      <c r="K6" s="31"/>
      <c r="L6" s="77"/>
      <c r="M6" s="77"/>
      <c r="N6" s="31"/>
      <c r="O6" s="31"/>
      <c r="P6" s="31"/>
      <c r="Q6" s="32"/>
    </row>
    <row r="7" spans="1:18" s="30" customFormat="1" ht="15" customHeight="1">
      <c r="A7" s="85" t="s">
        <v>41</v>
      </c>
      <c r="B7" s="84">
        <f>COUNTIF($I10:$I998,B5)</f>
        <v>0</v>
      </c>
      <c r="C7" s="84">
        <f>COUNTIF($I10:$I998,C5)</f>
        <v>0</v>
      </c>
      <c r="D7" s="84">
        <f>COUNTIF($I10:$I998,D5)</f>
        <v>8</v>
      </c>
      <c r="E7" s="90">
        <f>COUNTIF($I10:$I998,E5)</f>
        <v>0</v>
      </c>
      <c r="F7" s="77"/>
      <c r="G7" s="77"/>
      <c r="H7" s="31"/>
      <c r="I7" s="77"/>
      <c r="J7" s="77"/>
      <c r="K7" s="31"/>
      <c r="L7" s="77"/>
      <c r="M7" s="77"/>
      <c r="N7" s="31"/>
      <c r="O7" s="31"/>
      <c r="P7" s="31"/>
      <c r="Q7" s="32"/>
    </row>
    <row r="8" spans="1:18" s="30" customFormat="1" ht="15" customHeight="1" thickBot="1">
      <c r="A8" s="87" t="s">
        <v>42</v>
      </c>
      <c r="B8" s="88">
        <f>COUNTIF($L10:$L998,B5)</f>
        <v>0</v>
      </c>
      <c r="C8" s="88">
        <f>COUNTIF($L10:$L998,C5)</f>
        <v>0</v>
      </c>
      <c r="D8" s="88">
        <f>COUNTIF($L10:$L998,D5)</f>
        <v>8</v>
      </c>
      <c r="E8" s="89">
        <f>COUNTIF($L10:$L998,E5)</f>
        <v>0</v>
      </c>
      <c r="F8" s="77"/>
      <c r="G8" s="77"/>
      <c r="H8" s="31"/>
      <c r="I8" s="77"/>
      <c r="J8" s="77"/>
      <c r="K8" s="31"/>
      <c r="L8" s="77"/>
      <c r="M8" s="77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2" t="s">
        <v>43</v>
      </c>
      <c r="B10" s="82" t="s">
        <v>23</v>
      </c>
      <c r="C10" s="82" t="s">
        <v>34</v>
      </c>
      <c r="D10" s="82" t="s">
        <v>33</v>
      </c>
      <c r="E10" s="82" t="s">
        <v>40</v>
      </c>
      <c r="F10" s="82" t="s">
        <v>39</v>
      </c>
      <c r="G10" s="82" t="s">
        <v>24</v>
      </c>
      <c r="H10" s="82" t="s">
        <v>21</v>
      </c>
      <c r="I10" s="82" t="s">
        <v>41</v>
      </c>
      <c r="J10" s="82" t="s">
        <v>24</v>
      </c>
      <c r="K10" s="82" t="s">
        <v>21</v>
      </c>
      <c r="L10" s="82" t="s">
        <v>42</v>
      </c>
      <c r="M10" s="82" t="s">
        <v>24</v>
      </c>
      <c r="N10" s="82" t="s">
        <v>21</v>
      </c>
      <c r="O10" s="82" t="s">
        <v>25</v>
      </c>
      <c r="Q10" s="34"/>
    </row>
    <row r="11" spans="1:18" s="30" customFormat="1" ht="15.75" customHeight="1">
      <c r="A11" s="78" t="s">
        <v>179</v>
      </c>
      <c r="B11" s="78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0"/>
      <c r="Q11" s="38"/>
    </row>
    <row r="12" spans="1:18" s="44" customFormat="1" ht="121" customHeight="1" outlineLevel="1">
      <c r="A12" s="39" t="s">
        <v>180</v>
      </c>
      <c r="B12" s="40" t="s">
        <v>181</v>
      </c>
      <c r="C12" s="40" t="s">
        <v>182</v>
      </c>
      <c r="D12" s="41" t="s">
        <v>183</v>
      </c>
      <c r="E12" s="41" t="s">
        <v>184</v>
      </c>
      <c r="F12" s="39" t="s">
        <v>35</v>
      </c>
      <c r="G12" s="39"/>
      <c r="H12" s="39"/>
      <c r="I12" s="39" t="s">
        <v>35</v>
      </c>
      <c r="J12" s="39"/>
      <c r="K12" s="39"/>
      <c r="L12" s="39" t="s">
        <v>35</v>
      </c>
      <c r="M12" s="39"/>
      <c r="N12" s="39"/>
      <c r="O12" s="42"/>
      <c r="Q12" s="43"/>
    </row>
    <row r="13" spans="1:18" ht="50" outlineLevel="1">
      <c r="A13" s="39" t="s">
        <v>185</v>
      </c>
      <c r="B13" s="39" t="s">
        <v>186</v>
      </c>
      <c r="C13" s="39" t="s">
        <v>187</v>
      </c>
      <c r="D13" s="45" t="s">
        <v>188</v>
      </c>
      <c r="E13" s="45" t="s">
        <v>189</v>
      </c>
      <c r="F13" s="39" t="s">
        <v>35</v>
      </c>
      <c r="G13" s="39"/>
      <c r="H13" s="39"/>
      <c r="I13" s="39" t="s">
        <v>35</v>
      </c>
      <c r="J13" s="39"/>
      <c r="K13" s="39"/>
      <c r="L13" s="39" t="s">
        <v>35</v>
      </c>
      <c r="M13" s="39"/>
      <c r="N13" s="39"/>
      <c r="O13" s="42"/>
      <c r="Q13" s="43"/>
    </row>
    <row r="14" spans="1:18" s="30" customFormat="1" ht="15.75" customHeight="1">
      <c r="A14" s="78" t="s">
        <v>190</v>
      </c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Q14" s="38"/>
    </row>
    <row r="15" spans="1:18" ht="12.5" customHeight="1" outlineLevel="1">
      <c r="A15" s="39" t="s">
        <v>191</v>
      </c>
      <c r="B15" s="39" t="s">
        <v>192</v>
      </c>
      <c r="C15" s="39" t="s">
        <v>193</v>
      </c>
      <c r="D15" s="39" t="s">
        <v>194</v>
      </c>
      <c r="E15" s="39" t="s">
        <v>195</v>
      </c>
      <c r="F15" s="39" t="s">
        <v>35</v>
      </c>
      <c r="G15" s="39"/>
      <c r="H15" s="39"/>
      <c r="I15" s="39" t="s">
        <v>35</v>
      </c>
      <c r="J15" s="39"/>
      <c r="K15" s="39"/>
      <c r="L15" s="39" t="s">
        <v>35</v>
      </c>
      <c r="M15" s="39"/>
      <c r="N15" s="39"/>
      <c r="O15" s="42"/>
      <c r="Q15" s="43"/>
    </row>
    <row r="16" spans="1:18" ht="37.5" outlineLevel="1">
      <c r="A16" s="39" t="s">
        <v>196</v>
      </c>
      <c r="B16" s="39" t="s">
        <v>197</v>
      </c>
      <c r="C16" s="39" t="s">
        <v>198</v>
      </c>
      <c r="D16" s="39" t="s">
        <v>199</v>
      </c>
      <c r="E16" s="39" t="s">
        <v>200</v>
      </c>
      <c r="F16" s="39" t="s">
        <v>35</v>
      </c>
      <c r="G16" s="39"/>
      <c r="H16" s="39"/>
      <c r="I16" s="39" t="s">
        <v>35</v>
      </c>
      <c r="J16" s="39"/>
      <c r="K16" s="39"/>
      <c r="L16" s="39" t="s">
        <v>35</v>
      </c>
      <c r="M16" s="39"/>
      <c r="N16" s="39"/>
      <c r="O16" s="42"/>
      <c r="Q16" s="43"/>
    </row>
    <row r="17" spans="1:17" ht="25" outlineLevel="1">
      <c r="A17" s="39" t="s">
        <v>201</v>
      </c>
      <c r="B17" s="39" t="s">
        <v>202</v>
      </c>
      <c r="C17" s="39" t="s">
        <v>203</v>
      </c>
      <c r="D17" s="39" t="s">
        <v>204</v>
      </c>
      <c r="E17" s="39" t="s">
        <v>200</v>
      </c>
      <c r="F17" s="39" t="s">
        <v>35</v>
      </c>
      <c r="G17" s="46"/>
      <c r="H17" s="46"/>
      <c r="I17" s="39" t="s">
        <v>35</v>
      </c>
      <c r="J17" s="46"/>
      <c r="K17" s="46"/>
      <c r="L17" s="39" t="s">
        <v>35</v>
      </c>
      <c r="M17" s="46"/>
      <c r="N17" s="46"/>
      <c r="O17" s="46"/>
    </row>
    <row r="18" spans="1:17" s="30" customFormat="1" ht="15.75" customHeight="1">
      <c r="A18" s="78" t="s">
        <v>205</v>
      </c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Q18" s="38"/>
    </row>
    <row r="19" spans="1:17" ht="37.5" outlineLevel="1">
      <c r="A19" s="39" t="s">
        <v>206</v>
      </c>
      <c r="B19" s="39" t="s">
        <v>207</v>
      </c>
      <c r="C19" s="39" t="s">
        <v>208</v>
      </c>
      <c r="D19" s="39" t="s">
        <v>209</v>
      </c>
      <c r="E19" s="39" t="s">
        <v>210</v>
      </c>
      <c r="F19" s="39" t="s">
        <v>35</v>
      </c>
      <c r="G19" s="39"/>
      <c r="H19" s="39"/>
      <c r="I19" s="39" t="s">
        <v>35</v>
      </c>
      <c r="J19" s="39"/>
      <c r="K19" s="39"/>
      <c r="L19" s="39" t="s">
        <v>35</v>
      </c>
      <c r="M19" s="39"/>
      <c r="N19" s="39"/>
      <c r="O19" s="42"/>
      <c r="Q19" s="43"/>
    </row>
    <row r="20" spans="1:17" ht="37.5" outlineLevel="1">
      <c r="A20" s="39" t="s">
        <v>211</v>
      </c>
      <c r="B20" s="39" t="s">
        <v>212</v>
      </c>
      <c r="C20" s="39" t="s">
        <v>213</v>
      </c>
      <c r="D20" s="39" t="s">
        <v>214</v>
      </c>
      <c r="E20" s="39" t="s">
        <v>215</v>
      </c>
      <c r="F20" s="39" t="s">
        <v>35</v>
      </c>
      <c r="G20" s="39"/>
      <c r="H20" s="39"/>
      <c r="I20" s="39" t="s">
        <v>35</v>
      </c>
      <c r="J20" s="39"/>
      <c r="K20" s="39"/>
      <c r="L20" s="39" t="s">
        <v>35</v>
      </c>
      <c r="M20" s="39"/>
      <c r="N20" s="39"/>
      <c r="O20" s="42"/>
      <c r="Q20" s="43"/>
    </row>
    <row r="21" spans="1:17" ht="37.5" outlineLevel="1">
      <c r="A21" s="39" t="s">
        <v>216</v>
      </c>
      <c r="B21" s="39" t="s">
        <v>217</v>
      </c>
      <c r="C21" s="39" t="s">
        <v>218</v>
      </c>
      <c r="D21" s="39" t="s">
        <v>219</v>
      </c>
      <c r="E21" s="39" t="s">
        <v>220</v>
      </c>
      <c r="F21" s="39" t="s">
        <v>35</v>
      </c>
      <c r="G21" s="39"/>
      <c r="H21" s="39"/>
      <c r="I21" s="39" t="s">
        <v>35</v>
      </c>
      <c r="J21" s="39"/>
      <c r="K21" s="39"/>
      <c r="L21" s="39" t="s">
        <v>35</v>
      </c>
      <c r="M21" s="39"/>
      <c r="N21" s="39"/>
      <c r="O21" s="42"/>
      <c r="Q21" s="43"/>
    </row>
  </sheetData>
  <mergeCells count="3">
    <mergeCell ref="B2:E2"/>
    <mergeCell ref="B3:E3"/>
    <mergeCell ref="B4:E4"/>
  </mergeCells>
  <dataValidations count="2">
    <dataValidation allowBlank="1" showErrorMessage="1" sqref="F10 I10 L10" xr:uid="{FF933DDE-7102-4909-8FD3-C0DE86840E94}"/>
    <dataValidation type="list" allowBlank="1" showErrorMessage="1" sqref="G2:G3 G9 G22:G149 J2:J3 J9 J22:J149 M2:M3 M9 M22:M149 F12:F21 L12:L21 I12:I21" xr:uid="{BD6FD130-17E3-479A-AB59-E26A40076551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A776-1058-458B-8B3E-A23E239EE7EA}">
  <sheetPr>
    <outlinePr summaryBelow="0" summaryRight="0"/>
  </sheetPr>
  <dimension ref="A1:R21"/>
  <sheetViews>
    <sheetView tabSelected="1" zoomScale="85" zoomScaleNormal="85" workbookViewId="0">
      <pane ySplit="10" topLeftCell="A11" activePane="bottomLeft" state="frozen"/>
      <selection pane="bottomLeft" activeCell="A15" sqref="A15:XFD15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/>
    <col min="7" max="7" width="10.6328125" style="1" customWidth="1" outlineLevel="1"/>
    <col min="8" max="8" width="7" style="1" bestFit="1" customWidth="1" outlineLevel="1"/>
    <col min="9" max="9" width="9.36328125" style="1" customWidth="1"/>
    <col min="10" max="10" width="10.6328125" style="1" customWidth="1" outlineLevel="1"/>
    <col min="11" max="11" width="7" style="1" bestFit="1" customWidth="1" outlineLevel="1"/>
    <col min="12" max="12" width="9.36328125" style="1" customWidth="1"/>
    <col min="13" max="13" width="10.6328125" style="1" customWidth="1" outlineLevel="1"/>
    <col min="14" max="14" width="7" style="1" bestFit="1" customWidth="1" outlineLevel="1"/>
    <col min="15" max="15" width="28.6328125" style="1" customWidth="1"/>
    <col min="16" max="16" width="10.08984375" style="1" customWidth="1"/>
    <col min="17" max="17" width="8.08984375" style="28" customWidth="1"/>
    <col min="18" max="18" width="7.6328125" style="1" hidden="1" customWidth="1"/>
    <col min="19" max="16384" width="9" style="1"/>
  </cols>
  <sheetData>
    <row r="1" spans="1:18" ht="13" thickBot="1"/>
    <row r="2" spans="1:18" s="30" customFormat="1" ht="15" customHeight="1">
      <c r="A2" s="91" t="s">
        <v>47</v>
      </c>
      <c r="B2" s="136" t="s">
        <v>221</v>
      </c>
      <c r="C2" s="136"/>
      <c r="D2" s="136"/>
      <c r="E2" s="137"/>
      <c r="F2" s="81"/>
      <c r="G2" s="75"/>
      <c r="H2" s="9"/>
      <c r="I2" s="81"/>
      <c r="J2" s="75"/>
      <c r="K2" s="9"/>
      <c r="L2" s="81"/>
      <c r="M2" s="75"/>
      <c r="N2" s="9"/>
      <c r="O2" s="9"/>
      <c r="P2" s="9"/>
      <c r="Q2" s="29"/>
      <c r="R2" s="30" t="s">
        <v>36</v>
      </c>
    </row>
    <row r="3" spans="1:18" s="30" customFormat="1">
      <c r="A3" s="92" t="s">
        <v>20</v>
      </c>
      <c r="B3" s="138"/>
      <c r="C3" s="138"/>
      <c r="D3" s="138"/>
      <c r="E3" s="139"/>
      <c r="F3" s="81"/>
      <c r="G3" s="75"/>
      <c r="H3" s="9"/>
      <c r="I3" s="81"/>
      <c r="J3" s="75"/>
      <c r="K3" s="9"/>
      <c r="L3" s="81"/>
      <c r="M3" s="75"/>
      <c r="N3" s="9"/>
      <c r="O3" s="9"/>
      <c r="P3" s="9"/>
      <c r="Q3" s="29"/>
      <c r="R3" s="30" t="s">
        <v>37</v>
      </c>
    </row>
    <row r="4" spans="1:18" s="30" customFormat="1" ht="18" customHeight="1">
      <c r="A4" s="92" t="s">
        <v>44</v>
      </c>
      <c r="B4" s="138">
        <f>COUNTIF($A$12:$A$1000,"TC-*")</f>
        <v>8</v>
      </c>
      <c r="C4" s="138"/>
      <c r="D4" s="138"/>
      <c r="E4" s="139"/>
      <c r="F4" s="81"/>
      <c r="G4" s="75"/>
      <c r="H4" s="9"/>
      <c r="I4" s="81"/>
      <c r="J4" s="75"/>
      <c r="K4" s="9"/>
      <c r="L4" s="81"/>
      <c r="M4" s="75"/>
      <c r="N4" s="9"/>
      <c r="O4" s="9"/>
      <c r="P4" s="9"/>
      <c r="Q4" s="29"/>
      <c r="R4" s="30" t="s">
        <v>35</v>
      </c>
    </row>
    <row r="5" spans="1:18" s="30" customFormat="1" ht="19.5" customHeight="1">
      <c r="A5" s="85" t="s">
        <v>38</v>
      </c>
      <c r="B5" s="83" t="s">
        <v>36</v>
      </c>
      <c r="C5" s="83" t="s">
        <v>37</v>
      </c>
      <c r="D5" s="83" t="s">
        <v>35</v>
      </c>
      <c r="E5" s="86" t="s">
        <v>22</v>
      </c>
      <c r="F5" s="76"/>
      <c r="G5" s="76"/>
      <c r="H5" s="31"/>
      <c r="I5" s="76"/>
      <c r="J5" s="76"/>
      <c r="K5" s="31"/>
      <c r="L5" s="76"/>
      <c r="M5" s="76"/>
      <c r="N5" s="31"/>
      <c r="O5" s="31"/>
      <c r="P5" s="31"/>
      <c r="Q5" s="32"/>
      <c r="R5" s="30" t="s">
        <v>22</v>
      </c>
    </row>
    <row r="6" spans="1:18" s="30" customFormat="1" ht="15" customHeight="1">
      <c r="A6" s="85" t="s">
        <v>39</v>
      </c>
      <c r="B6" s="84">
        <f>COUNTIF($F10:$F1000,B5)</f>
        <v>0</v>
      </c>
      <c r="C6" s="84">
        <f>COUNTIF($F10:$F1000,C5)</f>
        <v>0</v>
      </c>
      <c r="D6" s="84">
        <f>COUNTIF($F10:$F1000,D5)</f>
        <v>8</v>
      </c>
      <c r="E6" s="90">
        <f>COUNTIF($F10:$F1000,E5)</f>
        <v>0</v>
      </c>
      <c r="F6" s="77"/>
      <c r="G6" s="77"/>
      <c r="H6" s="31"/>
      <c r="I6" s="77"/>
      <c r="J6" s="77"/>
      <c r="K6" s="31"/>
      <c r="L6" s="77"/>
      <c r="M6" s="77"/>
      <c r="N6" s="31"/>
      <c r="O6" s="31"/>
      <c r="P6" s="31"/>
      <c r="Q6" s="32"/>
    </row>
    <row r="7" spans="1:18" s="30" customFormat="1" ht="15" customHeight="1">
      <c r="A7" s="85" t="s">
        <v>41</v>
      </c>
      <c r="B7" s="84">
        <f>COUNTIF($I10:$I998,B5)</f>
        <v>0</v>
      </c>
      <c r="C7" s="84">
        <f>COUNTIF($I10:$I998,C5)</f>
        <v>0</v>
      </c>
      <c r="D7" s="84">
        <f>COUNTIF($I10:$I998,D5)</f>
        <v>8</v>
      </c>
      <c r="E7" s="90">
        <f>COUNTIF($I10:$I998,E5)</f>
        <v>0</v>
      </c>
      <c r="F7" s="77"/>
      <c r="G7" s="77"/>
      <c r="H7" s="31"/>
      <c r="I7" s="77"/>
      <c r="J7" s="77"/>
      <c r="K7" s="31"/>
      <c r="L7" s="77"/>
      <c r="M7" s="77"/>
      <c r="N7" s="31"/>
      <c r="O7" s="31"/>
      <c r="P7" s="31"/>
      <c r="Q7" s="32"/>
    </row>
    <row r="8" spans="1:18" s="30" customFormat="1" ht="15" customHeight="1" thickBot="1">
      <c r="A8" s="87" t="s">
        <v>42</v>
      </c>
      <c r="B8" s="88">
        <f>COUNTIF($L10:$L998,B5)</f>
        <v>0</v>
      </c>
      <c r="C8" s="88">
        <f>COUNTIF($L10:$L998,C5)</f>
        <v>0</v>
      </c>
      <c r="D8" s="88">
        <f>COUNTIF($L10:$L998,D5)</f>
        <v>8</v>
      </c>
      <c r="E8" s="89">
        <f>COUNTIF($L10:$L998,E5)</f>
        <v>0</v>
      </c>
      <c r="F8" s="77"/>
      <c r="G8" s="77"/>
      <c r="H8" s="31"/>
      <c r="I8" s="77"/>
      <c r="J8" s="77"/>
      <c r="K8" s="31"/>
      <c r="L8" s="77"/>
      <c r="M8" s="77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2" t="s">
        <v>43</v>
      </c>
      <c r="B10" s="82" t="s">
        <v>23</v>
      </c>
      <c r="C10" s="82" t="s">
        <v>34</v>
      </c>
      <c r="D10" s="82" t="s">
        <v>33</v>
      </c>
      <c r="E10" s="82" t="s">
        <v>40</v>
      </c>
      <c r="F10" s="82" t="s">
        <v>39</v>
      </c>
      <c r="G10" s="82" t="s">
        <v>24</v>
      </c>
      <c r="H10" s="82" t="s">
        <v>21</v>
      </c>
      <c r="I10" s="82" t="s">
        <v>41</v>
      </c>
      <c r="J10" s="82" t="s">
        <v>24</v>
      </c>
      <c r="K10" s="82" t="s">
        <v>21</v>
      </c>
      <c r="L10" s="82" t="s">
        <v>42</v>
      </c>
      <c r="M10" s="82" t="s">
        <v>24</v>
      </c>
      <c r="N10" s="82" t="s">
        <v>21</v>
      </c>
      <c r="O10" s="82" t="s">
        <v>25</v>
      </c>
      <c r="Q10" s="34"/>
    </row>
    <row r="11" spans="1:18" s="30" customFormat="1" ht="15.75" customHeight="1">
      <c r="A11" s="78" t="s">
        <v>222</v>
      </c>
      <c r="B11" s="78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0"/>
      <c r="Q11" s="38"/>
    </row>
    <row r="12" spans="1:18" s="44" customFormat="1" ht="121" customHeight="1" outlineLevel="1">
      <c r="A12" s="39" t="s">
        <v>223</v>
      </c>
      <c r="B12" s="40" t="s">
        <v>224</v>
      </c>
      <c r="C12" s="40" t="s">
        <v>225</v>
      </c>
      <c r="D12" s="41" t="s">
        <v>226</v>
      </c>
      <c r="E12" s="41" t="s">
        <v>227</v>
      </c>
      <c r="F12" s="39" t="s">
        <v>35</v>
      </c>
      <c r="G12" s="39"/>
      <c r="H12" s="39"/>
      <c r="I12" s="39" t="s">
        <v>35</v>
      </c>
      <c r="J12" s="39"/>
      <c r="K12" s="39"/>
      <c r="L12" s="39" t="s">
        <v>35</v>
      </c>
      <c r="M12" s="39"/>
      <c r="N12" s="39"/>
      <c r="O12" s="42"/>
      <c r="Q12" s="43"/>
    </row>
    <row r="13" spans="1:18" ht="50" outlineLevel="1">
      <c r="A13" s="39" t="s">
        <v>228</v>
      </c>
      <c r="B13" s="39" t="s">
        <v>229</v>
      </c>
      <c r="C13" s="39" t="s">
        <v>230</v>
      </c>
      <c r="D13" s="45" t="s">
        <v>231</v>
      </c>
      <c r="E13" s="45" t="s">
        <v>232</v>
      </c>
      <c r="F13" s="39" t="s">
        <v>35</v>
      </c>
      <c r="G13" s="39"/>
      <c r="H13" s="39"/>
      <c r="I13" s="39" t="s">
        <v>35</v>
      </c>
      <c r="J13" s="39"/>
      <c r="K13" s="39"/>
      <c r="L13" s="39" t="s">
        <v>35</v>
      </c>
      <c r="M13" s="39"/>
      <c r="N13" s="39"/>
      <c r="O13" s="42"/>
      <c r="Q13" s="43"/>
    </row>
    <row r="14" spans="1:18" s="30" customFormat="1" ht="15.75" customHeight="1">
      <c r="A14" s="78" t="s">
        <v>233</v>
      </c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Q14" s="38"/>
    </row>
    <row r="15" spans="1:18" ht="12.5" customHeight="1" outlineLevel="1">
      <c r="A15" s="39" t="s">
        <v>234</v>
      </c>
      <c r="B15" s="39" t="s">
        <v>235</v>
      </c>
      <c r="C15" s="39" t="s">
        <v>236</v>
      </c>
      <c r="D15" s="39" t="s">
        <v>237</v>
      </c>
      <c r="E15" s="39" t="s">
        <v>238</v>
      </c>
      <c r="F15" s="39" t="s">
        <v>35</v>
      </c>
      <c r="G15" s="39"/>
      <c r="H15" s="39"/>
      <c r="I15" s="39" t="s">
        <v>35</v>
      </c>
      <c r="J15" s="39"/>
      <c r="K15" s="39"/>
      <c r="L15" s="39" t="s">
        <v>35</v>
      </c>
      <c r="M15" s="39"/>
      <c r="N15" s="39"/>
      <c r="O15" s="42"/>
      <c r="Q15" s="43"/>
    </row>
    <row r="16" spans="1:18" ht="37.5" outlineLevel="1">
      <c r="A16" s="39" t="s">
        <v>239</v>
      </c>
      <c r="B16" s="39" t="s">
        <v>240</v>
      </c>
      <c r="C16" s="39" t="s">
        <v>241</v>
      </c>
      <c r="D16" s="39" t="s">
        <v>242</v>
      </c>
      <c r="E16" s="39" t="s">
        <v>243</v>
      </c>
      <c r="F16" s="39" t="s">
        <v>35</v>
      </c>
      <c r="G16" s="39"/>
      <c r="H16" s="39"/>
      <c r="I16" s="39" t="s">
        <v>35</v>
      </c>
      <c r="J16" s="39"/>
      <c r="K16" s="39"/>
      <c r="L16" s="39" t="s">
        <v>35</v>
      </c>
      <c r="M16" s="39"/>
      <c r="N16" s="39"/>
      <c r="O16" s="42"/>
      <c r="Q16" s="43"/>
    </row>
    <row r="17" spans="1:17" ht="25" outlineLevel="1">
      <c r="A17" s="39" t="s">
        <v>244</v>
      </c>
      <c r="B17" s="39" t="s">
        <v>245</v>
      </c>
      <c r="C17" s="39" t="s">
        <v>246</v>
      </c>
      <c r="D17" s="39" t="s">
        <v>247</v>
      </c>
      <c r="E17" s="39" t="s">
        <v>248</v>
      </c>
      <c r="F17" s="39" t="s">
        <v>35</v>
      </c>
      <c r="G17" s="46"/>
      <c r="H17" s="46"/>
      <c r="I17" s="39" t="s">
        <v>35</v>
      </c>
      <c r="J17" s="46"/>
      <c r="K17" s="46"/>
      <c r="L17" s="39" t="s">
        <v>35</v>
      </c>
      <c r="M17" s="46"/>
      <c r="N17" s="46"/>
      <c r="O17" s="46"/>
    </row>
    <row r="18" spans="1:17" s="30" customFormat="1" ht="15.75" customHeight="1">
      <c r="A18" s="78" t="s">
        <v>249</v>
      </c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Q18" s="38"/>
    </row>
    <row r="19" spans="1:17" ht="62.5" outlineLevel="1">
      <c r="A19" s="39" t="s">
        <v>250</v>
      </c>
      <c r="B19" s="39" t="s">
        <v>251</v>
      </c>
      <c r="C19" s="39" t="s">
        <v>252</v>
      </c>
      <c r="D19" s="39" t="s">
        <v>253</v>
      </c>
      <c r="E19" s="39" t="s">
        <v>254</v>
      </c>
      <c r="F19" s="39" t="s">
        <v>35</v>
      </c>
      <c r="G19" s="39"/>
      <c r="H19" s="39"/>
      <c r="I19" s="39" t="s">
        <v>35</v>
      </c>
      <c r="J19" s="39"/>
      <c r="K19" s="39"/>
      <c r="L19" s="39" t="s">
        <v>35</v>
      </c>
      <c r="M19" s="39"/>
      <c r="N19" s="39"/>
      <c r="O19" s="42"/>
      <c r="Q19" s="43"/>
    </row>
    <row r="20" spans="1:17" ht="37.5" outlineLevel="1">
      <c r="A20" s="39" t="s">
        <v>255</v>
      </c>
      <c r="B20" s="39" t="s">
        <v>256</v>
      </c>
      <c r="C20" s="39" t="s">
        <v>257</v>
      </c>
      <c r="D20" s="39" t="s">
        <v>258</v>
      </c>
      <c r="E20" s="39" t="s">
        <v>259</v>
      </c>
      <c r="F20" s="39" t="s">
        <v>35</v>
      </c>
      <c r="G20" s="39"/>
      <c r="H20" s="39"/>
      <c r="I20" s="39" t="s">
        <v>35</v>
      </c>
      <c r="J20" s="39"/>
      <c r="K20" s="39"/>
      <c r="L20" s="39" t="s">
        <v>35</v>
      </c>
      <c r="M20" s="39"/>
      <c r="N20" s="39"/>
      <c r="O20" s="42"/>
      <c r="Q20" s="43"/>
    </row>
    <row r="21" spans="1:17" ht="37.5" outlineLevel="1">
      <c r="A21" s="39" t="s">
        <v>260</v>
      </c>
      <c r="B21" s="39" t="s">
        <v>261</v>
      </c>
      <c r="C21" s="39" t="s">
        <v>262</v>
      </c>
      <c r="D21" s="39" t="s">
        <v>263</v>
      </c>
      <c r="E21" s="39" t="s">
        <v>264</v>
      </c>
      <c r="F21" s="39" t="s">
        <v>35</v>
      </c>
      <c r="G21" s="39"/>
      <c r="H21" s="39"/>
      <c r="I21" s="39" t="s">
        <v>35</v>
      </c>
      <c r="J21" s="39"/>
      <c r="K21" s="39"/>
      <c r="L21" s="39" t="s">
        <v>35</v>
      </c>
      <c r="M21" s="39"/>
      <c r="N21" s="39"/>
      <c r="O21" s="42"/>
      <c r="Q21" s="43"/>
    </row>
  </sheetData>
  <mergeCells count="3">
    <mergeCell ref="B2:E2"/>
    <mergeCell ref="B3:E3"/>
    <mergeCell ref="B4:E4"/>
  </mergeCells>
  <dataValidations count="2">
    <dataValidation allowBlank="1" showErrorMessage="1" sqref="F10 I10 L10" xr:uid="{232F67B0-8677-4A6C-8212-6B1B21836743}"/>
    <dataValidation type="list" allowBlank="1" showErrorMessage="1" sqref="G2:G3 G9 G22:G149 J2:J3 J9 J22:J149 M2:M3 M9 M22:M149 F12:F21 L12:L21 I12:I21" xr:uid="{5F1008C4-EF55-4B63-8140-596B1B73BD95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 Cases</vt:lpstr>
      <vt:lpstr>Test Statistics</vt:lpstr>
      <vt:lpstr>WF01 Onboarding</vt:lpstr>
      <vt:lpstr>WF02 Auto-reply</vt:lpstr>
      <vt:lpstr>WF03 Incident Recovery</vt:lpstr>
      <vt:lpstr>WF04 Lead Pipeline</vt:lpstr>
      <vt:lpstr>WF05 Content Pipeline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Võ Thành Đạt</cp:lastModifiedBy>
  <cp:lastPrinted>2010-11-12T10:33:20Z</cp:lastPrinted>
  <dcterms:created xsi:type="dcterms:W3CDTF">2020-03-17T17:34:29Z</dcterms:created>
  <dcterms:modified xsi:type="dcterms:W3CDTF">2026-08-11T14:57:40Z</dcterms:modified>
  <cp:category>BM</cp:category>
</cp:coreProperties>
</file>