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Clawbot\docs\test\generated\"/>
    </mc:Choice>
  </mc:AlternateContent>
  <xr:revisionPtr revIDLastSave="0" documentId="13_ncr:1_{C77F0544-A8D1-4C5A-887D-CE7C29178EC5}" xr6:coauthVersionLast="47" xr6:coauthVersionMax="47" xr10:uidLastSave="{00000000-0000-0000-0000-000000000000}"/>
  <bookViews>
    <workbookView xWindow="1520" yWindow="1520" windowWidth="14400" windowHeight="7350" tabRatio="821" firstSheet="9" activeTab="13" xr2:uid="{00000000-000D-0000-FFFF-FFFF00000000}"/>
  </bookViews>
  <sheets>
    <sheet name="Cover" sheetId="9" r:id="rId1"/>
    <sheet name="Test Cases" sheetId="2" r:id="rId2"/>
    <sheet name="Test Statistics" sheetId="5" r:id="rId3"/>
    <sheet name="Login &amp; Authentication" sheetId="11" r:id="rId4"/>
    <sheet name="Omnichannel Inbox" sheetId="12" r:id="rId5"/>
    <sheet name="Knowledge Base" sheetId="13" r:id="rId6"/>
    <sheet name="Lead Management" sheetId="14" r:id="rId7"/>
    <sheet name="Content Pipeline" sheetId="15" r:id="rId8"/>
    <sheet name="Agent Orchestration" sheetId="16" r:id="rId9"/>
    <sheet name="Documents &amp; Reports" sheetId="17" r:id="rId10"/>
    <sheet name="Admin &amp; RBAC" sheetId="18" r:id="rId11"/>
    <sheet name="Notifications &amp; Labels" sheetId="19" r:id="rId12"/>
    <sheet name="Sale Assist &amp; Prompts" sheetId="20" r:id="rId13"/>
    <sheet name="Channel Integrations" sheetId="21" r:id="rId14"/>
    <sheet name="SecurityTest" sheetId="10" r:id="rId15"/>
  </sheets>
  <definedNames>
    <definedName name="_xlnm._FilterDatabase" localSheetId="10" hidden="1">'Admin &amp; RBAC'!$A$10:$P$18</definedName>
    <definedName name="_xlnm._FilterDatabase" localSheetId="8" hidden="1">'Agent Orchestration'!$A$10:$P$18</definedName>
    <definedName name="_xlnm._FilterDatabase" localSheetId="13" hidden="1">'Channel Integrations'!$A$10:$P$18</definedName>
    <definedName name="_xlnm._FilterDatabase" localSheetId="7" hidden="1">'Content Pipeline'!$A$10:$P$18</definedName>
    <definedName name="_xlnm._FilterDatabase" localSheetId="9" hidden="1">'Documents &amp; Reports'!$A$10:$P$18</definedName>
    <definedName name="_xlnm._FilterDatabase" localSheetId="5" hidden="1">'Knowledge Base'!$A$10:$P$18</definedName>
    <definedName name="_xlnm._FilterDatabase" localSheetId="6" hidden="1">'Lead Management'!$A$10:$P$18</definedName>
    <definedName name="_xlnm._FilterDatabase" localSheetId="3" hidden="1">'Login &amp; Authentication'!$A$10:$P$18</definedName>
    <definedName name="_xlnm._FilterDatabase" localSheetId="11" hidden="1">'Notifications &amp; Labels'!$A$10:$P$18</definedName>
    <definedName name="_xlnm._FilterDatabase" localSheetId="4" hidden="1">'Omnichannel Inbox'!$A$10:$P$18</definedName>
    <definedName name="_xlnm._FilterDatabase" localSheetId="12" hidden="1">'Sale Assist &amp; Prompts'!$A$10:$P$18</definedName>
    <definedName name="ACTION" localSheetId="0">#REF!</definedName>
    <definedName name="ACTION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1" i="5" l="1"/>
  <c r="G20" i="5"/>
  <c r="C20" i="5"/>
  <c r="C19" i="5"/>
  <c r="C18" i="5"/>
  <c r="G17" i="5"/>
  <c r="C17" i="5"/>
  <c r="C16" i="5"/>
  <c r="C15" i="5"/>
  <c r="G14" i="5"/>
  <c r="C14" i="5"/>
  <c r="C13" i="5"/>
  <c r="C12" i="5"/>
  <c r="G11" i="5"/>
  <c r="C11" i="5"/>
  <c r="D4" i="2"/>
  <c r="D3" i="2"/>
  <c r="E8" i="21"/>
  <c r="D8" i="21"/>
  <c r="C8" i="21"/>
  <c r="B8" i="21"/>
  <c r="E7" i="21"/>
  <c r="D7" i="21"/>
  <c r="C7" i="21"/>
  <c r="B7" i="21"/>
  <c r="B4" i="21"/>
  <c r="H21" i="5" s="1"/>
  <c r="E8" i="20"/>
  <c r="D8" i="20"/>
  <c r="C8" i="20"/>
  <c r="B8" i="20"/>
  <c r="E7" i="20"/>
  <c r="D7" i="20"/>
  <c r="C7" i="20"/>
  <c r="B7" i="20"/>
  <c r="B4" i="20"/>
  <c r="H20" i="5" s="1"/>
  <c r="E8" i="19"/>
  <c r="D8" i="19"/>
  <c r="C8" i="19"/>
  <c r="B8" i="19"/>
  <c r="E7" i="19"/>
  <c r="D7" i="19"/>
  <c r="C7" i="19"/>
  <c r="B7" i="19"/>
  <c r="B4" i="19"/>
  <c r="H19" i="5" s="1"/>
  <c r="E8" i="18"/>
  <c r="D8" i="18"/>
  <c r="C8" i="18"/>
  <c r="B8" i="18"/>
  <c r="E7" i="18"/>
  <c r="D7" i="18"/>
  <c r="C7" i="18"/>
  <c r="B7" i="18"/>
  <c r="B4" i="18"/>
  <c r="H18" i="5" s="1"/>
  <c r="E8" i="17"/>
  <c r="D8" i="17"/>
  <c r="C8" i="17"/>
  <c r="B8" i="17"/>
  <c r="E7" i="17"/>
  <c r="D7" i="17"/>
  <c r="C7" i="17"/>
  <c r="B7" i="17"/>
  <c r="B4" i="17"/>
  <c r="H17" i="5" s="1"/>
  <c r="E8" i="16"/>
  <c r="D8" i="16"/>
  <c r="C8" i="16"/>
  <c r="B8" i="16"/>
  <c r="E7" i="16"/>
  <c r="D7" i="16"/>
  <c r="C7" i="16"/>
  <c r="B7" i="16"/>
  <c r="B4" i="16"/>
  <c r="H16" i="5" s="1"/>
  <c r="E8" i="15"/>
  <c r="D8" i="15"/>
  <c r="C8" i="15"/>
  <c r="B8" i="15"/>
  <c r="E7" i="15"/>
  <c r="D7" i="15"/>
  <c r="C7" i="15"/>
  <c r="B7" i="15"/>
  <c r="B4" i="15"/>
  <c r="H15" i="5" s="1"/>
  <c r="E8" i="14"/>
  <c r="D8" i="14"/>
  <c r="C8" i="14"/>
  <c r="B8" i="14"/>
  <c r="E7" i="14"/>
  <c r="D7" i="14"/>
  <c r="C7" i="14"/>
  <c r="B7" i="14"/>
  <c r="B4" i="14"/>
  <c r="H14" i="5" s="1"/>
  <c r="E8" i="13"/>
  <c r="D8" i="13"/>
  <c r="C8" i="13"/>
  <c r="B8" i="13"/>
  <c r="E7" i="13"/>
  <c r="D7" i="13"/>
  <c r="C7" i="13"/>
  <c r="B7" i="13"/>
  <c r="B4" i="13"/>
  <c r="H13" i="5" s="1"/>
  <c r="E8" i="12"/>
  <c r="D8" i="12"/>
  <c r="C8" i="12"/>
  <c r="B8" i="12"/>
  <c r="E7" i="12"/>
  <c r="D7" i="12"/>
  <c r="C7" i="12"/>
  <c r="B7" i="12"/>
  <c r="B4" i="12"/>
  <c r="H12" i="5" s="1"/>
  <c r="E8" i="11"/>
  <c r="D8" i="11"/>
  <c r="C8" i="11"/>
  <c r="B8" i="11"/>
  <c r="E7" i="11"/>
  <c r="D7" i="11"/>
  <c r="C7" i="11"/>
  <c r="B7" i="11"/>
  <c r="B4" i="11"/>
  <c r="H11" i="5" s="1"/>
  <c r="H23" i="5" s="1"/>
  <c r="E6" i="21"/>
  <c r="G21" i="5" s="1"/>
  <c r="D6" i="21"/>
  <c r="F21" i="5" s="1"/>
  <c r="C6" i="21"/>
  <c r="E21" i="5" s="1"/>
  <c r="B6" i="21"/>
  <c r="D21" i="5" s="1"/>
  <c r="E6" i="20"/>
  <c r="D6" i="20"/>
  <c r="F20" i="5" s="1"/>
  <c r="C6" i="20"/>
  <c r="E20" i="5" s="1"/>
  <c r="B6" i="20"/>
  <c r="D20" i="5" s="1"/>
  <c r="E6" i="19"/>
  <c r="G19" i="5" s="1"/>
  <c r="D6" i="19"/>
  <c r="F19" i="5" s="1"/>
  <c r="C6" i="19"/>
  <c r="E19" i="5" s="1"/>
  <c r="B6" i="19"/>
  <c r="D19" i="5" s="1"/>
  <c r="E6" i="18"/>
  <c r="G18" i="5" s="1"/>
  <c r="D6" i="18"/>
  <c r="F18" i="5" s="1"/>
  <c r="C6" i="18"/>
  <c r="E18" i="5" s="1"/>
  <c r="B6" i="18"/>
  <c r="D18" i="5" s="1"/>
  <c r="E6" i="17"/>
  <c r="D6" i="17"/>
  <c r="F17" i="5" s="1"/>
  <c r="C6" i="17"/>
  <c r="E17" i="5" s="1"/>
  <c r="B6" i="17"/>
  <c r="D17" i="5" s="1"/>
  <c r="E6" i="16"/>
  <c r="G16" i="5" s="1"/>
  <c r="D6" i="16"/>
  <c r="F16" i="5" s="1"/>
  <c r="C6" i="16"/>
  <c r="E16" i="5" s="1"/>
  <c r="B6" i="16"/>
  <c r="D16" i="5" s="1"/>
  <c r="E6" i="15"/>
  <c r="G15" i="5" s="1"/>
  <c r="D6" i="15"/>
  <c r="F15" i="5" s="1"/>
  <c r="C6" i="15"/>
  <c r="E15" i="5" s="1"/>
  <c r="B6" i="15"/>
  <c r="D15" i="5" s="1"/>
  <c r="E6" i="14"/>
  <c r="D6" i="14"/>
  <c r="F14" i="5" s="1"/>
  <c r="C6" i="14"/>
  <c r="E14" i="5" s="1"/>
  <c r="B6" i="14"/>
  <c r="D14" i="5" s="1"/>
  <c r="E6" i="13"/>
  <c r="G13" i="5" s="1"/>
  <c r="D6" i="13"/>
  <c r="F13" i="5" s="1"/>
  <c r="C6" i="13"/>
  <c r="E13" i="5" s="1"/>
  <c r="B6" i="13"/>
  <c r="D13" i="5" s="1"/>
  <c r="E6" i="12"/>
  <c r="G12" i="5" s="1"/>
  <c r="D6" i="12"/>
  <c r="F12" i="5" s="1"/>
  <c r="C6" i="12"/>
  <c r="E12" i="5" s="1"/>
  <c r="B6" i="12"/>
  <c r="D12" i="5" s="1"/>
  <c r="E6" i="11"/>
  <c r="D6" i="11"/>
  <c r="F11" i="5" s="1"/>
  <c r="C6" i="11"/>
  <c r="E11" i="5" s="1"/>
  <c r="E23" i="5" s="1"/>
  <c r="B6" i="11"/>
  <c r="D11" i="5" s="1"/>
  <c r="D23" i="5" s="1"/>
  <c r="B6" i="9"/>
  <c r="F23" i="5" l="1"/>
  <c r="G23" i="5"/>
  <c r="E26" i="5" s="1"/>
  <c r="C5" i="5"/>
  <c r="E25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C47225F5-221F-9443-B842-2F7F73318C79}">
      <text>
        <r>
          <rPr>
            <b/>
            <sz val="8"/>
            <color indexed="81"/>
            <rFont val="Tahoma"/>
            <family val="2"/>
          </rPr>
          <t>*A</t>
        </r>
        <r>
          <rPr>
            <sz val="8"/>
            <color indexed="81"/>
            <rFont val="Tahoma"/>
            <family val="2"/>
          </rPr>
          <t xml:space="preserve">: Add
  </t>
        </r>
        <r>
          <rPr>
            <b/>
            <sz val="8"/>
            <color indexed="81"/>
            <rFont val="Tahoma"/>
            <family val="2"/>
          </rPr>
          <t>M</t>
        </r>
        <r>
          <rPr>
            <sz val="8"/>
            <color indexed="81"/>
            <rFont val="Tahoma"/>
            <family val="2"/>
          </rPr>
          <t xml:space="preserve">: Modify
  </t>
        </r>
        <r>
          <rPr>
            <b/>
            <sz val="8"/>
            <color indexed="81"/>
            <rFont val="Tahoma"/>
            <family val="2"/>
          </rPr>
          <t>D</t>
        </r>
        <r>
          <rPr>
            <sz val="8"/>
            <color indexed="81"/>
            <rFont val="Tahoma"/>
            <family val="2"/>
          </rPr>
          <t xml:space="preserve">: Delete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E13EFAC8-FAFD-4713-BC72-A9A94E99E09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EE041915-402C-4D34-9CE1-00384554BF4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243AF475-BC97-4E35-873B-5E139A713B1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96362D91-6E96-42F6-8481-624B816CF3BE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A86A054E-A10E-4462-BB22-146B25D5B379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38F6BEBD-297E-4715-93A1-4B2350B0D8A1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6F2E58C9-3049-4174-8930-717A847649D6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063EEA90-720D-46F6-98C7-9DF46D545736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D1633DF9-075F-4E47-99BE-4BAD2A09E2F3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CD19C8D2-E0CB-4578-8F57-048CC139E481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tqsang</author>
  </authors>
  <commentList>
    <comment ref="E10" authorId="0" shapeId="0" xr:uid="{5EC95E8B-2C09-4D7D-82D7-3D204BD39BF8}">
      <text>
        <r>
          <rPr>
            <sz val="8"/>
            <color rgb="FF000000"/>
            <rFont val="Tahoma"/>
            <family val="2"/>
          </rPr>
          <t>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<sst xmlns="http://schemas.openxmlformats.org/spreadsheetml/2006/main" count="1908" uniqueCount="782">
  <si>
    <t>Project Name</t>
  </si>
  <si>
    <t>Creator</t>
  </si>
  <si>
    <t>Project Code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</si>
  <si>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</si>
  <si>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</si>
  <si>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</si>
  <si>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</si>
  <si>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</si>
  <si>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</si>
  <si>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</si>
  <si>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</si>
  <si>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</si>
  <si>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</si>
  <si>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</si>
  <si>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</si>
  <si>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</si>
  <si>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</si>
  <si>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</si>
  <si>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</si>
  <si>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</si>
  <si>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Function A</t>
  </si>
  <si>
    <t>Test requirement</t>
  </si>
  <si>
    <t>Tester</t>
  </si>
  <si>
    <t>N/A</t>
  </si>
  <si>
    <t>Test Case Description</t>
  </si>
  <si>
    <t>Test date</t>
  </si>
  <si>
    <t>Note</t>
  </si>
  <si>
    <t>Notes</t>
  </si>
  <si>
    <t>Module code</t>
  </si>
  <si>
    <t>Number of  test cases</t>
  </si>
  <si>
    <t>Sub total</t>
  </si>
  <si>
    <t>Test coverage</t>
  </si>
  <si>
    <t>%</t>
  </si>
  <si>
    <t>Test successful coverage</t>
  </si>
  <si>
    <t>Expected Results</t>
  </si>
  <si>
    <t>Test Case Procedure</t>
  </si>
  <si>
    <t>Feature</t>
  </si>
  <si>
    <t>Pending</t>
  </si>
  <si>
    <t>Passed</t>
  </si>
  <si>
    <t>Failed</t>
  </si>
  <si>
    <t>Testing Round</t>
  </si>
  <si>
    <t>Round 1</t>
  </si>
  <si>
    <t>Pre-conditions</t>
  </si>
  <si>
    <t>Round 2</t>
  </si>
  <si>
    <t>Round 3</t>
  </si>
  <si>
    <t>Test Case ID</t>
  </si>
  <si>
    <t>Number of TCs</t>
  </si>
  <si>
    <t>Defect IDs</t>
  </si>
  <si>
    <t>INTEGRATION TEST REPORT DOCUMENT</t>
  </si>
  <si>
    <t>INTEGRATION TEST STATISTICS</t>
  </si>
  <si>
    <t>Scenario Name</t>
  </si>
  <si>
    <t>Role / Session</t>
  </si>
  <si>
    <t>Coverage Technique</t>
  </si>
  <si>
    <t>Given</t>
  </si>
  <si>
    <t>When</t>
  </si>
  <si>
    <t>Then (Expected: HTTP Status / Visibility)</t>
  </si>
  <si>
    <t>Status</t>
  </si>
  <si>
    <t>Defect ID</t>
  </si>
  <si>
    <t>TC-SEC-001</t>
  </si>
  <si>
    <t>Internal note KHÔNG hiển thị cho Customer</t>
  </si>
  <si>
    <t>Customer (own order)</t>
  </si>
  <si>
    <t>Use Case Testing</t>
  </si>
  <si>
    <t>Order có internal note từ Staff</t>
  </si>
  <si>
    <t>GET /orders/{id} với session Customer</t>
  </si>
  <si>
    <t>HTML response KHÔNG chứa nội dung note ở bất kỳ đâu (kiểm tra page source, không chỉ UI)</t>
  </si>
  <si>
    <t>Not Run</t>
  </si>
  <si>
    <t>TC-SEC-002</t>
  </si>
  <si>
    <t>Staff chỉ truy cập đơn được assign</t>
  </si>
  <si>
    <t>Staff (not assigned)</t>
  </si>
  <si>
    <t>Order id=2 được assign cho Staff khác</t>
  </si>
  <si>
    <t>GET /staff/orders/2 với session staff_02</t>
  </si>
  <si>
    <t>HTTP 403 Forbidden</t>
  </si>
  <si>
    <t>TC-SEC-003</t>
  </si>
  <si>
    <t>Unauthenticated request đến protected URL</t>
  </si>
  <si>
    <t>(không có session)</t>
  </si>
  <si>
    <t>Error Guessing</t>
  </si>
  <si>
    <t>Không có session/cookie</t>
  </si>
  <si>
    <t>GET /staff/orders</t>
  </si>
  <si>
    <t>302 redirect đến /login</t>
  </si>
  <si>
    <t>TC-SEC-004</t>
  </si>
  <si>
    <t>Sai email/password → thông báo lỗi giống nhau</t>
  </si>
  <si>
    <t>(no session)</t>
  </si>
  <si>
    <t>Decision Table</t>
  </si>
  <si>
    <t>Không có account với email "x@y.com"</t>
  </si>
  <si>
    <t>POST /login với email không tồn tại / password sai</t>
  </si>
  <si>
    <t>Thông báo lỗi giống hệt nhau cho cả 2 trường hợp — không tiết lộ email tồn tại hay không</t>
  </si>
  <si>
    <t>Login &amp; Authentication</t>
  </si>
  <si>
    <t>JWT authentication with refresh-token rotation, 2FA, session revocation, password reset and change-password flows</t>
  </si>
  <si>
    <t>Login</t>
  </si>
  <si>
    <t>TC-LOG-001</t>
  </si>
  <si>
    <t>Sign in with valid credentials</t>
  </si>
  <si>
    <t>1. POST /auth/login with a valid email and password.
2. Check the response.</t>
  </si>
  <si>
    <t>HTTP 200; response body contains accessToken and refreshToken.</t>
  </si>
  <si>
    <t>The account is active and no lockout is in effect</t>
  </si>
  <si>
    <t>QA1</t>
  </si>
  <si>
    <t>TC-LOG-002</t>
  </si>
  <si>
    <t>Reject sign-in with a wrong password</t>
  </si>
  <si>
    <t>1. POST /auth/login with a valid email and an incorrect password.</t>
  </si>
  <si>
    <t>HTTP 401; no token is issued; generic error message returned.</t>
  </si>
  <si>
    <t>The account is active</t>
  </si>
  <si>
    <t>TC-LOG-003</t>
  </si>
  <si>
    <t>Lock the account after five consecutive wrong passwords</t>
  </si>
  <si>
    <t>1. POST /auth/login with a wrong password five times.
2. Submit the correct password.</t>
  </si>
  <si>
    <t>HTTP 429 or 401 on the sixth attempt; the correct password is also rejected until lockout expires.</t>
  </si>
  <si>
    <t>Lockout threshold is configured to five attempts</t>
  </si>
  <si>
    <t>DEF-001</t>
  </si>
  <si>
    <t>Round 1: the counter reset on every successful request, so the fifth wrong password still returned 401 instead of a lockout. Fixed and retested in round 2.</t>
  </si>
  <si>
    <t>Refresh and logout</t>
  </si>
  <si>
    <t>TC-LOG-004</t>
  </si>
  <si>
    <t>Refresh an access token using a valid refresh token</t>
  </si>
  <si>
    <t>1. POST /auth/refresh with a valid refreshToken.
2. Check the response.</t>
  </si>
  <si>
    <t>HTTP 200; new accessToken and rotated refreshToken are returned.</t>
  </si>
  <si>
    <t>A signed-in session exists with a valid refresh token</t>
  </si>
  <si>
    <t>TC-LOG-005</t>
  </si>
  <si>
    <t>Replay a refresh token after rotation is rejected</t>
  </si>
  <si>
    <t>1. POST /auth/refresh to rotate the token.
2. Replay the original refresh token.</t>
  </si>
  <si>
    <t>HTTP 401; the replayed token is rejected (rotation invalidates the previous token).</t>
  </si>
  <si>
    <t>A signed-in session exists</t>
  </si>
  <si>
    <t>TC-LOG-006</t>
  </si>
  <si>
    <t>Sign out revokes the refresh token</t>
  </si>
  <si>
    <t>1. POST /auth/logout.
2. Attempt to use the previous refresh token.</t>
  </si>
  <si>
    <t>Logout returns HTTP 200; the revoked refresh token is rejected with HTTP 401.</t>
  </si>
  <si>
    <t>An active session exists</t>
  </si>
  <si>
    <t>Two-factor authentication</t>
  </si>
  <si>
    <t>TC-LOG-007</t>
  </si>
  <si>
    <t>Enable 2FA and verify the setup TOTP code</t>
  </si>
  <si>
    <t>1. POST /auth/2fa/enable to get the TOTP secret.
2. POST /auth/2fa/verify with a valid TOTP code.</t>
  </si>
  <si>
    <t>2FA is enabled on the account; subsequent logins require a TOTP step.</t>
  </si>
  <si>
    <t>Account does not have 2FA enabled</t>
  </si>
  <si>
    <t>TC-LOG-008</t>
  </si>
  <si>
    <t>Complete login with a valid TOTP code when 2FA is active</t>
  </si>
  <si>
    <t>1. POST /auth/login to receive a partial token.
2. POST /auth/login/2fa with the current TOTP code.</t>
  </si>
  <si>
    <t>HTTP 200; full accessToken and refreshToken are returned.</t>
  </si>
  <si>
    <t>2FA is enabled on the account</t>
  </si>
  <si>
    <t>TC-LOG-009</t>
  </si>
  <si>
    <t>Reject login with an incorrect TOTP code</t>
  </si>
  <si>
    <t>1. POST /auth/login to receive a partial token.
2. POST /auth/login/2fa with an invalid TOTP code.</t>
  </si>
  <si>
    <t>HTTP 401; no full token is issued.</t>
  </si>
  <si>
    <t>Password management</t>
  </si>
  <si>
    <t>TC-LOG-010</t>
  </si>
  <si>
    <t>Change password while signed in</t>
  </si>
  <si>
    <t>1. POST /auth/change-password with the current and new passwords.
2. Sign out and sign back in with the new password.</t>
  </si>
  <si>
    <t>Password change returns HTTP 200; old password is no longer accepted.</t>
  </si>
  <si>
    <t>TC-LOG-011</t>
  </si>
  <si>
    <t>Request a password reset email</t>
  </si>
  <si>
    <t>1. POST /auth/reset/request with the account email.</t>
  </si>
  <si>
    <t>HTTP 200 is returned regardless of whether the email exists (no user enumeration).</t>
  </si>
  <si>
    <t>SMTP is configured in the test environment</t>
  </si>
  <si>
    <t>TC-LOG-012</t>
  </si>
  <si>
    <t>Confirm a password reset with a valid token</t>
  </si>
  <si>
    <t>1. Extract the reset token from the email link.
2. POST /auth/reset/confirm with the token and new password.</t>
  </si>
  <si>
    <t>HTTP 200; the user can sign in with the new password; the reset token cannot be reused.</t>
  </si>
  <si>
    <t>A valid reset token was issued within the expiry window</t>
  </si>
  <si>
    <t>TC-LOG-013</t>
  </si>
  <si>
    <t>Reject weak password on change-password</t>
  </si>
  <si>
    <t>1. POST /auth/change-password with new password '123'.
2. Check response.</t>
  </si>
  <si>
    <t>HTTP 400; password policy violation is returned.</t>
  </si>
  <si>
    <t>TC-LOG-014</t>
  </si>
  <si>
    <t>Issue date on JWT is not in the future</t>
  </si>
  <si>
    <t>1. POST /auth/login and decode the accessToken without verification.</t>
  </si>
  <si>
    <t>iat is within 60 seconds of server time; exp is after iat.</t>
  </si>
  <si>
    <t>Clock is synchronized</t>
  </si>
  <si>
    <t>TC-LOG-015</t>
  </si>
  <si>
    <t>Tenant claim in JWT matches the signed-in tenant</t>
  </si>
  <si>
    <t>1. Sign in as tenant B admin.
2. Decode accessToken and read tenant claim.</t>
  </si>
  <si>
    <t>Tenant claim equals the B tenant identifier; no tenant A data is accessible.</t>
  </si>
  <si>
    <t>Two tenants exist</t>
  </si>
  <si>
    <t>Omnichannel Inbox</t>
  </si>
  <si>
    <t>Channel connection, message ingestion via webhook and polling, deduplication, outbound replies, auto-reply with AI, pause/resume, draft approval, escalation and conversation search</t>
  </si>
  <si>
    <t>Channel connection</t>
  </si>
  <si>
    <t>TC-INB-001</t>
  </si>
  <si>
    <t>Connect a channel with a valid page token</t>
  </si>
  <si>
    <t>1. POST /api/admin/inboxes with a valid page token.
2. Wait for the first sync to start.</t>
  </si>
  <si>
    <t>HTTP 201; channel is listed as connected; initial conversation sync begins.</t>
  </si>
  <si>
    <t>A valid page token is available</t>
  </si>
  <si>
    <t>QA2</t>
  </si>
  <si>
    <t>TC-INB-002</t>
  </si>
  <si>
    <t>Reject a channel connection with an invalid token</t>
  </si>
  <si>
    <t>1. POST /api/admin/inboxes with an invalid token.</t>
  </si>
  <si>
    <t>HTTP 422; no inbox row is persisted; error message is returned.</t>
  </si>
  <si>
    <t>None</t>
  </si>
  <si>
    <t>TC-INB-003</t>
  </si>
  <si>
    <t>Reconnect a channel after the token is revoked</t>
  </si>
  <si>
    <t>1. Revoke the token at the provider.
2. PUT /api/admin/inboxes/{id} with a new token.</t>
  </si>
  <si>
    <t>Sync error is cleared; message ingestion resumes for new messages.</t>
  </si>
  <si>
    <t>The channel is currently connected</t>
  </si>
  <si>
    <t>TC-INB-004</t>
  </si>
  <si>
    <t>Conversations from different tenants remain isolated</t>
  </si>
  <si>
    <t>1. Connect the same page under two tenants.
2. Send a message.</t>
  </si>
  <si>
    <t>The message appears only in the correct tenant inbox.</t>
  </si>
  <si>
    <t>Two active tenant accounts exist</t>
  </si>
  <si>
    <t>Message ingestion</t>
  </si>
  <si>
    <t>TC-INB-005</t>
  </si>
  <si>
    <t>Ingest an inbound message through the webhook</t>
  </si>
  <si>
    <t>1. POST a valid signed webhook payload to the Pancake webhook endpoint.
2. GET /api/inbox/conversations/{id}.</t>
  </si>
  <si>
    <t>The message appears in the conversation within a few seconds.</t>
  </si>
  <si>
    <t>Webhook secret is configured; HMAC signature is valid</t>
  </si>
  <si>
    <t>TC-INB-006</t>
  </si>
  <si>
    <t>Reject a webhook payload with an invalid HMAC signature</t>
  </si>
  <si>
    <t>1. POST a webhook payload with a tampered x-pancake-signature header.</t>
  </si>
  <si>
    <t>HTTP 401; the message is not stored.</t>
  </si>
  <si>
    <t>Webhook secret is configured</t>
  </si>
  <si>
    <t>TC-INB-007</t>
  </si>
  <si>
    <t>Ingest a message through polling when the webhook is unavailable</t>
  </si>
  <si>
    <t>1. Disable the webhook.
2. Send a message from the channel.
3. Wait for the next polling cycle.</t>
  </si>
  <si>
    <t>The message is ingested by the polling worker and appears in the inbox.</t>
  </si>
  <si>
    <t>Polling is enabled and the channel token is valid</t>
  </si>
  <si>
    <t>TC-INB-008</t>
  </si>
  <si>
    <t>Deduplicate a message delivered by both webhook and polling</t>
  </si>
  <si>
    <t>1. Enable both ingestion paths.
2. Send a single message from the channel.</t>
  </si>
  <si>
    <t>Exactly one message record is stored.</t>
  </si>
  <si>
    <t>Both ingestion paths are active</t>
  </si>
  <si>
    <t>TC-INB-009</t>
  </si>
  <si>
    <t>Keep the queue intact when the consumer restarts</t>
  </si>
  <si>
    <t>1. Stop the RabbitMQ consumer.
2. Send two messages.
3. Start the consumer again.</t>
  </si>
  <si>
    <t>Both messages are processed after restart; none is lost.</t>
  </si>
  <si>
    <t>RabbitMQ persistence is enabled</t>
  </si>
  <si>
    <t>DEF-002</t>
  </si>
  <si>
    <t>Round 1: the polling watermark advanced before the acknowledgement, so one message was swallowed when the consumer restarted. Fixed and retested in round 2.</t>
  </si>
  <si>
    <t>Reply and auto-reply</t>
  </si>
  <si>
    <t>TC-INB-010</t>
  </si>
  <si>
    <t>Send a manual outbound reply</t>
  </si>
  <si>
    <t>1. POST /api/inbox/conversations/{id}/messages with a text body.</t>
  </si>
  <si>
    <t>HTTP 201; reply is delivered to the channel and shown as outbound.</t>
  </si>
  <si>
    <t>The conversation is open and assigned</t>
  </si>
  <si>
    <t>TC-INB-011</t>
  </si>
  <si>
    <t>Auto-reply answers a question covered by the knowledge base</t>
  </si>
  <si>
    <t>1. Enable auto-reply via POST /api/inbox/conversations/{id}/ai.
2. Send an inbound message matching a KB topic.</t>
  </si>
  <si>
    <t>An accurate automatic reply is sent within the SLA window.</t>
  </si>
  <si>
    <t>Auto-reply is enabled; KB is deployed</t>
  </si>
  <si>
    <t>TC-INB-012</t>
  </si>
  <si>
    <t>A manual reply by an agent pauses auto-reply</t>
  </si>
  <si>
    <t>1. Confirm auto-reply is enabled.
2. Send a manual reply as an agent.
3. Send a new inbound message immediately.</t>
  </si>
  <si>
    <t>Auto-reply does not respond during the configured pause window (default 5 min).</t>
  </si>
  <si>
    <t>Auto-reply is enabled</t>
  </si>
  <si>
    <t>TC-INB-013</t>
  </si>
  <si>
    <t>Auto-reply resumes automatically after the pause window elapses</t>
  </si>
  <si>
    <t>1. Trigger a pause by sending a manual reply.
2. Advance the clock past the pause window.
3. Send a new inbound message.</t>
  </si>
  <si>
    <t>Auto-reply answers the new message without manual intervention.</t>
  </si>
  <si>
    <t>A pause was triggered; the sweep job is running</t>
  </si>
  <si>
    <t>TC-INB-014</t>
  </si>
  <si>
    <t>Escalate a conversation disables auto-reply permanently</t>
  </si>
  <si>
    <t>1. POST /api/inbox/conversations/{id}/escalate.</t>
  </si>
  <si>
    <t>Auto-reply is disabled and resume_at is null; conversation is flagged as escalated.</t>
  </si>
  <si>
    <t>Draft approval</t>
  </si>
  <si>
    <t>TC-INB-015</t>
  </si>
  <si>
    <t>Approve an AI draft and confirm it is sent</t>
  </si>
  <si>
    <t>1. POST /api/inbox/conversations/{id}/drafts/{messageId}/approve.</t>
  </si>
  <si>
    <t>HTTP 200; draft is sent to the channel; status changes to delivered.</t>
  </si>
  <si>
    <t>A pending AI draft exists</t>
  </si>
  <si>
    <t>TC-INB-016</t>
  </si>
  <si>
    <t>Reject an AI draft so it is not sent</t>
  </si>
  <si>
    <t>1. POST /api/inbox/conversations/{id}/drafts/{messageId}/reject.</t>
  </si>
  <si>
    <t>HTTP 200; draft is discarded; no outbound message is delivered.</t>
  </si>
  <si>
    <t>Conversation management</t>
  </si>
  <si>
    <t>TC-INB-017</t>
  </si>
  <si>
    <t>Assign a conversation to a different agent</t>
  </si>
  <si>
    <t>1. POST /api/inbox/conversations/{id}/assign with a target agentId.</t>
  </si>
  <si>
    <t>HTTP 200; the new agent sees the conversation in their queue.</t>
  </si>
  <si>
    <t>A second agent account exists</t>
  </si>
  <si>
    <t>TC-INB-018</t>
  </si>
  <si>
    <t>Resolve a conversation</t>
  </si>
  <si>
    <t>1. POST /api/inbox/conversations/{id}/resolve.</t>
  </si>
  <si>
    <t>HTTP 200; status changes to resolved; removed from the open queue.</t>
  </si>
  <si>
    <t>The conversation is open</t>
  </si>
  <si>
    <t>TC-INB-019</t>
  </si>
  <si>
    <t>Search conversations by keyword</t>
  </si>
  <si>
    <t>1. GET /api/inbox/search?q={keyword}.</t>
  </si>
  <si>
    <t>Only conversations whose messages contain the keyword are returned.</t>
  </si>
  <si>
    <t>Several conversations with varied message content exist</t>
  </si>
  <si>
    <t>TC-INB-020</t>
  </si>
  <si>
    <t>Export conversation history to CSV</t>
  </si>
  <si>
    <t>1. GET /api/inbox/conversations/{id}/export.csv.</t>
  </si>
  <si>
    <t>HTTP 200 with Content-Type text/csv; file contains all messages in order.</t>
  </si>
  <si>
    <t>The conversation has at least one message</t>
  </si>
  <si>
    <t>TC-INB-021</t>
  </si>
  <si>
    <t>Filter inbox by channel and status</t>
  </si>
  <si>
    <t>1. GET /api/inbox/conversations?channel=facebook&amp;status=open.</t>
  </si>
  <si>
    <t>Only facebook open conversations are returned.</t>
  </si>
  <si>
    <t>Mixed conversations exist</t>
  </si>
  <si>
    <t>TC-INB-022</t>
  </si>
  <si>
    <t>Paginate conversation messages</t>
  </si>
  <si>
    <t>1. GET /api/inbox/conversations/{id}/messages?page=2&amp;pageSize=20.</t>
  </si>
  <si>
    <t>HTTP 200; page 2 items are distinct from page 1; total is reported.</t>
  </si>
  <si>
    <t>Conversation has more than 40 messages</t>
  </si>
  <si>
    <t>TC-INB-023</t>
  </si>
  <si>
    <t>Add a note to a conversation</t>
  </si>
  <si>
    <t>1. POST /api/inbox/conversations/{id}/notes with content.</t>
  </si>
  <si>
    <t>HTTP 201; note appears in the conversation timeline.</t>
  </si>
  <si>
    <t>Conversation exists; user has inbox:write</t>
  </si>
  <si>
    <t>TC-INB-024</t>
  </si>
  <si>
    <t>Mark messages as read</t>
  </si>
  <si>
    <t>1. POST /api/inbox/conversations/{id}/read.</t>
  </si>
  <si>
    <t>HTTP 200; unread count drops to zero for that conversation.</t>
  </si>
  <si>
    <t>Conversation has unread messages</t>
  </si>
  <si>
    <t>Knowledge Base</t>
  </si>
  <si>
    <t>KB module management, version creation, content deploy to vector store, rollback, accuracy measurement and auto-approving AI suggestions when accuracy does not decrease</t>
  </si>
  <si>
    <t>Module management</t>
  </si>
  <si>
    <t>TC-KB-001</t>
  </si>
  <si>
    <t>Create a knowledge base module</t>
  </si>
  <si>
    <t>1. POST /api/kb/modules with a name and description.</t>
  </si>
  <si>
    <t>HTTP 201; module is created with status draft.</t>
  </si>
  <si>
    <t>User holds kb:write permission</t>
  </si>
  <si>
    <t>TC-KB-002</t>
  </si>
  <si>
    <t>Archive a module removes it from retrieval</t>
  </si>
  <si>
    <t>1. POST /api/kb/modules/{id}/archive.
2. Ask a question that was answered by that module.</t>
  </si>
  <si>
    <t>The archived module is excluded from all retrieval results.</t>
  </si>
  <si>
    <t>Module is deployed and active</t>
  </si>
  <si>
    <t>Version and deployment</t>
  </si>
  <si>
    <t>TC-KB-003</t>
  </si>
  <si>
    <t>Create a new version with Markdown content</t>
  </si>
  <si>
    <t>1. POST /api/kb/modules/{id}/versions with contentMd.</t>
  </si>
  <si>
    <t>HTTP 201; version is created in draft state; chunk count is zero until deployed.</t>
  </si>
  <si>
    <t>Module exists</t>
  </si>
  <si>
    <t>TC-KB-004</t>
  </si>
  <si>
    <t>Deploy a version embeds chunks into the vector store</t>
  </si>
  <si>
    <t>1. POST /api/kb/modules/{id}/versions/{versionId}/deploy.
2. Wait for the deploy job to finish.</t>
  </si>
  <si>
    <t>Chunk count is greater than zero; module status changes to deployed.</t>
  </si>
  <si>
    <t>A draft version with content exists; Qdrant is reachable</t>
  </si>
  <si>
    <t>TC-KB-005</t>
  </si>
  <si>
    <t>Rollback to the previous deployed version</t>
  </si>
  <si>
    <t>1. Deploy version 2.
2. POST /api/kb/modules/{id}/versions/{v1id}/rollback.</t>
  </si>
  <si>
    <t>Version 1 becomes active; retrieval uses version 1 chunks.</t>
  </si>
  <si>
    <t>At least two deployed versions exist</t>
  </si>
  <si>
    <t>Accuracy and suggestions</t>
  </si>
  <si>
    <t>TC-KB-006</t>
  </si>
  <si>
    <t>Run the accuracy test suite on a deployed version</t>
  </si>
  <si>
    <t>1. POST /api/kb/modules/{id}/versions/{versionId}/test.</t>
  </si>
  <si>
    <t>Each test case is evaluated; an overall accuracy score is returned.</t>
  </si>
  <si>
    <t>Test cases exist; the version is deployed</t>
  </si>
  <si>
    <t>DEF-003</t>
  </si>
  <si>
    <t>Round 1: the suite scored zero because the deployed version carried no vector data. Fixed and retested in round 2.</t>
  </si>
  <si>
    <t>TC-KB-007</t>
  </si>
  <si>
    <t>Auto-approve a KB suggestion when accuracy does not decrease</t>
  </si>
  <si>
    <t>1. Create a suggestion with verdict=approve and accuracy_after &gt;= accuracy_before.
2. Trigger the auto-approve job.</t>
  </si>
  <si>
    <t>Suggestion is automatically approved and applied without human action.</t>
  </si>
  <si>
    <t>Auto-approve rail is enabled; suggestion status is pending</t>
  </si>
  <si>
    <t>TC-KB-008</t>
  </si>
  <si>
    <t>Hold a KB suggestion for human review when accuracy decreases</t>
  </si>
  <si>
    <t>1. Create a suggestion with verdict=approve and accuracy_after &lt; accuracy_before.
2. Trigger the auto-approve job.</t>
  </si>
  <si>
    <t>Suggestion is NOT auto-approved; stays in pending state waiting for human decision.</t>
  </si>
  <si>
    <t>TC-KB-009</t>
  </si>
  <si>
    <t>List KB modules with pagination</t>
  </si>
  <si>
    <t>1. GET /api/kb/modules?page=1&amp;pageSize=20.</t>
  </si>
  <si>
    <t>HTTP 200; paginated list with total is returned.</t>
  </si>
  <si>
    <t>At least one module exists</t>
  </si>
  <si>
    <t>TC-KB-010</t>
  </si>
  <si>
    <t>Reject KB deploy when vector store is unavailable</t>
  </si>
  <si>
    <t>1. Stop Qdrant.
2. POST deploy for a draft version.</t>
  </si>
  <si>
    <t>Deploy job fails with a vector store error; module stays on the previous version.</t>
  </si>
  <si>
    <t>A deployed version exists</t>
  </si>
  <si>
    <t>TC-KB-011</t>
  </si>
  <si>
    <t>KB suggestion auto-approval requires accuracy not decreased</t>
  </si>
  <si>
    <t>1. Create suggestion with accuracy_after == accuracy_before.
2. Trigger auto-approval.</t>
  </si>
  <si>
    <t>Suggestion is approved automatically.</t>
  </si>
  <si>
    <t>KB learning rail is enabled</t>
  </si>
  <si>
    <t>Lead Management</t>
  </si>
  <si>
    <t>Lead CRUD, pipeline stage transitions driven by score, manual stage override, scoring rule management, lead assignment and activity feed</t>
  </si>
  <si>
    <t>Lead CRUD</t>
  </si>
  <si>
    <t>TC-LM-001</t>
  </si>
  <si>
    <t>Create a lead from a contact</t>
  </si>
  <si>
    <t>1. POST /api/leads with contactId, source and assignedTo.</t>
  </si>
  <si>
    <t>HTTP 201; lead is created with stage=cold; initial score is 0.</t>
  </si>
  <si>
    <t>A contact exists; user holds leads:write permission</t>
  </si>
  <si>
    <t>TC-LM-002</t>
  </si>
  <si>
    <t>List leads with pagination and stage filter</t>
  </si>
  <si>
    <t>1. GET /api/leads?stage=warm&amp;page=1&amp;pageSize=20.</t>
  </si>
  <si>
    <t>HTTP 200; only leads with stage=warm are returned; pagination metadata is present.</t>
  </si>
  <si>
    <t>Multiple leads exist across different stages</t>
  </si>
  <si>
    <t>DEF-004</t>
  </si>
  <si>
    <t>Round 1: the owner filter returned an empty page for a sales account because the conversation carried no inbox. Fixed and retested in round 2.</t>
  </si>
  <si>
    <t>TC-LM-003</t>
  </si>
  <si>
    <t>Assign a lead to another sales agent</t>
  </si>
  <si>
    <t>1. POST /api/leads/{id}/assign with the target agentId.</t>
  </si>
  <si>
    <t>HTTP 200; assignedTo is updated; the new agent sees the lead in their queue.</t>
  </si>
  <si>
    <t>Lead scoring and stage</t>
  </si>
  <si>
    <t>TC-LM-004</t>
  </si>
  <si>
    <t>Score increases when a purchase_intent activity is recorded</t>
  </si>
  <si>
    <t>1. POST /api/leads/{id}/activities with eventCode=purchase_intent.</t>
  </si>
  <si>
    <t>Lead score increases by the purchase_intent delta (default +20); stage may advance to hot.</t>
  </si>
  <si>
    <t>Lead scoring rules are seeded; lead is cold</t>
  </si>
  <si>
    <t>TC-LM-005</t>
  </si>
  <si>
    <t>Pipeline stage advances automatically when the score threshold is crossed</t>
  </si>
  <si>
    <t>1. Record activities until the score reaches 70.
2. GET /api/leads/{id}.</t>
  </si>
  <si>
    <t>stage=hot (score &gt;= 70); previous warm stage is no longer shown.</t>
  </si>
  <si>
    <t>Lead scoring rules give enough delta per event</t>
  </si>
  <si>
    <t>TC-LM-006</t>
  </si>
  <si>
    <t>Re-score a lead using the latest rules</t>
  </si>
  <si>
    <t>1. POST /api/leads/{id}/rescore.</t>
  </si>
  <si>
    <t>HTTP 200; score is recalculated using the current rule set; stage is updated accordingly.</t>
  </si>
  <si>
    <t>Lead scoring rules have been modified since the lead was created</t>
  </si>
  <si>
    <t>TC-LM-007</t>
  </si>
  <si>
    <t>A lost lead is reactivated when new inbound activity arrives</t>
  </si>
  <si>
    <t>1. Mark the lead as lost.
2. POST /api/leads/{id}/activities with any inbound event.</t>
  </si>
  <si>
    <t>Lead status changes from lost to active; LastActivityAt is updated.</t>
  </si>
  <si>
    <t>A lost lead exists</t>
  </si>
  <si>
    <t>Scoring rule management</t>
  </si>
  <si>
    <t>TC-LM-008</t>
  </si>
  <si>
    <t>Seed default scoring rules for a tenant</t>
  </si>
  <si>
    <t>1. POST /api/lead-scoring-rules/seed-defaults.</t>
  </si>
  <si>
    <t>HTTP 200; default rules are created (asked_price, purchase_intent, fast_reply etc.); each has the correct default delta.</t>
  </si>
  <si>
    <t>No rules exist for the tenant yet</t>
  </si>
  <si>
    <t>TC-LM-009</t>
  </si>
  <si>
    <t>Create a platform-specific rule that overrides the platform-null rule</t>
  </si>
  <si>
    <t>1. POST /api/lead-scoring-rules with eventCode=asked_price and platform=facebook and delta=15.
2. Record asked_price on a facebook conversation.</t>
  </si>
  <si>
    <t>The facebook-specific rule (delta=15) is used instead of the platform-null rule (delta=9).</t>
  </si>
  <si>
    <t>A platform-null asked_price rule already exists</t>
  </si>
  <si>
    <t>TC-LM-010</t>
  </si>
  <si>
    <t>Delete a draft lead before conversion</t>
  </si>
  <si>
    <t>1. POST /api/leads then DELETE /api/leads/{id}.</t>
  </si>
  <si>
    <t>HTTP 204; lead no longer appears in list.</t>
  </si>
  <si>
    <t>Lead exists and is not yet assigned</t>
  </si>
  <si>
    <t>TC-LM-011</t>
  </si>
  <si>
    <t>Record multiple activities and verify cumulative score</t>
  </si>
  <si>
    <t>1. POST three activities with different eventCodes.
2. GET /api/leads/{id}.</t>
  </si>
  <si>
    <t>Score equals sum of deltas; stage reflects the summed score.</t>
  </si>
  <si>
    <t>Scoring rules seeded</t>
  </si>
  <si>
    <t>TC-LM-012</t>
  </si>
  <si>
    <t>Manual stage override does not change score</t>
  </si>
  <si>
    <t>1. POST /api/leads/{id}/stage with stage=warm.</t>
  </si>
  <si>
    <t>Stage becomes warm while score is unchanged.</t>
  </si>
  <si>
    <t>Lead is cold with score 10</t>
  </si>
  <si>
    <t>Content Pipeline</t>
  </si>
  <si>
    <t>Brief management, AI content generation, review gate, human approval, scheduling and publishing lifecycle for social media posts</t>
  </si>
  <si>
    <t>Brief and generation</t>
  </si>
  <si>
    <t>TC-CP-001</t>
  </si>
  <si>
    <t>Create a content brief</t>
  </si>
  <si>
    <t>1. POST /api/content/briefs with platform, topic and target audience.</t>
  </si>
  <si>
    <t>HTTP 201; brief is created in draft state.</t>
  </si>
  <si>
    <t>User holds content:write permission</t>
  </si>
  <si>
    <t>TC-CP-002</t>
  </si>
  <si>
    <t>Generate a content item from a brief</t>
  </si>
  <si>
    <t>1. POST /api/content/items/generate with briefId.</t>
  </si>
  <si>
    <t>HTTP 202; a background job is queued; polling shows the item transitions to draft with a non-empty body.</t>
  </si>
  <si>
    <t>A brief exists; LLM provider is configured</t>
  </si>
  <si>
    <t>TC-CP-003</t>
  </si>
  <si>
    <t>Generation is blocked when the body contains an absolute guarantee phrase</t>
  </si>
  <si>
    <t>1. Configure the LLM stub to return a body that contains an absolute-guarantee phrase.
2. Trigger generation.</t>
  </si>
  <si>
    <t>The content lint step fails; item status becomes needs_human with ErrorCode=lint_absolute_guarantee.</t>
  </si>
  <si>
    <t>ContentLint is enabled; LLM stub is available</t>
  </si>
  <si>
    <t>Review and approval</t>
  </si>
  <si>
    <t>TC-CP-004</t>
  </si>
  <si>
    <t>Agent review passes and item moves to approved</t>
  </si>
  <si>
    <t>1. Wait for the AI reviewer agent to process the draft item.</t>
  </si>
  <si>
    <t>AgentReviewStatus=passed; item is eligible for human approval or auto-publish depending on policy.</t>
  </si>
  <si>
    <t>A reviewer agent is configured and bound to an LLM</t>
  </si>
  <si>
    <t>DEF-005</t>
  </si>
  <si>
    <t>Round 1: a retry of the review returned HTTP 500 because the unique index was not filtered on the soft-delete column. Fixed and retested in round 2.</t>
  </si>
  <si>
    <t>TC-CP-005</t>
  </si>
  <si>
    <t>Human approves an item that requires human review</t>
  </si>
  <si>
    <t>1. POST /api/content/items/{id}/approve.</t>
  </si>
  <si>
    <t>HTTP 200; item status=approved; ApprovedAt and ApprovedBy are set.</t>
  </si>
  <si>
    <t>Item is in needs_human state with agent review passed</t>
  </si>
  <si>
    <t>TC-CP-006</t>
  </si>
  <si>
    <t>Human rejects an item with a reason</t>
  </si>
  <si>
    <t>1. POST /api/content/items/{id}/reject with a reason string.</t>
  </si>
  <si>
    <t>HTTP 200; item status=rejected; RejectedReason is stored.</t>
  </si>
  <si>
    <t>Item is in draft or needs_human state</t>
  </si>
  <si>
    <t>Scheduling and publishing</t>
  </si>
  <si>
    <t>TC-CP-007</t>
  </si>
  <si>
    <t>Schedule an approved item for a future golden-hour slot</t>
  </si>
  <si>
    <t>1. POST /api/content/items/{id}/schedule with a future publishAt timestamp.</t>
  </si>
  <si>
    <t>HTTP 200; item status=scheduled; publishAt is stored.</t>
  </si>
  <si>
    <t>Item is approved</t>
  </si>
  <si>
    <t>TC-CP-008</t>
  </si>
  <si>
    <t>Repurpose a published item for a different platform</t>
  </si>
  <si>
    <t>1. POST /api/content/items/{id}/repurpose with targetPlatform.</t>
  </si>
  <si>
    <t>HTTP 202; a new draft item is created for the target platform; the original item is unchanged.</t>
  </si>
  <si>
    <t>The item has been published; a brief exists for the target platform</t>
  </si>
  <si>
    <t>TC-CP-009</t>
  </si>
  <si>
    <t>List content items with status filter</t>
  </si>
  <si>
    <t>1. GET /api/content/items?status=draft.</t>
  </si>
  <si>
    <t>Only draft items are returned.</t>
  </si>
  <si>
    <t>Mixed items exist</t>
  </si>
  <si>
    <t>TC-CP-010</t>
  </si>
  <si>
    <t>Delete a draft item</t>
  </si>
  <si>
    <t>1. DELETE /api/content/items/{id}.</t>
  </si>
  <si>
    <t>HTTP 204; item no longer listed.</t>
  </si>
  <si>
    <t>Draft item exists</t>
  </si>
  <si>
    <t>TC-CP-011</t>
  </si>
  <si>
    <t>Regenerate a rejected item</t>
  </si>
  <si>
    <t>1. POST /api/content/items/{id}/regenerate with revised brief.</t>
  </si>
  <si>
    <t>HTTP 202; new draft job is queued; status returns to queued.</t>
  </si>
  <si>
    <t>Item is rejected</t>
  </si>
  <si>
    <t>Agent Orchestration</t>
  </si>
  <si>
    <t>Create and run orchestration sessions, pause for manual intervention, resume after approval, manage recurring schedules and verify agent tool grants</t>
  </si>
  <si>
    <t>Session lifecycle</t>
  </si>
  <si>
    <t>TC-ORC-001</t>
  </si>
  <si>
    <t>Create and start an orchestration run</t>
  </si>
  <si>
    <t>1. POST /api/orchestration/runs with a planId.
2. Poll GET /api/orchestration/runs/{id} until status=running.</t>
  </si>
  <si>
    <t>Run transitions from queued to running; agent tasks begin executing.</t>
  </si>
  <si>
    <t>A plan exists; agents are bound to LLM providers</t>
  </si>
  <si>
    <t>TC-ORC-002</t>
  </si>
  <si>
    <t>Pause a running session for manual intervention</t>
  </si>
  <si>
    <t>1. POST /api/orchestration/runs/{id}/pause.</t>
  </si>
  <si>
    <t>HTTP 200; run status=paused; no new tasks are started.</t>
  </si>
  <si>
    <t>A run is in running status</t>
  </si>
  <si>
    <t>TC-ORC-003</t>
  </si>
  <si>
    <t>Intervene by editing a task output then resume the run</t>
  </si>
  <si>
    <t>1. POST /api/orchestration/runs/{id}/intervene with an edited taskId and new output.
2. POST /api/orchestration/runs/{id}/resume.</t>
  </si>
  <si>
    <t>HTTP 200; the run resumes with the edited output; downstream tasks use the corrected data.</t>
  </si>
  <si>
    <t>Run is paused</t>
  </si>
  <si>
    <t>TC-ORC-004</t>
  </si>
  <si>
    <t>Cancel a running session</t>
  </si>
  <si>
    <t>1. POST /api/orchestration/runs/{id}/cancel.</t>
  </si>
  <si>
    <t>HTTP 200; run status=cancelled; all pending tasks are marked skipped.</t>
  </si>
  <si>
    <t>A run is in running or paused status</t>
  </si>
  <si>
    <t>Schedules</t>
  </si>
  <si>
    <t>TC-ORC-005</t>
  </si>
  <si>
    <t>Create a recurring weekly schedule</t>
  </si>
  <si>
    <t>1. POST /api/orchestration/schedules with cadence=weekly and a valid timezone.</t>
  </si>
  <si>
    <t>HTTP 201; schedule is created; nextRunAt is set to the correct window in the given timezone.</t>
  </si>
  <si>
    <t>A plan exists</t>
  </si>
  <si>
    <t>TC-ORC-006</t>
  </si>
  <si>
    <t>Pause and reactivate a schedule</t>
  </si>
  <si>
    <t>1. POST /api/orchestration/schedules/{id}/pause.
2. POST /api/orchestration/schedules/{id}/activate.</t>
  </si>
  <si>
    <t>Pause: status=paused, no new runs are triggered. Activate: status=active, nextRunAt is recalculated.</t>
  </si>
  <si>
    <t>An active schedule exists</t>
  </si>
  <si>
    <t>Agent tool grants</t>
  </si>
  <si>
    <t>TC-ORC-007</t>
  </si>
  <si>
    <t>An agent without tool grants cannot call restricted tools</t>
  </si>
  <si>
    <t>1. Create an agent definition with no tool grants.
2. Start a run that requires a restricted tool.</t>
  </si>
  <si>
    <t>The tool call is blocked; the agent task fails with a permission error; the run does not crash.</t>
  </si>
  <si>
    <t>A restricted tool exists in the tool registry</t>
  </si>
  <si>
    <t>DEF-006</t>
  </si>
  <si>
    <t>Round 1: an empty tool grant produced a text-only completion reported as success instead of an explicit refusal. Fixed and retested in round 2.</t>
  </si>
  <si>
    <t>TC-ORC-008</t>
  </si>
  <si>
    <t>Grant a tool to an agent and confirm the tool call succeeds</t>
  </si>
  <si>
    <t>1. POST /api/orchestration/agents/{id}/grants with the tool name.
2. Restart the run.</t>
  </si>
  <si>
    <t>The tool call succeeds; the run completes the task.</t>
  </si>
  <si>
    <t>TC-ORC-007 has been completed</t>
  </si>
  <si>
    <t>TC-ORC-009</t>
  </si>
  <si>
    <t>List orchestration runs with pagination</t>
  </si>
  <si>
    <t>1. GET /api/orchestration/runs?page=1&amp;pageSize=20.</t>
  </si>
  <si>
    <t>At least one run exists</t>
  </si>
  <si>
    <t>TC-ORC-010</t>
  </si>
  <si>
    <t>Get run detail with tasks</t>
  </si>
  <si>
    <t>1. GET /api/orchestration/runs/{id}.</t>
  </si>
  <si>
    <t>HTTP 200; tasks array is present with status per task.</t>
  </si>
  <si>
    <t>A running or completed run exists</t>
  </si>
  <si>
    <t>TC-ORC-011</t>
  </si>
  <si>
    <t>Schedule next run is in the correct timezone</t>
  </si>
  <si>
    <t>1. Create a schedule with timezone Asia/Ho_Chi_Minh and cron 0 8 * * MON.</t>
  </si>
  <si>
    <t>nextRunAt is Monday 08:00 in the given timezone.</t>
  </si>
  <si>
    <t>Plan exists</t>
  </si>
  <si>
    <t>Documents &amp; Reports</t>
  </si>
  <si>
    <t>Document generation (quote PDF, brochure), document library per contact, and report/analytics export</t>
  </si>
  <si>
    <t>Document generation</t>
  </si>
  <si>
    <t>TC-DOC-001</t>
  </si>
  <si>
    <t>Generate a quote PDF from conversation context</t>
  </si>
  <si>
    <t>1. POST /api/documents/generate with contactId and templateId=quote.
2. Poll until status=ready.</t>
  </si>
  <si>
    <t>HTTP 202 then ready; the PDF contains the contact name and the discussed package.</t>
  </si>
  <si>
    <t>Conversation has an identifiable contact and a proposed package</t>
  </si>
  <si>
    <t>TC-DOC-002</t>
  </si>
  <si>
    <t>Reject document generation with a missing template</t>
  </si>
  <si>
    <t>1. POST /api/documents/generate with templateId=does-not-exist.</t>
  </si>
  <si>
    <t>HTTP 404; no document row is persisted.</t>
  </si>
  <si>
    <t>TC-DOC-003</t>
  </si>
  <si>
    <t>List documents created for a contact</t>
  </si>
  <si>
    <t>1. GET /api/documents?contactId={id}.</t>
  </si>
  <si>
    <t>HTTP 200; only documents for that contact are returned, newest first.</t>
  </si>
  <si>
    <t>At least two documents exist for two different contacts</t>
  </si>
  <si>
    <t>TC-DOC-004</t>
  </si>
  <si>
    <t>Send a generated document through the active channel</t>
  </si>
  <si>
    <t>1. POST /api/documents/{id}/send with channel=zalo.</t>
  </si>
  <si>
    <t>HTTP 200; SentVia and a timestamp are recorded; the document link is delivered to the conversation.</t>
  </si>
  <si>
    <t>A ready document exists; the conversation channel is connected</t>
  </si>
  <si>
    <t>TC-DOC-005</t>
  </si>
  <si>
    <t>Document link expires after the configured window</t>
  </si>
  <si>
    <t>1. Generate a document.
2. Advance time past the link expiry (7 days).
3. Open the stored link.</t>
  </si>
  <si>
    <t>The link returns HTTP 410 or an expired-link page; the file is not streamed.</t>
  </si>
  <si>
    <t>A document with a 7-day expiry exists</t>
  </si>
  <si>
    <t>DEF-007</t>
  </si>
  <si>
    <t>Round 1: the expiry check compared UTC to a local timestamp so links stayed valid two extra hours. Fixed and retested in round 2.</t>
  </si>
  <si>
    <t>Reporting and analytics</t>
  </si>
  <si>
    <t>TC-DOC-006</t>
  </si>
  <si>
    <t>Export a KPI report to CSV for a date range</t>
  </si>
  <si>
    <t>1. GET /api/reports/kpi/export?from=2026-08-01&amp;to=2026-08-20&amp;format=csv.</t>
  </si>
  <si>
    <t>HTTP 200 with Content-Type text/csv; row count matches the date range.</t>
  </si>
  <si>
    <t>kpi_daily rows exist for the range</t>
  </si>
  <si>
    <t>TC-DOC-007</t>
  </si>
  <si>
    <t>Analytics dashboard aggregates leads by channel</t>
  </si>
  <si>
    <t>1. GET /api/analytics/omnichannel?from=2026-08-01&amp;to=2026-08-20.</t>
  </si>
  <si>
    <t>HTTP 200; totals per channel sum to the overall total with no double counting.</t>
  </si>
  <si>
    <t>Leads exist across at least three channels</t>
  </si>
  <si>
    <t>TC-DOC-008</t>
  </si>
  <si>
    <t>Schedule a recurring weekly report</t>
  </si>
  <si>
    <t>1. POST /api/reports/schedule with cadence=weekly and a recipient list.</t>
  </si>
  <si>
    <t>HTTP 201; the schedule is created; nextRunAt is set to the next matching weekday.</t>
  </si>
  <si>
    <t>At least one report template exists</t>
  </si>
  <si>
    <t>Admin &amp; RBAC</t>
  </si>
  <si>
    <t>User management, role-permission assignment, API key issuance/revocation and audit logging for privileged actions</t>
  </si>
  <si>
    <t>User and role management</t>
  </si>
  <si>
    <t>TC-ADM-001</t>
  </si>
  <si>
    <t>Create a new staff user with a role</t>
  </si>
  <si>
    <t>1. POST /api/admin/users with email, name and roleId.</t>
  </si>
  <si>
    <t>HTTP 201; user is created; an invitation email is queued.</t>
  </si>
  <si>
    <t>The role exists; the caller holds users:write</t>
  </si>
  <si>
    <t>TC-ADM-002</t>
  </si>
  <si>
    <t>Change a user's role revokes the old permission set</t>
  </si>
  <si>
    <t>1. PUT /api/admin/users/{id}/role with a new roleId.
2. Call an endpoint gated by the old role's permission.</t>
  </si>
  <si>
    <t>The old permission is no longer granted; the new role's permissions apply immediately.</t>
  </si>
  <si>
    <t>User currently holds a role with at least one permission the new role lacks</t>
  </si>
  <si>
    <t>TC-ADM-003</t>
  </si>
  <si>
    <t>Deactivate a user blocks sign-in</t>
  </si>
  <si>
    <t>1. POST /api/admin/users/{id}/deactivate.
2. Attempt to sign in as that user.</t>
  </si>
  <si>
    <t>Sign-in returns HTTP 403; existing sessions are also rejected on the next request.</t>
  </si>
  <si>
    <t>User account is active</t>
  </si>
  <si>
    <t>TC-ADM-004</t>
  </si>
  <si>
    <t>Create a custom role with a specific permission set</t>
  </si>
  <si>
    <t>1. POST /api/roles with name and a list of permission codes.</t>
  </si>
  <si>
    <t>HTTP 201; role is created; a user assigned this role gets exactly those permissions.</t>
  </si>
  <si>
    <t>Permission codes exist in the catalog</t>
  </si>
  <si>
    <t>API keys and audit</t>
  </si>
  <si>
    <t>TC-ADM-005</t>
  </si>
  <si>
    <t>Issue an API key scoped to read-only</t>
  </si>
  <si>
    <t>1. POST /api/api-keys with scope=read.
2. Call a write endpoint with the key.</t>
  </si>
  <si>
    <t>The write call is rejected with HTTP 403; a read call with the same key succeeds.</t>
  </si>
  <si>
    <t>Caller holds api-keys:write</t>
  </si>
  <si>
    <t>DEF-008</t>
  </si>
  <si>
    <t>Round 1: the scope check only ran on endpoints tagged explicitly, so an untagged write endpoint accepted the read-only key. Fixed and retested in round 2.</t>
  </si>
  <si>
    <t>TC-ADM-006</t>
  </si>
  <si>
    <t>Revoke an API key immediately invalidates it</t>
  </si>
  <si>
    <t>1. POST /api/api-keys/{id}/revoke.
2. Call any endpoint with the revoked key.</t>
  </si>
  <si>
    <t>HTTP 401 on the next call; no grace period.</t>
  </si>
  <si>
    <t>An active API key exists</t>
  </si>
  <si>
    <t>TC-ADM-007</t>
  </si>
  <si>
    <t>Privileged action writes an audit row</t>
  </si>
  <si>
    <t>1. Perform a role change, a deactivation and an API key revoke as an admin.
2. GET /api/admin/audit.</t>
  </si>
  <si>
    <t>Each action appears with actor, target, action type and timestamp.</t>
  </si>
  <si>
    <t>Caller holds audit:read</t>
  </si>
  <si>
    <t>TC-ADM-008</t>
  </si>
  <si>
    <t>Login history lists recent sign-ins for a user</t>
  </si>
  <si>
    <t>1. Sign in three times across two days.
2. GET /api/admin/users/{id}/login-history.</t>
  </si>
  <si>
    <t>HTTP 200; three entries are returned with timestamp and source address, newest first.</t>
  </si>
  <si>
    <t>Caller holds users:read</t>
  </si>
  <si>
    <t>Notifications &amp; Labels</t>
  </si>
  <si>
    <t>In-app notification delivery, per-channel notification preferences, conversation labels and internal notes</t>
  </si>
  <si>
    <t>Notifications</t>
  </si>
  <si>
    <t>TC-NTF-001</t>
  </si>
  <si>
    <t>Escalating a conversation notifies the owning sale user</t>
  </si>
  <si>
    <t>1. POST /api/inbox/conversations/{id}/escalate as the assigned sale user's peer.</t>
  </si>
  <si>
    <t>A notification row is created for the owner within a few seconds; unread count increases.</t>
  </si>
  <si>
    <t>Conversation has an assigned owner</t>
  </si>
  <si>
    <t>TC-NTF-002</t>
  </si>
  <si>
    <t>Marking a notification read updates the unread count</t>
  </si>
  <si>
    <t>1. POST /api/notifications/{id}/read.</t>
  </si>
  <si>
    <t>HTTP 200; the notification is excluded from the unread count on the next fetch.</t>
  </si>
  <si>
    <t>An unread notification exists</t>
  </si>
  <si>
    <t>TC-NTF-003</t>
  </si>
  <si>
    <t>Disabling a channel in preferences stops delivery on that channel</t>
  </si>
  <si>
    <t>1. PUT /api/notification-preferences with email=false.
2. Trigger an event that would normally email the user.</t>
  </si>
  <si>
    <t>No email is sent; the in-app notification is still created.</t>
  </si>
  <si>
    <t>User has a valid email configured</t>
  </si>
  <si>
    <t>TC-NTF-004</t>
  </si>
  <si>
    <t>A failed background job notifies the admin group</t>
  </si>
  <si>
    <t>1. Force a job to exhaust its retries.</t>
  </si>
  <si>
    <t>Admin users receive a notification referencing the failed job id.</t>
  </si>
  <si>
    <t>At least one admin exists</t>
  </si>
  <si>
    <t>Labels and notes</t>
  </si>
  <si>
    <t>TC-NTF-005</t>
  </si>
  <si>
    <t>Create a label and apply it to a conversation</t>
  </si>
  <si>
    <t>1. POST /api/labels with name and color.
2. POST /api/inbox/conversations/{id}/labels with the labelId.</t>
  </si>
  <si>
    <t>HTTP 201 then 200; the label chip appears on the conversation.</t>
  </si>
  <si>
    <t>Caller holds labels:write</t>
  </si>
  <si>
    <t>TC-NTF-006</t>
  </si>
  <si>
    <t>Filter the inbox by label</t>
  </si>
  <si>
    <t>1. GET /api/inbox/conversations?labelId={id}.</t>
  </si>
  <si>
    <t>Only conversations tagged with that label are returned.</t>
  </si>
  <si>
    <t>At least two conversations exist, only one is labeled</t>
  </si>
  <si>
    <t>TC-NTF-007</t>
  </si>
  <si>
    <t>Remove a label from a conversation</t>
  </si>
  <si>
    <t>1. DELETE /api/inbox/conversations/{id}/labels/{labelId}.</t>
  </si>
  <si>
    <t>HTTP 204; the chip no longer appears; the label itself still exists in the catalog.</t>
  </si>
  <si>
    <t>The conversation currently has the label applied</t>
  </si>
  <si>
    <t>TC-NTF-008</t>
  </si>
  <si>
    <t>Add an internal note visible only to staff</t>
  </si>
  <si>
    <t>1. POST /api/inbox/conversations/{id}/notes with content.
2. Simulate the customer-facing widget view of the same conversation.</t>
  </si>
  <si>
    <t>The note appears in the staff timeline but is never sent to or visible by the customer.</t>
  </si>
  <si>
    <t>Conversation is open</t>
  </si>
  <si>
    <t>Sale Assist &amp; Prompts</t>
  </si>
  <si>
    <t>AI draft suggestions for sale replies, prompt template management, skill grants and chat-scenario matching</t>
  </si>
  <si>
    <t>Sale Assist drafts</t>
  </si>
  <si>
    <t>TC-SA-001</t>
  </si>
  <si>
    <t>Generate a draft reply suggestion for a conversation</t>
  </si>
  <si>
    <t>1. GET /api/sale-assist/draft?conversationId={id}.</t>
  </si>
  <si>
    <t>HTTP 200; a draft text referencing the last customer message is returned.</t>
  </si>
  <si>
    <t>Conversation has at least one inbound message</t>
  </si>
  <si>
    <t>TC-SA-002</t>
  </si>
  <si>
    <t>Send a draft with one click</t>
  </si>
  <si>
    <t>1. POST /api/sale-assist/draft/{id}/send.</t>
  </si>
  <si>
    <t>HTTP 200; the message is delivered on the channel; draft is marked used.</t>
  </si>
  <si>
    <t>A pending draft exists</t>
  </si>
  <si>
    <t>TC-SA-003</t>
  </si>
  <si>
    <t>Context panel summarizes a long conversation</t>
  </si>
  <si>
    <t>1. GET /api/sale-assist/context?conversationId={id} on a conversation with 60+ messages.</t>
  </si>
  <si>
    <t>A summary under 500 characters plus the lead score and next-step suggestion are returned.</t>
  </si>
  <si>
    <t>Conversation has 60 or more messages</t>
  </si>
  <si>
    <t>Prompts, skills and scenarios</t>
  </si>
  <si>
    <t>TC-SA-004</t>
  </si>
  <si>
    <t>Create and version a prompt template</t>
  </si>
  <si>
    <t>1. POST /api/prompts with name and body.
2. PUT /api/prompts/{id} with an edited body.</t>
  </si>
  <si>
    <t>A new version is stored; the previous version remains retrievable by id.</t>
  </si>
  <si>
    <t>Caller holds prompts:write</t>
  </si>
  <si>
    <t>TC-SA-005</t>
  </si>
  <si>
    <t>Grant a skill to an agent and confirm it appears in the catalog</t>
  </si>
  <si>
    <t>1. POST /api/skills/{skillId}/grants with agentId.
2. GET /api/agents/{agentId}/skills.</t>
  </si>
  <si>
    <t>The granted skill is listed for the agent; ungranted skills are absent.</t>
  </si>
  <si>
    <t>The skill exists in the skill store</t>
  </si>
  <si>
    <t>DEF-009</t>
  </si>
  <si>
    <t>Round 1: the skill write endpoint checked the wrong permission code so no role could grant a skill. Fixed and retested in round 2.</t>
  </si>
  <si>
    <t>TC-SA-006</t>
  </si>
  <si>
    <t>A chat scenario matches its trigger phrase</t>
  </si>
  <si>
    <t>1. Seed a chat scenario with trigger 'hoc phi bao nhieu'.
2. Send a matching inbound message.</t>
  </si>
  <si>
    <t>The scenario's response template is used for the auto-reply.</t>
  </si>
  <si>
    <t>Auto-reply is enabled; the scenario is active</t>
  </si>
  <si>
    <t>TC-SA-007</t>
  </si>
  <si>
    <t>Chat scenario success rate updates after use</t>
  </si>
  <si>
    <t>1. Trigger the scenario from TC-SA-006 five times, with the customer continuing the conversation each time.</t>
  </si>
  <si>
    <t>The scenario's success_rate field reflects the observed continuation rate.</t>
  </si>
  <si>
    <t>TC-SA-006 has been completed</t>
  </si>
  <si>
    <t>Channel Integrations</t>
  </si>
  <si>
    <t>Channel connection management, Meta Business webhook variants, social credential encryption and the public embeddable widget</t>
  </si>
  <si>
    <t>Connection and credentials</t>
  </si>
  <si>
    <t>TC-CHN-001</t>
  </si>
  <si>
    <t>Connect a channel and run the health check</t>
  </si>
  <si>
    <t>1. POST /api/admin/channels with a valid token.
2. GET /api/admin/channels/{id}/health.</t>
  </si>
  <si>
    <t>Channel is connected; health check reports ok with the last sync timestamp.</t>
  </si>
  <si>
    <t>A valid provider token is available</t>
  </si>
  <si>
    <t>TC-CHN-002</t>
  </si>
  <si>
    <t>Social credentials are stored encrypted at rest</t>
  </si>
  <si>
    <t>1. Save a channel token through the settings page.
2. Read the social_credentials row directly from the database.</t>
  </si>
  <si>
    <t>The stored value is ciphertext; the settings page shows only a masked value.</t>
  </si>
  <si>
    <t>Caller can query the database in the test environment</t>
  </si>
  <si>
    <t>TC-CHN-003</t>
  </si>
  <si>
    <t>Reconnect after a revoked token clears the sync error</t>
  </si>
  <si>
    <t>1. Revoke the token at the provider.
2. PUT /api/admin/channels/{id} with a fresh token.</t>
  </si>
  <si>
    <t>SyncError is cleared; the next poll succeeds.</t>
  </si>
  <si>
    <t>The channel is currently connected with a revoked token</t>
  </si>
  <si>
    <t>Meta webhooks and widget</t>
  </si>
  <si>
    <t>TC-CHN-004</t>
  </si>
  <si>
    <t>Meta page webhook validates the signature header</t>
  </si>
  <si>
    <t>1. POST to /api/webhooks/meta/page with a tampered X-Hub-Signature-256.</t>
  </si>
  <si>
    <t>HTTP 401; the payload is not processed.</t>
  </si>
  <si>
    <t>The webhook secret is configured</t>
  </si>
  <si>
    <t>TC-CHN-005</t>
  </si>
  <si>
    <t>Meta Business integration webhook is isolated from the page webhook</t>
  </si>
  <si>
    <t>1. POST a business-account event to /api/webhooks/meta/business.
2. Confirm no page conversation is affected.</t>
  </si>
  <si>
    <t>The event is processed on the business integration path only; page conversations are unchanged.</t>
  </si>
  <si>
    <t>Both webhook endpoints are configured</t>
  </si>
  <si>
    <t>TC-CHN-006</t>
  </si>
  <si>
    <t>Public widget script only exposes the intended tenant</t>
  </si>
  <si>
    <t>1. GET /api/public/widget/{tenantKey}/config from an anonymous session.</t>
  </si>
  <si>
    <t>HTTP 200; the response exposes only public branding fields, no internal identifiers of other tenants.</t>
  </si>
  <si>
    <t>The widget key belongs to an active tenant</t>
  </si>
  <si>
    <t>TC-CHN-007</t>
  </si>
  <si>
    <t>A message sent through the public widget reaches the inbox</t>
  </si>
  <si>
    <t>1. Post a message through the widget's public send endpoint.
2. GET /api/inbox/conversations for that tenant.</t>
  </si>
  <si>
    <t>The message appears in the inbox within a few seconds, tagged with the widget source.</t>
  </si>
  <si>
    <t>The widget is enabled for the tenant</t>
  </si>
  <si>
    <t>DEF-010</t>
  </si>
  <si>
    <t>Round 1: widget-sourced conversations had no inbox_id, so they never appeared in the unified inbox. Fixed and retested in round 2.</t>
  </si>
  <si>
    <t>Clawbot</t>
  </si>
  <si>
    <t>&lt;Creator&gt;</t>
  </si>
  <si>
    <t>CLAWBOT</t>
  </si>
  <si>
    <t>1.0</t>
  </si>
  <si>
    <t>All modules</t>
  </si>
  <si>
    <t>A</t>
  </si>
  <si>
    <t>Initial version</t>
  </si>
  <si>
    <t>1. Frontend: React + Vite (localhost:15876)
2. API Backend: .NET 8 (localhost:15874)
3. AgentService gRPC (localhost:15875)
4. SQL Server 2022 (Docker :1433)
5. Redis 7 (Docker :6379)
6. Qdrant vector store (Docker :6333)</t>
  </si>
  <si>
    <t>API and database are reachable; a seeded tenant account exists</t>
  </si>
  <si>
    <t>At least one channel is connected; RabbitMQ consumer is running</t>
  </si>
  <si>
    <t>Qdrant vector store is reachable; a configured LLM provider is active</t>
  </si>
  <si>
    <t>API is running; lead scoring rules are seeded via POST /api/lead-scoring-rules/seed-defaults</t>
  </si>
  <si>
    <t>A configured LLM provider is active; a deployed KB module exists for RAG context</t>
  </si>
  <si>
    <t>AgentService gRPC is running; at least one agent definition is bound to an LLM provider</t>
  </si>
  <si>
    <t>A contact with an active conversation exists; the document template library is seeded</t>
  </si>
  <si>
    <t>A tenant admin account exists; RBAC roles are seeded</t>
  </si>
  <si>
    <t>A conversation and a background job runner are available</t>
  </si>
  <si>
    <t>A conversation with recent inbound messages exists; at least one prompt template and one chat scenario are seeded</t>
  </si>
  <si>
    <t>Provider sandbox credentials are available for at least one channel</t>
  </si>
  <si>
    <t>Login &amp; Auth, Omnichannel Inbox, Knowledge Base, Lead Management, Content Pipeline, Agent Orchestration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</si>
</sst>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28">
    <font>
      <sz val="11"/>
      <name val="ＭＳ Ｐゴシック"/>
      <charset val="128"/>
    </font>
    <font>
      <sz val="9"/>
      <name val="ＭＳ ゴシック"/>
      <family val="3"/>
      <charset val="128"/>
    </font>
    <font>
      <sz val="10"/>
      <name val="Tahoma"/>
      <family val="2"/>
    </font>
    <font>
      <b/>
      <sz val="26"/>
      <color indexed="10"/>
      <name val="Tahoma"/>
      <family val="2"/>
    </font>
    <font>
      <b/>
      <sz val="20"/>
      <color indexed="8"/>
      <name val="Tahoma"/>
      <family val="2"/>
    </font>
    <font>
      <b/>
      <sz val="10"/>
      <color indexed="60"/>
      <name val="Tahoma"/>
      <family val="2"/>
    </font>
    <font>
      <i/>
      <sz val="10"/>
      <color indexed="17"/>
      <name val="Tahoma"/>
      <family val="2"/>
    </font>
    <font>
      <b/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b/>
      <sz val="10"/>
      <name val="Tahoma"/>
      <family val="2"/>
    </font>
    <font>
      <u/>
      <sz val="10"/>
      <color indexed="12"/>
      <name val="Tahoma"/>
      <family val="2"/>
    </font>
    <font>
      <u/>
      <sz val="11"/>
      <color indexed="12"/>
      <name val="ＭＳ Ｐゴシック"/>
      <family val="3"/>
      <charset val="128"/>
    </font>
    <font>
      <sz val="10"/>
      <color indexed="10"/>
      <name val="Tahoma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12"/>
      <name val="Tahoma"/>
      <family val="2"/>
    </font>
    <font>
      <sz val="11"/>
      <name val="ＭＳ Ｐゴシック"/>
      <family val="2"/>
      <charset val="128"/>
    </font>
    <font>
      <b/>
      <i/>
      <sz val="10"/>
      <name val="Tahoma"/>
      <family val="2"/>
    </font>
    <font>
      <sz val="8"/>
      <color rgb="FF000000"/>
      <name val="Tahoma"/>
      <family val="2"/>
    </font>
    <font>
      <sz val="11"/>
      <name val="ＭＳ Ｐゴシック"/>
      <family val="3"/>
      <charset val="128"/>
    </font>
    <font>
      <i/>
      <sz val="10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10"/>
      <color rgb="FF66666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8"/>
        <bgColor indexed="32"/>
      </patternFill>
    </fill>
    <fill>
      <patternFill patternType="solid">
        <fgColor indexed="62"/>
        <bgColor indexed="56"/>
      </patternFill>
    </fill>
    <fill>
      <patternFill patternType="solid">
        <fgColor indexed="27"/>
        <bgColor indexed="41"/>
      </patternFill>
    </fill>
    <fill>
      <patternFill patternType="solid">
        <fgColor theme="6" tint="-0.249977111117893"/>
        <bgColor indexed="32"/>
      </patternFill>
    </fill>
    <fill>
      <patternFill patternType="solid">
        <fgColor rgb="FF1F4E79"/>
        <bgColor rgb="FF1F4E79"/>
      </patternFill>
    </fill>
  </fills>
  <borders count="3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7">
    <xf numFmtId="0" fontId="0" fillId="0" borderId="0"/>
    <xf numFmtId="0" fontId="12" fillId="0" borderId="0" applyNumberFormat="0" applyFill="0" applyBorder="0" applyAlignment="0" applyProtection="0"/>
    <xf numFmtId="0" fontId="17" fillId="0" borderId="0"/>
    <xf numFmtId="0" fontId="17" fillId="0" borderId="0"/>
    <xf numFmtId="0" fontId="1" fillId="0" borderId="0"/>
    <xf numFmtId="0" fontId="20" fillId="0" borderId="0"/>
    <xf numFmtId="0" fontId="24" fillId="0" borderId="0"/>
  </cellStyleXfs>
  <cellXfs count="147">
    <xf numFmtId="0" fontId="0" fillId="0" borderId="0" xfId="0"/>
    <xf numFmtId="0" fontId="2" fillId="2" borderId="0" xfId="0" applyFont="1" applyFill="1"/>
    <xf numFmtId="0" fontId="5" fillId="2" borderId="1" xfId="0" applyFont="1" applyFill="1" applyBorder="1" applyAlignment="1">
      <alignment horizontal="left" vertical="center"/>
    </xf>
    <xf numFmtId="1" fontId="2" fillId="2" borderId="0" xfId="0" applyNumberFormat="1" applyFont="1" applyFill="1"/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Protection="1">
      <protection hidden="1"/>
    </xf>
    <xf numFmtId="0" fontId="4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0" fontId="2" fillId="2" borderId="0" xfId="0" applyFont="1" applyFill="1" applyAlignment="1">
      <alignment wrapText="1"/>
    </xf>
    <xf numFmtId="1" fontId="5" fillId="2" borderId="0" xfId="0" applyNumberFormat="1" applyFont="1" applyFill="1"/>
    <xf numFmtId="0" fontId="2" fillId="2" borderId="0" xfId="0" applyFont="1" applyFill="1" applyAlignment="1">
      <alignment vertical="center"/>
    </xf>
    <xf numFmtId="1" fontId="2" fillId="2" borderId="0" xfId="0" applyNumberFormat="1" applyFont="1" applyFill="1" applyAlignment="1" applyProtection="1">
      <alignment vertical="center"/>
      <protection hidden="1"/>
    </xf>
    <xf numFmtId="0" fontId="2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/>
    </xf>
    <xf numFmtId="1" fontId="7" fillId="4" borderId="3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vertical="center"/>
    </xf>
    <xf numFmtId="49" fontId="2" fillId="2" borderId="7" xfId="0" applyNumberFormat="1" applyFont="1" applyFill="1" applyBorder="1" applyAlignment="1">
      <alignment horizontal="left" vertical="center"/>
    </xf>
    <xf numFmtId="0" fontId="11" fillId="2" borderId="7" xfId="1" applyNumberFormat="1" applyFont="1" applyFill="1" applyBorder="1" applyAlignment="1" applyProtection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1" fontId="2" fillId="2" borderId="9" xfId="0" applyNumberFormat="1" applyFont="1" applyFill="1" applyBorder="1" applyAlignment="1">
      <alignment vertical="center"/>
    </xf>
    <xf numFmtId="49" fontId="2" fillId="2" borderId="10" xfId="0" applyNumberFormat="1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4" fillId="2" borderId="0" xfId="0" applyFont="1" applyFill="1"/>
    <xf numFmtId="0" fontId="2" fillId="2" borderId="0" xfId="0" applyFont="1" applyFill="1" applyAlignment="1">
      <alignment horizontal="center" wrapText="1"/>
    </xf>
    <xf numFmtId="0" fontId="13" fillId="2" borderId="0" xfId="0" applyFont="1" applyFill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9" fillId="2" borderId="0" xfId="3" applyFont="1" applyFill="1" applyAlignment="1">
      <alignment horizontal="center" vertical="center" wrapText="1"/>
    </xf>
    <xf numFmtId="0" fontId="10" fillId="5" borderId="13" xfId="3" applyFont="1" applyFill="1" applyBorder="1" applyAlignment="1">
      <alignment horizontal="left" vertical="center"/>
    </xf>
    <xf numFmtId="0" fontId="10" fillId="5" borderId="14" xfId="3" applyFont="1" applyFill="1" applyBorder="1" applyAlignment="1">
      <alignment horizontal="left" vertical="center"/>
    </xf>
    <xf numFmtId="0" fontId="10" fillId="5" borderId="2" xfId="3" applyFont="1" applyFill="1" applyBorder="1" applyAlignment="1">
      <alignment horizontal="left" vertical="center"/>
    </xf>
    <xf numFmtId="0" fontId="9" fillId="2" borderId="0" xfId="3" applyFont="1" applyFill="1" applyAlignment="1">
      <alignment horizontal="left" vertical="center"/>
    </xf>
    <xf numFmtId="0" fontId="2" fillId="2" borderId="1" xfId="3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3" fillId="2" borderId="0" xfId="0" applyFont="1" applyFill="1" applyAlignment="1">
      <alignment vertical="top" wrapText="1"/>
    </xf>
    <xf numFmtId="0" fontId="1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/>
    <xf numFmtId="0" fontId="10" fillId="2" borderId="0" xfId="2" applyFont="1" applyFill="1"/>
    <xf numFmtId="0" fontId="2" fillId="2" borderId="0" xfId="2" applyFont="1" applyFill="1"/>
    <xf numFmtId="164" fontId="2" fillId="2" borderId="0" xfId="2" applyNumberFormat="1" applyFont="1" applyFill="1"/>
    <xf numFmtId="0" fontId="5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0" fontId="5" fillId="2" borderId="0" xfId="0" applyFont="1" applyFill="1"/>
    <xf numFmtId="0" fontId="6" fillId="2" borderId="0" xfId="2" applyFont="1" applyFill="1"/>
    <xf numFmtId="0" fontId="2" fillId="2" borderId="15" xfId="0" applyFont="1" applyFill="1" applyBorder="1"/>
    <xf numFmtId="0" fontId="7" fillId="3" borderId="16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15" fillId="3" borderId="21" xfId="0" applyFont="1" applyFill="1" applyBorder="1" applyAlignment="1">
      <alignment horizontal="center"/>
    </xf>
    <xf numFmtId="0" fontId="7" fillId="3" borderId="10" xfId="0" applyFont="1" applyFill="1" applyBorder="1"/>
    <xf numFmtId="0" fontId="15" fillId="3" borderId="10" xfId="0" applyFont="1" applyFill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0" fontId="2" fillId="2" borderId="0" xfId="0" applyNumberFormat="1" applyFont="1" applyFill="1" applyAlignment="1">
      <alignment horizontal="center"/>
    </xf>
    <xf numFmtId="9" fontId="2" fillId="2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left"/>
    </xf>
    <xf numFmtId="2" fontId="16" fillId="2" borderId="0" xfId="0" applyNumberFormat="1" applyFont="1" applyFill="1" applyAlignment="1">
      <alignment horizontal="right" wrapText="1"/>
    </xf>
    <xf numFmtId="0" fontId="6" fillId="2" borderId="0" xfId="3" applyFont="1" applyFill="1" applyAlignment="1">
      <alignment horizontal="left" wrapText="1"/>
    </xf>
    <xf numFmtId="0" fontId="8" fillId="2" borderId="0" xfId="0" applyFont="1" applyFill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0" fillId="5" borderId="23" xfId="3" applyFont="1" applyFill="1" applyBorder="1" applyAlignment="1">
      <alignment horizontal="left" vertical="center"/>
    </xf>
    <xf numFmtId="0" fontId="10" fillId="5" borderId="24" xfId="3" applyFont="1" applyFill="1" applyBorder="1" applyAlignment="1">
      <alignment horizontal="left" vertical="center"/>
    </xf>
    <xf numFmtId="0" fontId="10" fillId="5" borderId="25" xfId="3" applyFont="1" applyFill="1" applyBorder="1" applyAlignment="1">
      <alignment horizontal="left" vertical="center"/>
    </xf>
    <xf numFmtId="0" fontId="6" fillId="2" borderId="0" xfId="3" applyFont="1" applyFill="1" applyAlignment="1">
      <alignment wrapText="1"/>
    </xf>
    <xf numFmtId="0" fontId="7" fillId="6" borderId="26" xfId="3" applyFont="1" applyFill="1" applyBorder="1" applyAlignment="1">
      <alignment horizontal="center" vertical="center" wrapText="1"/>
    </xf>
    <xf numFmtId="0" fontId="18" fillId="2" borderId="26" xfId="3" applyFont="1" applyFill="1" applyBorder="1" applyAlignment="1">
      <alignment horizontal="center" vertical="top" wrapText="1"/>
    </xf>
    <xf numFmtId="0" fontId="2" fillId="2" borderId="26" xfId="3" applyFont="1" applyFill="1" applyBorder="1" applyAlignment="1">
      <alignment horizontal="center" vertical="top" wrapText="1"/>
    </xf>
    <xf numFmtId="0" fontId="18" fillId="2" borderId="30" xfId="3" applyFont="1" applyFill="1" applyBorder="1" applyAlignment="1">
      <alignment horizontal="center" vertical="top" wrapText="1"/>
    </xf>
    <xf numFmtId="0" fontId="18" fillId="2" borderId="31" xfId="3" applyFont="1" applyFill="1" applyBorder="1" applyAlignment="1">
      <alignment horizontal="center" vertical="top" wrapText="1"/>
    </xf>
    <xf numFmtId="0" fontId="18" fillId="2" borderId="32" xfId="3" applyFont="1" applyFill="1" applyBorder="1" applyAlignment="1">
      <alignment horizontal="center" vertical="top" wrapText="1"/>
    </xf>
    <xf numFmtId="0" fontId="2" fillId="2" borderId="33" xfId="3" applyFont="1" applyFill="1" applyBorder="1" applyAlignment="1">
      <alignment horizontal="center" vertical="top" wrapText="1"/>
    </xf>
    <xf numFmtId="0" fontId="2" fillId="2" borderId="34" xfId="3" applyFont="1" applyFill="1" applyBorder="1" applyAlignment="1">
      <alignment horizontal="center" vertical="top" wrapText="1"/>
    </xf>
    <xf numFmtId="0" fontId="2" fillId="2" borderId="31" xfId="3" applyFont="1" applyFill="1" applyBorder="1" applyAlignment="1">
      <alignment horizontal="center" vertical="top" wrapText="1"/>
    </xf>
    <xf numFmtId="0" fontId="10" fillId="2" borderId="27" xfId="3" applyFont="1" applyFill="1" applyBorder="1" applyAlignment="1">
      <alignment horizontal="center" vertical="top" wrapText="1"/>
    </xf>
    <xf numFmtId="0" fontId="10" fillId="2" borderId="30" xfId="3" applyFont="1" applyFill="1" applyBorder="1" applyAlignment="1">
      <alignment horizontal="center" vertical="top" wrapText="1"/>
    </xf>
    <xf numFmtId="0" fontId="12" fillId="2" borderId="7" xfId="1" applyNumberFormat="1" applyFill="1" applyBorder="1" applyAlignment="1" applyProtection="1">
      <alignment horizontal="left" vertical="center"/>
    </xf>
    <xf numFmtId="0" fontId="3" fillId="0" borderId="13" xfId="5" applyFont="1" applyBorder="1" applyAlignment="1">
      <alignment horizontal="center" vertical="center"/>
    </xf>
    <xf numFmtId="0" fontId="2" fillId="0" borderId="0" xfId="5" applyFont="1" applyAlignment="1">
      <alignment horizontal="center" vertical="center"/>
    </xf>
    <xf numFmtId="0" fontId="5" fillId="2" borderId="0" xfId="5" applyFont="1" applyFill="1" applyAlignment="1">
      <alignment horizontal="left" indent="1"/>
    </xf>
    <xf numFmtId="0" fontId="6" fillId="0" borderId="0" xfId="5" applyFont="1" applyAlignment="1">
      <alignment horizontal="left" indent="1"/>
    </xf>
    <xf numFmtId="0" fontId="2" fillId="0" borderId="0" xfId="5" applyFont="1"/>
    <xf numFmtId="0" fontId="2" fillId="2" borderId="0" xfId="5" applyFont="1" applyFill="1"/>
    <xf numFmtId="0" fontId="10" fillId="2" borderId="1" xfId="5" applyFont="1" applyFill="1" applyBorder="1" applyAlignment="1">
      <alignment horizontal="left"/>
    </xf>
    <xf numFmtId="0" fontId="2" fillId="0" borderId="2" xfId="5" applyFont="1" applyBorder="1"/>
    <xf numFmtId="0" fontId="10" fillId="2" borderId="1" xfId="5" applyFont="1" applyFill="1" applyBorder="1" applyAlignment="1">
      <alignment vertical="center"/>
    </xf>
    <xf numFmtId="0" fontId="21" fillId="0" borderId="2" xfId="5" applyFont="1" applyBorder="1" applyAlignment="1">
      <alignment horizontal="left" indent="1"/>
    </xf>
    <xf numFmtId="0" fontId="10" fillId="0" borderId="0" xfId="5" applyFont="1"/>
    <xf numFmtId="0" fontId="6" fillId="0" borderId="0" xfId="5" applyFont="1" applyAlignment="1">
      <alignment horizontal="left"/>
    </xf>
    <xf numFmtId="0" fontId="5" fillId="0" borderId="0" xfId="5" applyFont="1" applyAlignment="1">
      <alignment horizontal="left" indent="1"/>
    </xf>
    <xf numFmtId="0" fontId="10" fillId="0" borderId="0" xfId="5" applyFont="1" applyAlignment="1">
      <alignment horizontal="left"/>
    </xf>
    <xf numFmtId="164" fontId="7" fillId="3" borderId="3" xfId="5" applyNumberFormat="1" applyFont="1" applyFill="1" applyBorder="1" applyAlignment="1">
      <alignment horizontal="center" vertical="center"/>
    </xf>
    <xf numFmtId="0" fontId="7" fillId="3" borderId="4" xfId="5" applyFont="1" applyFill="1" applyBorder="1" applyAlignment="1">
      <alignment horizontal="center" vertical="center"/>
    </xf>
    <xf numFmtId="0" fontId="7" fillId="3" borderId="5" xfId="5" applyFont="1" applyFill="1" applyBorder="1" applyAlignment="1">
      <alignment horizontal="center" vertical="center"/>
    </xf>
    <xf numFmtId="0" fontId="2" fillId="0" borderId="0" xfId="5" applyFont="1" applyAlignment="1">
      <alignment vertical="center"/>
    </xf>
    <xf numFmtId="49" fontId="2" fillId="0" borderId="7" xfId="5" applyNumberFormat="1" applyFont="1" applyBorder="1" applyAlignment="1">
      <alignment vertical="top"/>
    </xf>
    <xf numFmtId="0" fontId="2" fillId="0" borderId="7" xfId="5" applyFont="1" applyBorder="1" applyAlignment="1">
      <alignment vertical="top"/>
    </xf>
    <xf numFmtId="15" fontId="2" fillId="0" borderId="7" xfId="5" applyNumberFormat="1" applyFont="1" applyBorder="1" applyAlignment="1">
      <alignment vertical="top"/>
    </xf>
    <xf numFmtId="0" fontId="21" fillId="0" borderId="8" xfId="5" applyFont="1" applyBorder="1" applyAlignment="1">
      <alignment vertical="top" wrapText="1"/>
    </xf>
    <xf numFmtId="0" fontId="2" fillId="0" borderId="0" xfId="5" applyFont="1" applyAlignment="1">
      <alignment vertical="top"/>
    </xf>
    <xf numFmtId="164" fontId="2" fillId="0" borderId="6" xfId="5" applyNumberFormat="1" applyFont="1" applyBorder="1" applyAlignment="1">
      <alignment vertical="top"/>
    </xf>
    <xf numFmtId="0" fontId="2" fillId="0" borderId="8" xfId="5" applyFont="1" applyBorder="1" applyAlignment="1">
      <alignment vertical="top"/>
    </xf>
    <xf numFmtId="164" fontId="2" fillId="0" borderId="9" xfId="5" applyNumberFormat="1" applyFont="1" applyBorder="1" applyAlignment="1">
      <alignment vertical="top"/>
    </xf>
    <xf numFmtId="49" fontId="2" fillId="0" borderId="10" xfId="5" applyNumberFormat="1" applyFont="1" applyBorder="1" applyAlignment="1">
      <alignment vertical="top"/>
    </xf>
    <xf numFmtId="0" fontId="2" fillId="0" borderId="10" xfId="5" applyFont="1" applyBorder="1" applyAlignment="1">
      <alignment vertical="top"/>
    </xf>
    <xf numFmtId="0" fontId="2" fillId="0" borderId="11" xfId="5" applyFont="1" applyBorder="1" applyAlignment="1">
      <alignment vertical="top"/>
    </xf>
    <xf numFmtId="0" fontId="2" fillId="0" borderId="0" xfId="5" applyFont="1" applyAlignment="1">
      <alignment horizontal="left" indent="1"/>
    </xf>
    <xf numFmtId="0" fontId="24" fillId="0" borderId="0" xfId="6"/>
    <xf numFmtId="0" fontId="26" fillId="0" borderId="35" xfId="6" applyFont="1" applyBorder="1" applyAlignment="1">
      <alignment vertical="top" wrapText="1"/>
    </xf>
    <xf numFmtId="0" fontId="26" fillId="0" borderId="36" xfId="6" applyFont="1" applyBorder="1" applyAlignment="1">
      <alignment vertical="top" wrapText="1"/>
    </xf>
    <xf numFmtId="0" fontId="25" fillId="7" borderId="26" xfId="6" applyFont="1" applyFill="1" applyBorder="1" applyAlignment="1">
      <alignment horizontal="center" vertical="center" wrapText="1"/>
    </xf>
    <xf numFmtId="0" fontId="27" fillId="0" borderId="26" xfId="6" applyFont="1" applyBorder="1" applyAlignment="1">
      <alignment vertical="top" wrapText="1"/>
    </xf>
    <xf numFmtId="0" fontId="4" fillId="0" borderId="1" xfId="5" applyFont="1" applyBorder="1" applyAlignment="1">
      <alignment horizontal="center" vertical="center"/>
    </xf>
    <xf numFmtId="0" fontId="21" fillId="0" borderId="1" xfId="5" applyFont="1" applyBorder="1" applyAlignment="1">
      <alignment horizontal="left"/>
    </xf>
    <xf numFmtId="0" fontId="21" fillId="0" borderId="13" xfId="5" applyFont="1" applyBorder="1" applyAlignment="1">
      <alignment horizontal="left" vertical="center"/>
    </xf>
    <xf numFmtId="0" fontId="21" fillId="0" borderId="14" xfId="5" applyFont="1" applyBorder="1" applyAlignment="1">
      <alignment horizontal="left" vertical="center"/>
    </xf>
    <xf numFmtId="0" fontId="21" fillId="0" borderId="2" xfId="5" applyFont="1" applyBorder="1" applyAlignment="1">
      <alignment horizontal="left" vertical="center"/>
    </xf>
    <xf numFmtId="1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top" wrapText="1"/>
    </xf>
    <xf numFmtId="1" fontId="5" fillId="2" borderId="13" xfId="0" applyNumberFormat="1" applyFont="1" applyFill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2" applyFont="1" applyFill="1" applyBorder="1" applyAlignment="1">
      <alignment vertical="top"/>
    </xf>
    <xf numFmtId="0" fontId="4" fillId="2" borderId="0" xfId="2" applyFont="1" applyFill="1" applyAlignment="1">
      <alignment horizontal="center"/>
    </xf>
    <xf numFmtId="0" fontId="2" fillId="2" borderId="28" xfId="3" applyFont="1" applyFill="1" applyBorder="1" applyAlignment="1">
      <alignment horizontal="left" vertical="top" wrapText="1"/>
    </xf>
    <xf numFmtId="0" fontId="2" fillId="2" borderId="29" xfId="3" applyFont="1" applyFill="1" applyBorder="1" applyAlignment="1">
      <alignment horizontal="left" vertical="top" wrapText="1"/>
    </xf>
    <xf numFmtId="0" fontId="2" fillId="2" borderId="26" xfId="3" applyFont="1" applyFill="1" applyBorder="1" applyAlignment="1">
      <alignment horizontal="left" vertical="top" wrapText="1"/>
    </xf>
    <xf numFmtId="0" fontId="2" fillId="2" borderId="31" xfId="3" applyFont="1" applyFill="1" applyBorder="1" applyAlignment="1">
      <alignment horizontal="left" vertical="top" wrapText="1"/>
    </xf>
    <xf numFmtId="14" fontId="2" fillId="2" borderId="1" xfId="3" applyNumberFormat="1" applyFont="1" applyFill="1" applyBorder="1" applyAlignment="1">
      <alignment vertical="top" wrapText="1"/>
    </xf>
    <xf numFmtId="14" fontId="2" fillId="2" borderId="1" xfId="0" applyNumberFormat="1" applyFont="1" applyFill="1" applyBorder="1"/>
    <xf numFmtId="14" fontId="21" fillId="0" borderId="2" xfId="5" applyNumberFormat="1" applyFont="1" applyBorder="1"/>
    <xf numFmtId="14" fontId="21" fillId="0" borderId="6" xfId="5" applyNumberFormat="1" applyFont="1" applyBorder="1" applyAlignment="1">
      <alignment vertical="top" wrapText="1"/>
    </xf>
    <xf numFmtId="14" fontId="6" fillId="2" borderId="2" xfId="0" applyNumberFormat="1" applyFont="1" applyFill="1" applyBorder="1" applyAlignment="1">
      <alignment vertical="top"/>
    </xf>
  </cellXfs>
  <cellStyles count="7">
    <cellStyle name="Hyperlink" xfId="1" builtinId="8"/>
    <cellStyle name="Normal" xfId="0" builtinId="0"/>
    <cellStyle name="Normal 2" xfId="6" xr:uid="{40A84A53-4CD2-4949-BE3A-4A7CB2F049FF}"/>
    <cellStyle name="Normal_Functional Test Case v1.0" xfId="2" xr:uid="{00000000-0005-0000-0000-000002000000}"/>
    <cellStyle name="Normal_Sheet1" xfId="3" xr:uid="{00000000-0005-0000-0000-000003000000}"/>
    <cellStyle name="Normal_Template_UnitTest Case_v0.9" xfId="5" xr:uid="{EEA5E9E7-8D36-4240-9C70-BE5C8BB08911}"/>
    <cellStyle name="標準_結合試験(AllOvertheWorld)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88900</xdr:rowOff>
    </xdr:from>
    <xdr:to>
      <xdr:col>1</xdr:col>
      <xdr:colOff>0</xdr:colOff>
      <xdr:row>1</xdr:row>
      <xdr:rowOff>787400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28D81-F0A9-7F4A-AE56-D77A2B14C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0"/>
          <a:ext cx="21336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95E7C-3083-0D4D-BE51-7E9C959622A8}">
  <dimension ref="A2:F17"/>
  <sheetViews>
    <sheetView showGridLines="0" zoomScale="85" zoomScaleNormal="85" workbookViewId="0">
      <selection activeCell="B3" sqref="B3"/>
    </sheetView>
  </sheetViews>
  <sheetFormatPr defaultColWidth="9" defaultRowHeight="12.5"/>
  <cols>
    <col min="1" max="1" width="28.08984375" style="120" customWidth="1"/>
    <col min="2" max="2" width="10" style="95" customWidth="1"/>
    <col min="3" max="3" width="14.36328125" style="95" customWidth="1"/>
    <col min="4" max="4" width="8" style="95" customWidth="1"/>
    <col min="5" max="5" width="38" style="95" customWidth="1"/>
    <col min="6" max="6" width="48.08984375" style="95" customWidth="1"/>
    <col min="7" max="256" width="9" style="95"/>
    <col min="257" max="257" width="28.08984375" style="95" customWidth="1"/>
    <col min="258" max="258" width="10" style="95" customWidth="1"/>
    <col min="259" max="259" width="14.36328125" style="95" customWidth="1"/>
    <col min="260" max="260" width="8" style="95" customWidth="1"/>
    <col min="261" max="261" width="38" style="95" customWidth="1"/>
    <col min="262" max="262" width="48.08984375" style="95" customWidth="1"/>
    <col min="263" max="512" width="9" style="95"/>
    <col min="513" max="513" width="28.08984375" style="95" customWidth="1"/>
    <col min="514" max="514" width="10" style="95" customWidth="1"/>
    <col min="515" max="515" width="14.36328125" style="95" customWidth="1"/>
    <col min="516" max="516" width="8" style="95" customWidth="1"/>
    <col min="517" max="517" width="38" style="95" customWidth="1"/>
    <col min="518" max="518" width="48.08984375" style="95" customWidth="1"/>
    <col min="519" max="768" width="9" style="95"/>
    <col min="769" max="769" width="28.08984375" style="95" customWidth="1"/>
    <col min="770" max="770" width="10" style="95" customWidth="1"/>
    <col min="771" max="771" width="14.36328125" style="95" customWidth="1"/>
    <col min="772" max="772" width="8" style="95" customWidth="1"/>
    <col min="773" max="773" width="38" style="95" customWidth="1"/>
    <col min="774" max="774" width="48.08984375" style="95" customWidth="1"/>
    <col min="775" max="1024" width="9" style="95"/>
    <col min="1025" max="1025" width="28.08984375" style="95" customWidth="1"/>
    <col min="1026" max="1026" width="10" style="95" customWidth="1"/>
    <col min="1027" max="1027" width="14.36328125" style="95" customWidth="1"/>
    <col min="1028" max="1028" width="8" style="95" customWidth="1"/>
    <col min="1029" max="1029" width="38" style="95" customWidth="1"/>
    <col min="1030" max="1030" width="48.08984375" style="95" customWidth="1"/>
    <col min="1031" max="1280" width="9" style="95"/>
    <col min="1281" max="1281" width="28.08984375" style="95" customWidth="1"/>
    <col min="1282" max="1282" width="10" style="95" customWidth="1"/>
    <col min="1283" max="1283" width="14.36328125" style="95" customWidth="1"/>
    <col min="1284" max="1284" width="8" style="95" customWidth="1"/>
    <col min="1285" max="1285" width="38" style="95" customWidth="1"/>
    <col min="1286" max="1286" width="48.08984375" style="95" customWidth="1"/>
    <col min="1287" max="1536" width="9" style="95"/>
    <col min="1537" max="1537" width="28.08984375" style="95" customWidth="1"/>
    <col min="1538" max="1538" width="10" style="95" customWidth="1"/>
    <col min="1539" max="1539" width="14.36328125" style="95" customWidth="1"/>
    <col min="1540" max="1540" width="8" style="95" customWidth="1"/>
    <col min="1541" max="1541" width="38" style="95" customWidth="1"/>
    <col min="1542" max="1542" width="48.08984375" style="95" customWidth="1"/>
    <col min="1543" max="1792" width="9" style="95"/>
    <col min="1793" max="1793" width="28.08984375" style="95" customWidth="1"/>
    <col min="1794" max="1794" width="10" style="95" customWidth="1"/>
    <col min="1795" max="1795" width="14.36328125" style="95" customWidth="1"/>
    <col min="1796" max="1796" width="8" style="95" customWidth="1"/>
    <col min="1797" max="1797" width="38" style="95" customWidth="1"/>
    <col min="1798" max="1798" width="48.08984375" style="95" customWidth="1"/>
    <col min="1799" max="2048" width="9" style="95"/>
    <col min="2049" max="2049" width="28.08984375" style="95" customWidth="1"/>
    <col min="2050" max="2050" width="10" style="95" customWidth="1"/>
    <col min="2051" max="2051" width="14.36328125" style="95" customWidth="1"/>
    <col min="2052" max="2052" width="8" style="95" customWidth="1"/>
    <col min="2053" max="2053" width="38" style="95" customWidth="1"/>
    <col min="2054" max="2054" width="48.08984375" style="95" customWidth="1"/>
    <col min="2055" max="2304" width="9" style="95"/>
    <col min="2305" max="2305" width="28.08984375" style="95" customWidth="1"/>
    <col min="2306" max="2306" width="10" style="95" customWidth="1"/>
    <col min="2307" max="2307" width="14.36328125" style="95" customWidth="1"/>
    <col min="2308" max="2308" width="8" style="95" customWidth="1"/>
    <col min="2309" max="2309" width="38" style="95" customWidth="1"/>
    <col min="2310" max="2310" width="48.08984375" style="95" customWidth="1"/>
    <col min="2311" max="2560" width="9" style="95"/>
    <col min="2561" max="2561" width="28.08984375" style="95" customWidth="1"/>
    <col min="2562" max="2562" width="10" style="95" customWidth="1"/>
    <col min="2563" max="2563" width="14.36328125" style="95" customWidth="1"/>
    <col min="2564" max="2564" width="8" style="95" customWidth="1"/>
    <col min="2565" max="2565" width="38" style="95" customWidth="1"/>
    <col min="2566" max="2566" width="48.08984375" style="95" customWidth="1"/>
    <col min="2567" max="2816" width="9" style="95"/>
    <col min="2817" max="2817" width="28.08984375" style="95" customWidth="1"/>
    <col min="2818" max="2818" width="10" style="95" customWidth="1"/>
    <col min="2819" max="2819" width="14.36328125" style="95" customWidth="1"/>
    <col min="2820" max="2820" width="8" style="95" customWidth="1"/>
    <col min="2821" max="2821" width="38" style="95" customWidth="1"/>
    <col min="2822" max="2822" width="48.08984375" style="95" customWidth="1"/>
    <col min="2823" max="3072" width="9" style="95"/>
    <col min="3073" max="3073" width="28.08984375" style="95" customWidth="1"/>
    <col min="3074" max="3074" width="10" style="95" customWidth="1"/>
    <col min="3075" max="3075" width="14.36328125" style="95" customWidth="1"/>
    <col min="3076" max="3076" width="8" style="95" customWidth="1"/>
    <col min="3077" max="3077" width="38" style="95" customWidth="1"/>
    <col min="3078" max="3078" width="48.08984375" style="95" customWidth="1"/>
    <col min="3079" max="3328" width="9" style="95"/>
    <col min="3329" max="3329" width="28.08984375" style="95" customWidth="1"/>
    <col min="3330" max="3330" width="10" style="95" customWidth="1"/>
    <col min="3331" max="3331" width="14.36328125" style="95" customWidth="1"/>
    <col min="3332" max="3332" width="8" style="95" customWidth="1"/>
    <col min="3333" max="3333" width="38" style="95" customWidth="1"/>
    <col min="3334" max="3334" width="48.08984375" style="95" customWidth="1"/>
    <col min="3335" max="3584" width="9" style="95"/>
    <col min="3585" max="3585" width="28.08984375" style="95" customWidth="1"/>
    <col min="3586" max="3586" width="10" style="95" customWidth="1"/>
    <col min="3587" max="3587" width="14.36328125" style="95" customWidth="1"/>
    <col min="3588" max="3588" width="8" style="95" customWidth="1"/>
    <col min="3589" max="3589" width="38" style="95" customWidth="1"/>
    <col min="3590" max="3590" width="48.08984375" style="95" customWidth="1"/>
    <col min="3591" max="3840" width="9" style="95"/>
    <col min="3841" max="3841" width="28.08984375" style="95" customWidth="1"/>
    <col min="3842" max="3842" width="10" style="95" customWidth="1"/>
    <col min="3843" max="3843" width="14.36328125" style="95" customWidth="1"/>
    <col min="3844" max="3844" width="8" style="95" customWidth="1"/>
    <col min="3845" max="3845" width="38" style="95" customWidth="1"/>
    <col min="3846" max="3846" width="48.08984375" style="95" customWidth="1"/>
    <col min="3847" max="4096" width="9" style="95"/>
    <col min="4097" max="4097" width="28.08984375" style="95" customWidth="1"/>
    <col min="4098" max="4098" width="10" style="95" customWidth="1"/>
    <col min="4099" max="4099" width="14.36328125" style="95" customWidth="1"/>
    <col min="4100" max="4100" width="8" style="95" customWidth="1"/>
    <col min="4101" max="4101" width="38" style="95" customWidth="1"/>
    <col min="4102" max="4102" width="48.08984375" style="95" customWidth="1"/>
    <col min="4103" max="4352" width="9" style="95"/>
    <col min="4353" max="4353" width="28.08984375" style="95" customWidth="1"/>
    <col min="4354" max="4354" width="10" style="95" customWidth="1"/>
    <col min="4355" max="4355" width="14.36328125" style="95" customWidth="1"/>
    <col min="4356" max="4356" width="8" style="95" customWidth="1"/>
    <col min="4357" max="4357" width="38" style="95" customWidth="1"/>
    <col min="4358" max="4358" width="48.08984375" style="95" customWidth="1"/>
    <col min="4359" max="4608" width="9" style="95"/>
    <col min="4609" max="4609" width="28.08984375" style="95" customWidth="1"/>
    <col min="4610" max="4610" width="10" style="95" customWidth="1"/>
    <col min="4611" max="4611" width="14.36328125" style="95" customWidth="1"/>
    <col min="4612" max="4612" width="8" style="95" customWidth="1"/>
    <col min="4613" max="4613" width="38" style="95" customWidth="1"/>
    <col min="4614" max="4614" width="48.08984375" style="95" customWidth="1"/>
    <col min="4615" max="4864" width="9" style="95"/>
    <col min="4865" max="4865" width="28.08984375" style="95" customWidth="1"/>
    <col min="4866" max="4866" width="10" style="95" customWidth="1"/>
    <col min="4867" max="4867" width="14.36328125" style="95" customWidth="1"/>
    <col min="4868" max="4868" width="8" style="95" customWidth="1"/>
    <col min="4869" max="4869" width="38" style="95" customWidth="1"/>
    <col min="4870" max="4870" width="48.08984375" style="95" customWidth="1"/>
    <col min="4871" max="5120" width="9" style="95"/>
    <col min="5121" max="5121" width="28.08984375" style="95" customWidth="1"/>
    <col min="5122" max="5122" width="10" style="95" customWidth="1"/>
    <col min="5123" max="5123" width="14.36328125" style="95" customWidth="1"/>
    <col min="5124" max="5124" width="8" style="95" customWidth="1"/>
    <col min="5125" max="5125" width="38" style="95" customWidth="1"/>
    <col min="5126" max="5126" width="48.08984375" style="95" customWidth="1"/>
    <col min="5127" max="5376" width="9" style="95"/>
    <col min="5377" max="5377" width="28.08984375" style="95" customWidth="1"/>
    <col min="5378" max="5378" width="10" style="95" customWidth="1"/>
    <col min="5379" max="5379" width="14.36328125" style="95" customWidth="1"/>
    <col min="5380" max="5380" width="8" style="95" customWidth="1"/>
    <col min="5381" max="5381" width="38" style="95" customWidth="1"/>
    <col min="5382" max="5382" width="48.08984375" style="95" customWidth="1"/>
    <col min="5383" max="5632" width="9" style="95"/>
    <col min="5633" max="5633" width="28.08984375" style="95" customWidth="1"/>
    <col min="5634" max="5634" width="10" style="95" customWidth="1"/>
    <col min="5635" max="5635" width="14.36328125" style="95" customWidth="1"/>
    <col min="5636" max="5636" width="8" style="95" customWidth="1"/>
    <col min="5637" max="5637" width="38" style="95" customWidth="1"/>
    <col min="5638" max="5638" width="48.08984375" style="95" customWidth="1"/>
    <col min="5639" max="5888" width="9" style="95"/>
    <col min="5889" max="5889" width="28.08984375" style="95" customWidth="1"/>
    <col min="5890" max="5890" width="10" style="95" customWidth="1"/>
    <col min="5891" max="5891" width="14.36328125" style="95" customWidth="1"/>
    <col min="5892" max="5892" width="8" style="95" customWidth="1"/>
    <col min="5893" max="5893" width="38" style="95" customWidth="1"/>
    <col min="5894" max="5894" width="48.08984375" style="95" customWidth="1"/>
    <col min="5895" max="6144" width="9" style="95"/>
    <col min="6145" max="6145" width="28.08984375" style="95" customWidth="1"/>
    <col min="6146" max="6146" width="10" style="95" customWidth="1"/>
    <col min="6147" max="6147" width="14.36328125" style="95" customWidth="1"/>
    <col min="6148" max="6148" width="8" style="95" customWidth="1"/>
    <col min="6149" max="6149" width="38" style="95" customWidth="1"/>
    <col min="6150" max="6150" width="48.08984375" style="95" customWidth="1"/>
    <col min="6151" max="6400" width="9" style="95"/>
    <col min="6401" max="6401" width="28.08984375" style="95" customWidth="1"/>
    <col min="6402" max="6402" width="10" style="95" customWidth="1"/>
    <col min="6403" max="6403" width="14.36328125" style="95" customWidth="1"/>
    <col min="6404" max="6404" width="8" style="95" customWidth="1"/>
    <col min="6405" max="6405" width="38" style="95" customWidth="1"/>
    <col min="6406" max="6406" width="48.08984375" style="95" customWidth="1"/>
    <col min="6407" max="6656" width="9" style="95"/>
    <col min="6657" max="6657" width="28.08984375" style="95" customWidth="1"/>
    <col min="6658" max="6658" width="10" style="95" customWidth="1"/>
    <col min="6659" max="6659" width="14.36328125" style="95" customWidth="1"/>
    <col min="6660" max="6660" width="8" style="95" customWidth="1"/>
    <col min="6661" max="6661" width="38" style="95" customWidth="1"/>
    <col min="6662" max="6662" width="48.08984375" style="95" customWidth="1"/>
    <col min="6663" max="6912" width="9" style="95"/>
    <col min="6913" max="6913" width="28.08984375" style="95" customWidth="1"/>
    <col min="6914" max="6914" width="10" style="95" customWidth="1"/>
    <col min="6915" max="6915" width="14.36328125" style="95" customWidth="1"/>
    <col min="6916" max="6916" width="8" style="95" customWidth="1"/>
    <col min="6917" max="6917" width="38" style="95" customWidth="1"/>
    <col min="6918" max="6918" width="48.08984375" style="95" customWidth="1"/>
    <col min="6919" max="7168" width="9" style="95"/>
    <col min="7169" max="7169" width="28.08984375" style="95" customWidth="1"/>
    <col min="7170" max="7170" width="10" style="95" customWidth="1"/>
    <col min="7171" max="7171" width="14.36328125" style="95" customWidth="1"/>
    <col min="7172" max="7172" width="8" style="95" customWidth="1"/>
    <col min="7173" max="7173" width="38" style="95" customWidth="1"/>
    <col min="7174" max="7174" width="48.08984375" style="95" customWidth="1"/>
    <col min="7175" max="7424" width="9" style="95"/>
    <col min="7425" max="7425" width="28.08984375" style="95" customWidth="1"/>
    <col min="7426" max="7426" width="10" style="95" customWidth="1"/>
    <col min="7427" max="7427" width="14.36328125" style="95" customWidth="1"/>
    <col min="7428" max="7428" width="8" style="95" customWidth="1"/>
    <col min="7429" max="7429" width="38" style="95" customWidth="1"/>
    <col min="7430" max="7430" width="48.08984375" style="95" customWidth="1"/>
    <col min="7431" max="7680" width="9" style="95"/>
    <col min="7681" max="7681" width="28.08984375" style="95" customWidth="1"/>
    <col min="7682" max="7682" width="10" style="95" customWidth="1"/>
    <col min="7683" max="7683" width="14.36328125" style="95" customWidth="1"/>
    <col min="7684" max="7684" width="8" style="95" customWidth="1"/>
    <col min="7685" max="7685" width="38" style="95" customWidth="1"/>
    <col min="7686" max="7686" width="48.08984375" style="95" customWidth="1"/>
    <col min="7687" max="7936" width="9" style="95"/>
    <col min="7937" max="7937" width="28.08984375" style="95" customWidth="1"/>
    <col min="7938" max="7938" width="10" style="95" customWidth="1"/>
    <col min="7939" max="7939" width="14.36328125" style="95" customWidth="1"/>
    <col min="7940" max="7940" width="8" style="95" customWidth="1"/>
    <col min="7941" max="7941" width="38" style="95" customWidth="1"/>
    <col min="7942" max="7942" width="48.08984375" style="95" customWidth="1"/>
    <col min="7943" max="8192" width="9" style="95"/>
    <col min="8193" max="8193" width="28.08984375" style="95" customWidth="1"/>
    <col min="8194" max="8194" width="10" style="95" customWidth="1"/>
    <col min="8195" max="8195" width="14.36328125" style="95" customWidth="1"/>
    <col min="8196" max="8196" width="8" style="95" customWidth="1"/>
    <col min="8197" max="8197" width="38" style="95" customWidth="1"/>
    <col min="8198" max="8198" width="48.08984375" style="95" customWidth="1"/>
    <col min="8199" max="8448" width="9" style="95"/>
    <col min="8449" max="8449" width="28.08984375" style="95" customWidth="1"/>
    <col min="8450" max="8450" width="10" style="95" customWidth="1"/>
    <col min="8451" max="8451" width="14.36328125" style="95" customWidth="1"/>
    <col min="8452" max="8452" width="8" style="95" customWidth="1"/>
    <col min="8453" max="8453" width="38" style="95" customWidth="1"/>
    <col min="8454" max="8454" width="48.08984375" style="95" customWidth="1"/>
    <col min="8455" max="8704" width="9" style="95"/>
    <col min="8705" max="8705" width="28.08984375" style="95" customWidth="1"/>
    <col min="8706" max="8706" width="10" style="95" customWidth="1"/>
    <col min="8707" max="8707" width="14.36328125" style="95" customWidth="1"/>
    <col min="8708" max="8708" width="8" style="95" customWidth="1"/>
    <col min="8709" max="8709" width="38" style="95" customWidth="1"/>
    <col min="8710" max="8710" width="48.08984375" style="95" customWidth="1"/>
    <col min="8711" max="8960" width="9" style="95"/>
    <col min="8961" max="8961" width="28.08984375" style="95" customWidth="1"/>
    <col min="8962" max="8962" width="10" style="95" customWidth="1"/>
    <col min="8963" max="8963" width="14.36328125" style="95" customWidth="1"/>
    <col min="8964" max="8964" width="8" style="95" customWidth="1"/>
    <col min="8965" max="8965" width="38" style="95" customWidth="1"/>
    <col min="8966" max="8966" width="48.08984375" style="95" customWidth="1"/>
    <col min="8967" max="9216" width="9" style="95"/>
    <col min="9217" max="9217" width="28.08984375" style="95" customWidth="1"/>
    <col min="9218" max="9218" width="10" style="95" customWidth="1"/>
    <col min="9219" max="9219" width="14.36328125" style="95" customWidth="1"/>
    <col min="9220" max="9220" width="8" style="95" customWidth="1"/>
    <col min="9221" max="9221" width="38" style="95" customWidth="1"/>
    <col min="9222" max="9222" width="48.08984375" style="95" customWidth="1"/>
    <col min="9223" max="9472" width="9" style="95"/>
    <col min="9473" max="9473" width="28.08984375" style="95" customWidth="1"/>
    <col min="9474" max="9474" width="10" style="95" customWidth="1"/>
    <col min="9475" max="9475" width="14.36328125" style="95" customWidth="1"/>
    <col min="9476" max="9476" width="8" style="95" customWidth="1"/>
    <col min="9477" max="9477" width="38" style="95" customWidth="1"/>
    <col min="9478" max="9478" width="48.08984375" style="95" customWidth="1"/>
    <col min="9479" max="9728" width="9" style="95"/>
    <col min="9729" max="9729" width="28.08984375" style="95" customWidth="1"/>
    <col min="9730" max="9730" width="10" style="95" customWidth="1"/>
    <col min="9731" max="9731" width="14.36328125" style="95" customWidth="1"/>
    <col min="9732" max="9732" width="8" style="95" customWidth="1"/>
    <col min="9733" max="9733" width="38" style="95" customWidth="1"/>
    <col min="9734" max="9734" width="48.08984375" style="95" customWidth="1"/>
    <col min="9735" max="9984" width="9" style="95"/>
    <col min="9985" max="9985" width="28.08984375" style="95" customWidth="1"/>
    <col min="9986" max="9986" width="10" style="95" customWidth="1"/>
    <col min="9987" max="9987" width="14.36328125" style="95" customWidth="1"/>
    <col min="9988" max="9988" width="8" style="95" customWidth="1"/>
    <col min="9989" max="9989" width="38" style="95" customWidth="1"/>
    <col min="9990" max="9990" width="48.08984375" style="95" customWidth="1"/>
    <col min="9991" max="10240" width="9" style="95"/>
    <col min="10241" max="10241" width="28.08984375" style="95" customWidth="1"/>
    <col min="10242" max="10242" width="10" style="95" customWidth="1"/>
    <col min="10243" max="10243" width="14.36328125" style="95" customWidth="1"/>
    <col min="10244" max="10244" width="8" style="95" customWidth="1"/>
    <col min="10245" max="10245" width="38" style="95" customWidth="1"/>
    <col min="10246" max="10246" width="48.08984375" style="95" customWidth="1"/>
    <col min="10247" max="10496" width="9" style="95"/>
    <col min="10497" max="10497" width="28.08984375" style="95" customWidth="1"/>
    <col min="10498" max="10498" width="10" style="95" customWidth="1"/>
    <col min="10499" max="10499" width="14.36328125" style="95" customWidth="1"/>
    <col min="10500" max="10500" width="8" style="95" customWidth="1"/>
    <col min="10501" max="10501" width="38" style="95" customWidth="1"/>
    <col min="10502" max="10502" width="48.08984375" style="95" customWidth="1"/>
    <col min="10503" max="10752" width="9" style="95"/>
    <col min="10753" max="10753" width="28.08984375" style="95" customWidth="1"/>
    <col min="10754" max="10754" width="10" style="95" customWidth="1"/>
    <col min="10755" max="10755" width="14.36328125" style="95" customWidth="1"/>
    <col min="10756" max="10756" width="8" style="95" customWidth="1"/>
    <col min="10757" max="10757" width="38" style="95" customWidth="1"/>
    <col min="10758" max="10758" width="48.08984375" style="95" customWidth="1"/>
    <col min="10759" max="11008" width="9" style="95"/>
    <col min="11009" max="11009" width="28.08984375" style="95" customWidth="1"/>
    <col min="11010" max="11010" width="10" style="95" customWidth="1"/>
    <col min="11011" max="11011" width="14.36328125" style="95" customWidth="1"/>
    <col min="11012" max="11012" width="8" style="95" customWidth="1"/>
    <col min="11013" max="11013" width="38" style="95" customWidth="1"/>
    <col min="11014" max="11014" width="48.08984375" style="95" customWidth="1"/>
    <col min="11015" max="11264" width="9" style="95"/>
    <col min="11265" max="11265" width="28.08984375" style="95" customWidth="1"/>
    <col min="11266" max="11266" width="10" style="95" customWidth="1"/>
    <col min="11267" max="11267" width="14.36328125" style="95" customWidth="1"/>
    <col min="11268" max="11268" width="8" style="95" customWidth="1"/>
    <col min="11269" max="11269" width="38" style="95" customWidth="1"/>
    <col min="11270" max="11270" width="48.08984375" style="95" customWidth="1"/>
    <col min="11271" max="11520" width="9" style="95"/>
    <col min="11521" max="11521" width="28.08984375" style="95" customWidth="1"/>
    <col min="11522" max="11522" width="10" style="95" customWidth="1"/>
    <col min="11523" max="11523" width="14.36328125" style="95" customWidth="1"/>
    <col min="11524" max="11524" width="8" style="95" customWidth="1"/>
    <col min="11525" max="11525" width="38" style="95" customWidth="1"/>
    <col min="11526" max="11526" width="48.08984375" style="95" customWidth="1"/>
    <col min="11527" max="11776" width="9" style="95"/>
    <col min="11777" max="11777" width="28.08984375" style="95" customWidth="1"/>
    <col min="11778" max="11778" width="10" style="95" customWidth="1"/>
    <col min="11779" max="11779" width="14.36328125" style="95" customWidth="1"/>
    <col min="11780" max="11780" width="8" style="95" customWidth="1"/>
    <col min="11781" max="11781" width="38" style="95" customWidth="1"/>
    <col min="11782" max="11782" width="48.08984375" style="95" customWidth="1"/>
    <col min="11783" max="12032" width="9" style="95"/>
    <col min="12033" max="12033" width="28.08984375" style="95" customWidth="1"/>
    <col min="12034" max="12034" width="10" style="95" customWidth="1"/>
    <col min="12035" max="12035" width="14.36328125" style="95" customWidth="1"/>
    <col min="12036" max="12036" width="8" style="95" customWidth="1"/>
    <col min="12037" max="12037" width="38" style="95" customWidth="1"/>
    <col min="12038" max="12038" width="48.08984375" style="95" customWidth="1"/>
    <col min="12039" max="12288" width="9" style="95"/>
    <col min="12289" max="12289" width="28.08984375" style="95" customWidth="1"/>
    <col min="12290" max="12290" width="10" style="95" customWidth="1"/>
    <col min="12291" max="12291" width="14.36328125" style="95" customWidth="1"/>
    <col min="12292" max="12292" width="8" style="95" customWidth="1"/>
    <col min="12293" max="12293" width="38" style="95" customWidth="1"/>
    <col min="12294" max="12294" width="48.08984375" style="95" customWidth="1"/>
    <col min="12295" max="12544" width="9" style="95"/>
    <col min="12545" max="12545" width="28.08984375" style="95" customWidth="1"/>
    <col min="12546" max="12546" width="10" style="95" customWidth="1"/>
    <col min="12547" max="12547" width="14.36328125" style="95" customWidth="1"/>
    <col min="12548" max="12548" width="8" style="95" customWidth="1"/>
    <col min="12549" max="12549" width="38" style="95" customWidth="1"/>
    <col min="12550" max="12550" width="48.08984375" style="95" customWidth="1"/>
    <col min="12551" max="12800" width="9" style="95"/>
    <col min="12801" max="12801" width="28.08984375" style="95" customWidth="1"/>
    <col min="12802" max="12802" width="10" style="95" customWidth="1"/>
    <col min="12803" max="12803" width="14.36328125" style="95" customWidth="1"/>
    <col min="12804" max="12804" width="8" style="95" customWidth="1"/>
    <col min="12805" max="12805" width="38" style="95" customWidth="1"/>
    <col min="12806" max="12806" width="48.08984375" style="95" customWidth="1"/>
    <col min="12807" max="13056" width="9" style="95"/>
    <col min="13057" max="13057" width="28.08984375" style="95" customWidth="1"/>
    <col min="13058" max="13058" width="10" style="95" customWidth="1"/>
    <col min="13059" max="13059" width="14.36328125" style="95" customWidth="1"/>
    <col min="13060" max="13060" width="8" style="95" customWidth="1"/>
    <col min="13061" max="13061" width="38" style="95" customWidth="1"/>
    <col min="13062" max="13062" width="48.08984375" style="95" customWidth="1"/>
    <col min="13063" max="13312" width="9" style="95"/>
    <col min="13313" max="13313" width="28.08984375" style="95" customWidth="1"/>
    <col min="13314" max="13314" width="10" style="95" customWidth="1"/>
    <col min="13315" max="13315" width="14.36328125" style="95" customWidth="1"/>
    <col min="13316" max="13316" width="8" style="95" customWidth="1"/>
    <col min="13317" max="13317" width="38" style="95" customWidth="1"/>
    <col min="13318" max="13318" width="48.08984375" style="95" customWidth="1"/>
    <col min="13319" max="13568" width="9" style="95"/>
    <col min="13569" max="13569" width="28.08984375" style="95" customWidth="1"/>
    <col min="13570" max="13570" width="10" style="95" customWidth="1"/>
    <col min="13571" max="13571" width="14.36328125" style="95" customWidth="1"/>
    <col min="13572" max="13572" width="8" style="95" customWidth="1"/>
    <col min="13573" max="13573" width="38" style="95" customWidth="1"/>
    <col min="13574" max="13574" width="48.08984375" style="95" customWidth="1"/>
    <col min="13575" max="13824" width="9" style="95"/>
    <col min="13825" max="13825" width="28.08984375" style="95" customWidth="1"/>
    <col min="13826" max="13826" width="10" style="95" customWidth="1"/>
    <col min="13827" max="13827" width="14.36328125" style="95" customWidth="1"/>
    <col min="13828" max="13828" width="8" style="95" customWidth="1"/>
    <col min="13829" max="13829" width="38" style="95" customWidth="1"/>
    <col min="13830" max="13830" width="48.08984375" style="95" customWidth="1"/>
    <col min="13831" max="14080" width="9" style="95"/>
    <col min="14081" max="14081" width="28.08984375" style="95" customWidth="1"/>
    <col min="14082" max="14082" width="10" style="95" customWidth="1"/>
    <col min="14083" max="14083" width="14.36328125" style="95" customWidth="1"/>
    <col min="14084" max="14084" width="8" style="95" customWidth="1"/>
    <col min="14085" max="14085" width="38" style="95" customWidth="1"/>
    <col min="14086" max="14086" width="48.08984375" style="95" customWidth="1"/>
    <col min="14087" max="14336" width="9" style="95"/>
    <col min="14337" max="14337" width="28.08984375" style="95" customWidth="1"/>
    <col min="14338" max="14338" width="10" style="95" customWidth="1"/>
    <col min="14339" max="14339" width="14.36328125" style="95" customWidth="1"/>
    <col min="14340" max="14340" width="8" style="95" customWidth="1"/>
    <col min="14341" max="14341" width="38" style="95" customWidth="1"/>
    <col min="14342" max="14342" width="48.08984375" style="95" customWidth="1"/>
    <col min="14343" max="14592" width="9" style="95"/>
    <col min="14593" max="14593" width="28.08984375" style="95" customWidth="1"/>
    <col min="14594" max="14594" width="10" style="95" customWidth="1"/>
    <col min="14595" max="14595" width="14.36328125" style="95" customWidth="1"/>
    <col min="14596" max="14596" width="8" style="95" customWidth="1"/>
    <col min="14597" max="14597" width="38" style="95" customWidth="1"/>
    <col min="14598" max="14598" width="48.08984375" style="95" customWidth="1"/>
    <col min="14599" max="14848" width="9" style="95"/>
    <col min="14849" max="14849" width="28.08984375" style="95" customWidth="1"/>
    <col min="14850" max="14850" width="10" style="95" customWidth="1"/>
    <col min="14851" max="14851" width="14.36328125" style="95" customWidth="1"/>
    <col min="14852" max="14852" width="8" style="95" customWidth="1"/>
    <col min="14853" max="14853" width="38" style="95" customWidth="1"/>
    <col min="14854" max="14854" width="48.08984375" style="95" customWidth="1"/>
    <col min="14855" max="15104" width="9" style="95"/>
    <col min="15105" max="15105" width="28.08984375" style="95" customWidth="1"/>
    <col min="15106" max="15106" width="10" style="95" customWidth="1"/>
    <col min="15107" max="15107" width="14.36328125" style="95" customWidth="1"/>
    <col min="15108" max="15108" width="8" style="95" customWidth="1"/>
    <col min="15109" max="15109" width="38" style="95" customWidth="1"/>
    <col min="15110" max="15110" width="48.08984375" style="95" customWidth="1"/>
    <col min="15111" max="15360" width="9" style="95"/>
    <col min="15361" max="15361" width="28.08984375" style="95" customWidth="1"/>
    <col min="15362" max="15362" width="10" style="95" customWidth="1"/>
    <col min="15363" max="15363" width="14.36328125" style="95" customWidth="1"/>
    <col min="15364" max="15364" width="8" style="95" customWidth="1"/>
    <col min="15365" max="15365" width="38" style="95" customWidth="1"/>
    <col min="15366" max="15366" width="48.08984375" style="95" customWidth="1"/>
    <col min="15367" max="15616" width="9" style="95"/>
    <col min="15617" max="15617" width="28.08984375" style="95" customWidth="1"/>
    <col min="15618" max="15618" width="10" style="95" customWidth="1"/>
    <col min="15619" max="15619" width="14.36328125" style="95" customWidth="1"/>
    <col min="15620" max="15620" width="8" style="95" customWidth="1"/>
    <col min="15621" max="15621" width="38" style="95" customWidth="1"/>
    <col min="15622" max="15622" width="48.08984375" style="95" customWidth="1"/>
    <col min="15623" max="15872" width="9" style="95"/>
    <col min="15873" max="15873" width="28.08984375" style="95" customWidth="1"/>
    <col min="15874" max="15874" width="10" style="95" customWidth="1"/>
    <col min="15875" max="15875" width="14.36328125" style="95" customWidth="1"/>
    <col min="15876" max="15876" width="8" style="95" customWidth="1"/>
    <col min="15877" max="15877" width="38" style="95" customWidth="1"/>
    <col min="15878" max="15878" width="48.08984375" style="95" customWidth="1"/>
    <col min="15879" max="16128" width="9" style="95"/>
    <col min="16129" max="16129" width="28.08984375" style="95" customWidth="1"/>
    <col min="16130" max="16130" width="10" style="95" customWidth="1"/>
    <col min="16131" max="16131" width="14.36328125" style="95" customWidth="1"/>
    <col min="16132" max="16132" width="8" style="95" customWidth="1"/>
    <col min="16133" max="16133" width="38" style="95" customWidth="1"/>
    <col min="16134" max="16134" width="48.08984375" style="95" customWidth="1"/>
    <col min="16135" max="16384" width="9" style="95"/>
  </cols>
  <sheetData>
    <row r="2" spans="1:6" s="92" customFormat="1" ht="75.75" customHeight="1">
      <c r="A2" s="91"/>
      <c r="B2" s="126" t="s">
        <v>48</v>
      </c>
      <c r="C2" s="126"/>
      <c r="D2" s="126"/>
      <c r="E2" s="126"/>
      <c r="F2" s="126"/>
    </row>
    <row r="3" spans="1:6">
      <c r="A3" s="93"/>
      <c r="B3" s="94"/>
      <c r="E3" s="96"/>
    </row>
    <row r="4" spans="1:6" ht="14.25" customHeight="1">
      <c r="A4" s="97" t="s">
        <v>0</v>
      </c>
      <c r="B4" s="127" t="s">
        <v>762</v>
      </c>
      <c r="C4" s="127"/>
      <c r="D4" s="127"/>
      <c r="E4" s="97" t="s">
        <v>1</v>
      </c>
      <c r="F4" s="98" t="s">
        <v>763</v>
      </c>
    </row>
    <row r="5" spans="1:6" ht="14.25" customHeight="1">
      <c r="A5" s="97" t="s">
        <v>2</v>
      </c>
      <c r="B5" s="127" t="s">
        <v>764</v>
      </c>
      <c r="C5" s="127"/>
      <c r="D5" s="127"/>
      <c r="E5" s="97" t="s">
        <v>5</v>
      </c>
      <c r="F5" s="144">
        <v>46244.708333333336</v>
      </c>
    </row>
    <row r="6" spans="1:6" ht="15.75" customHeight="1">
      <c r="A6" s="99" t="s">
        <v>4</v>
      </c>
      <c r="B6" s="128" t="str">
        <f>B5&amp;"_"&amp;"XXX"&amp;"_"&amp;"vx.x"</f>
        <v>CLAWBOT_XXX_vx.x</v>
      </c>
      <c r="C6" s="129"/>
      <c r="D6" s="130"/>
      <c r="E6" s="97" t="s">
        <v>6</v>
      </c>
      <c r="F6" s="100">
        <v>1</v>
      </c>
    </row>
    <row r="7" spans="1:6">
      <c r="A7" s="101"/>
      <c r="B7" s="102"/>
      <c r="E7" s="103"/>
      <c r="F7" s="94"/>
    </row>
    <row r="8" spans="1:6">
      <c r="A8" s="95"/>
    </row>
    <row r="9" spans="1:6">
      <c r="A9" s="104" t="s">
        <v>7</v>
      </c>
    </row>
    <row r="10" spans="1:6" s="108" customFormat="1">
      <c r="A10" s="105" t="s">
        <v>8</v>
      </c>
      <c r="B10" s="106" t="s">
        <v>6</v>
      </c>
      <c r="C10" s="106" t="s">
        <v>9</v>
      </c>
      <c r="D10" s="106" t="s">
        <v>10</v>
      </c>
      <c r="E10" s="106" t="s">
        <v>11</v>
      </c>
      <c r="F10" s="107" t="s">
        <v>12</v>
      </c>
    </row>
    <row r="11" spans="1:6" s="113" customFormat="1" ht="26.25" customHeight="1">
      <c r="A11" s="145">
        <v>46244.708333333336</v>
      </c>
      <c r="B11" s="109" t="s">
        <v>765</v>
      </c>
      <c r="C11" s="110" t="s">
        <v>766</v>
      </c>
      <c r="D11" s="110" t="s">
        <v>767</v>
      </c>
      <c r="E11" s="111" t="s">
        <v>768</v>
      </c>
      <c r="F11" s="112"/>
    </row>
    <row r="12" spans="1:6" s="113" customFormat="1" ht="21.75" customHeight="1">
      <c r="A12" s="114"/>
      <c r="B12" s="109"/>
      <c r="C12" s="110"/>
      <c r="D12" s="110"/>
      <c r="E12" s="110"/>
      <c r="F12" s="115"/>
    </row>
    <row r="13" spans="1:6" s="113" customFormat="1" ht="19.5" customHeight="1">
      <c r="A13" s="114"/>
      <c r="B13" s="109"/>
      <c r="C13" s="110"/>
      <c r="D13" s="110"/>
      <c r="E13" s="110"/>
      <c r="F13" s="115"/>
    </row>
    <row r="14" spans="1:6" s="113" customFormat="1" ht="21.75" customHeight="1">
      <c r="A14" s="114"/>
      <c r="B14" s="109"/>
      <c r="C14" s="110"/>
      <c r="D14" s="110"/>
      <c r="E14" s="110"/>
      <c r="F14" s="115"/>
    </row>
    <row r="15" spans="1:6" s="113" customFormat="1" ht="19.5" customHeight="1">
      <c r="A15" s="114"/>
      <c r="B15" s="109"/>
      <c r="C15" s="110"/>
      <c r="D15" s="110"/>
      <c r="E15" s="110"/>
      <c r="F15" s="115"/>
    </row>
    <row r="16" spans="1:6" s="113" customFormat="1" ht="21.75" customHeight="1">
      <c r="A16" s="114"/>
      <c r="B16" s="109"/>
      <c r="C16" s="110"/>
      <c r="D16" s="110"/>
      <c r="E16" s="110"/>
      <c r="F16" s="115"/>
    </row>
    <row r="17" spans="1:6" s="113" customFormat="1" ht="19.5" customHeight="1">
      <c r="A17" s="116"/>
      <c r="B17" s="117"/>
      <c r="C17" s="118"/>
      <c r="D17" s="118"/>
      <c r="E17" s="118"/>
      <c r="F17" s="119"/>
    </row>
  </sheetData>
  <mergeCells count="4">
    <mergeCell ref="B2:F2"/>
    <mergeCell ref="B4:D4"/>
    <mergeCell ref="B5:D5"/>
    <mergeCell ref="B6:D6"/>
  </mergeCells>
  <pageMargins left="0.47013888888888888" right="0.47013888888888888" top="0.5" bottom="0.35138888888888886" header="0.51180555555555562" footer="0.1701388888888889"/>
  <pageSetup paperSize="9" firstPageNumber="0" orientation="landscape" horizontalDpi="300" verticalDpi="300"/>
  <headerFooter alignWithMargins="0">
    <oddFooter>&amp;L&amp;"Tahoma,Regular"&amp;8 02ae-BM/PM/HDCV/FSOFT v2/1&amp;C&amp;"Tahoma,Regular"&amp;8Internal use&amp;R&amp;"tahomaTahoma,Regular"&amp;8&amp;P/&amp;N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7"/>
  <sheetViews>
    <sheetView zoomScaleNormal="100" workbookViewId="0">
      <selection activeCell="D13" sqref="D13"/>
    </sheetView>
  </sheetViews>
  <sheetFormatPr defaultColWidth="9" defaultRowHeight="12.5"/>
  <cols>
    <col min="1" max="1" width="1.36328125" style="1" customWidth="1"/>
    <col min="2" max="2" width="11.81640625" style="3" customWidth="1"/>
    <col min="3" max="3" width="26.453125" style="4" customWidth="1"/>
    <col min="4" max="4" width="17.08984375" style="4" customWidth="1"/>
    <col min="5" max="5" width="28.08984375" style="4" customWidth="1"/>
    <col min="6" max="6" width="30.6328125" style="4" customWidth="1"/>
    <col min="7" max="16384" width="9" style="1"/>
  </cols>
  <sheetData>
    <row r="1" spans="2:6" ht="24.5">
      <c r="B1" s="5"/>
      <c r="D1" s="6" t="s">
        <v>13</v>
      </c>
      <c r="E1" s="7"/>
    </row>
    <row r="2" spans="2:6" ht="13.5" customHeight="1">
      <c r="B2" s="5"/>
      <c r="D2" s="8"/>
      <c r="E2" s="8"/>
    </row>
    <row r="3" spans="2:6">
      <c r="B3" s="133" t="s">
        <v>0</v>
      </c>
      <c r="C3" s="133"/>
      <c r="D3" s="134" t="str">
        <f>Cover!B4</f>
        <v>Clawbot</v>
      </c>
      <c r="E3" s="134"/>
      <c r="F3" s="134"/>
    </row>
    <row r="4" spans="2:6">
      <c r="B4" s="133" t="s">
        <v>2</v>
      </c>
      <c r="C4" s="133"/>
      <c r="D4" s="134" t="str">
        <f>Cover!B5</f>
        <v>CLAWBOT</v>
      </c>
      <c r="E4" s="134"/>
      <c r="F4" s="134"/>
    </row>
    <row r="5" spans="2:6" s="9" customFormat="1" ht="84.75" customHeight="1">
      <c r="B5" s="131" t="s">
        <v>14</v>
      </c>
      <c r="C5" s="131"/>
      <c r="D5" s="132" t="s">
        <v>769</v>
      </c>
      <c r="E5" s="132"/>
      <c r="F5" s="132"/>
    </row>
    <row r="6" spans="2:6">
      <c r="B6" s="10"/>
      <c r="C6" s="1"/>
      <c r="D6" s="1"/>
      <c r="E6" s="1"/>
      <c r="F6" s="1"/>
    </row>
    <row r="7" spans="2:6" s="11" customFormat="1">
      <c r="B7" s="12"/>
      <c r="C7" s="13"/>
      <c r="D7" s="13"/>
      <c r="E7" s="13"/>
      <c r="F7" s="13"/>
    </row>
    <row r="8" spans="2:6" s="14" customFormat="1" ht="21" customHeight="1">
      <c r="B8" s="15" t="s">
        <v>15</v>
      </c>
      <c r="C8" s="16" t="s">
        <v>16</v>
      </c>
      <c r="D8" s="16" t="s">
        <v>17</v>
      </c>
      <c r="E8" s="17" t="s">
        <v>18</v>
      </c>
      <c r="F8" s="18" t="s">
        <v>19</v>
      </c>
    </row>
    <row r="9" spans="2:6" ht="13">
      <c r="B9" s="19">
        <v>1</v>
      </c>
      <c r="C9" s="20" t="s">
        <v>86</v>
      </c>
      <c r="D9" s="90" t="s">
        <v>86</v>
      </c>
      <c r="E9" s="21" t="s">
        <v>87</v>
      </c>
      <c r="F9" s="22" t="s">
        <v>770</v>
      </c>
    </row>
    <row r="10" spans="2:6" ht="13">
      <c r="B10" s="19">
        <v>2</v>
      </c>
      <c r="C10" s="20" t="s">
        <v>167</v>
      </c>
      <c r="D10" s="90" t="s">
        <v>167</v>
      </c>
      <c r="E10" s="21" t="s">
        <v>168</v>
      </c>
      <c r="F10" s="22" t="s">
        <v>771</v>
      </c>
    </row>
    <row r="11" spans="2:6" ht="13">
      <c r="B11" s="19">
        <v>3</v>
      </c>
      <c r="C11" s="20" t="s">
        <v>295</v>
      </c>
      <c r="D11" s="90" t="s">
        <v>295</v>
      </c>
      <c r="E11" s="21" t="s">
        <v>296</v>
      </c>
      <c r="F11" s="22" t="s">
        <v>772</v>
      </c>
    </row>
    <row r="12" spans="2:6" ht="13">
      <c r="B12" s="19">
        <v>4</v>
      </c>
      <c r="C12" s="20" t="s">
        <v>356</v>
      </c>
      <c r="D12" s="90" t="s">
        <v>356</v>
      </c>
      <c r="E12" s="21" t="s">
        <v>357</v>
      </c>
      <c r="F12" s="22" t="s">
        <v>773</v>
      </c>
    </row>
    <row r="13" spans="2:6" ht="13">
      <c r="B13" s="19">
        <v>5</v>
      </c>
      <c r="C13" s="20" t="s">
        <v>422</v>
      </c>
      <c r="D13" s="90" t="s">
        <v>422</v>
      </c>
      <c r="E13" s="21" t="s">
        <v>423</v>
      </c>
      <c r="F13" s="22" t="s">
        <v>774</v>
      </c>
    </row>
    <row r="14" spans="2:6" ht="13">
      <c r="B14" s="19">
        <v>6</v>
      </c>
      <c r="C14" s="20" t="s">
        <v>484</v>
      </c>
      <c r="D14" s="90" t="s">
        <v>484</v>
      </c>
      <c r="E14" s="21" t="s">
        <v>485</v>
      </c>
      <c r="F14" s="22" t="s">
        <v>775</v>
      </c>
    </row>
    <row r="15" spans="2:6" ht="13">
      <c r="B15" s="19">
        <v>7</v>
      </c>
      <c r="C15" s="20" t="s">
        <v>545</v>
      </c>
      <c r="D15" s="90" t="s">
        <v>545</v>
      </c>
      <c r="E15" s="21" t="s">
        <v>546</v>
      </c>
      <c r="F15" s="22" t="s">
        <v>776</v>
      </c>
    </row>
    <row r="16" spans="2:6" ht="13">
      <c r="B16" s="19">
        <v>8</v>
      </c>
      <c r="C16" s="20" t="s">
        <v>590</v>
      </c>
      <c r="D16" s="90" t="s">
        <v>590</v>
      </c>
      <c r="E16" s="21" t="s">
        <v>591</v>
      </c>
      <c r="F16" s="22" t="s">
        <v>777</v>
      </c>
    </row>
    <row r="17" spans="2:6" ht="13">
      <c r="B17" s="19">
        <v>9</v>
      </c>
      <c r="C17" s="20" t="s">
        <v>636</v>
      </c>
      <c r="D17" s="90" t="s">
        <v>636</v>
      </c>
      <c r="E17" s="21" t="s">
        <v>637</v>
      </c>
      <c r="F17" s="22" t="s">
        <v>778</v>
      </c>
    </row>
    <row r="18" spans="2:6" ht="13">
      <c r="B18" s="19">
        <v>10</v>
      </c>
      <c r="C18" s="20" t="s">
        <v>680</v>
      </c>
      <c r="D18" s="90" t="s">
        <v>680</v>
      </c>
      <c r="E18" s="21" t="s">
        <v>681</v>
      </c>
      <c r="F18" s="22" t="s">
        <v>779</v>
      </c>
    </row>
    <row r="19" spans="2:6" ht="13">
      <c r="B19" s="19">
        <v>11</v>
      </c>
      <c r="C19" s="20" t="s">
        <v>721</v>
      </c>
      <c r="D19" s="90" t="s">
        <v>721</v>
      </c>
      <c r="E19" s="21" t="s">
        <v>722</v>
      </c>
      <c r="F19" s="22" t="s">
        <v>780</v>
      </c>
    </row>
    <row r="20" spans="2:6">
      <c r="B20" s="19"/>
      <c r="C20" s="20"/>
      <c r="D20" s="23"/>
      <c r="E20" s="23"/>
      <c r="F20" s="22"/>
    </row>
    <row r="21" spans="2:6">
      <c r="B21" s="19"/>
      <c r="C21" s="20"/>
      <c r="D21" s="23"/>
      <c r="E21" s="23"/>
      <c r="F21" s="22"/>
    </row>
    <row r="22" spans="2:6">
      <c r="B22" s="19"/>
      <c r="C22" s="20"/>
      <c r="D22" s="23"/>
      <c r="E22" s="23"/>
      <c r="F22" s="22"/>
    </row>
    <row r="23" spans="2:6">
      <c r="B23" s="19"/>
      <c r="C23" s="20"/>
      <c r="D23" s="23"/>
      <c r="E23" s="23"/>
      <c r="F23" s="22"/>
    </row>
    <row r="24" spans="2:6">
      <c r="B24" s="19"/>
      <c r="C24" s="20"/>
      <c r="D24" s="23"/>
      <c r="E24" s="23"/>
      <c r="F24" s="22"/>
    </row>
    <row r="25" spans="2:6">
      <c r="B25" s="19"/>
      <c r="C25" s="20"/>
      <c r="D25" s="23"/>
      <c r="E25" s="23"/>
      <c r="F25" s="22"/>
    </row>
    <row r="26" spans="2:6">
      <c r="B26" s="19"/>
      <c r="C26" s="20"/>
      <c r="D26" s="23"/>
      <c r="E26" s="23"/>
      <c r="F26" s="22"/>
    </row>
    <row r="27" spans="2:6">
      <c r="B27" s="24"/>
      <c r="C27" s="25"/>
      <c r="D27" s="26"/>
      <c r="E27" s="26"/>
      <c r="F27" s="27"/>
    </row>
  </sheetData>
  <mergeCells count="6">
    <mergeCell ref="B5:C5"/>
    <mergeCell ref="D5:F5"/>
    <mergeCell ref="B3:C3"/>
    <mergeCell ref="D3:F3"/>
    <mergeCell ref="B4:C4"/>
    <mergeCell ref="D4:F4"/>
  </mergeCells>
  <phoneticPr fontId="0" type="noConversion"/>
  <pageMargins left="0.74791666666666667" right="0.74791666666666667" top="0.98402777777777783" bottom="1.1506944444444445" header="0.51180555555555562" footer="0.98402777777777783"/>
  <pageSetup paperSize="9"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zoomScale="85" zoomScaleNormal="85" workbookViewId="0">
      <selection activeCell="B2" sqref="B2"/>
    </sheetView>
  </sheetViews>
  <sheetFormatPr defaultColWidth="9" defaultRowHeight="12.5"/>
  <cols>
    <col min="1" max="1" width="4.453125" style="1" customWidth="1"/>
    <col min="2" max="2" width="18.36328125" style="1" customWidth="1"/>
    <col min="3" max="3" width="19.36328125" style="1" customWidth="1"/>
    <col min="4" max="6" width="11.6328125" style="1" customWidth="1"/>
    <col min="7" max="7" width="9" style="1"/>
    <col min="8" max="8" width="35.453125" style="1" customWidth="1"/>
    <col min="9" max="9" width="33.08984375" style="1" customWidth="1"/>
    <col min="10" max="16384" width="9" style="1"/>
  </cols>
  <sheetData>
    <row r="1" spans="1:8" ht="25.5" customHeight="1">
      <c r="B1" s="137" t="s">
        <v>49</v>
      </c>
      <c r="C1" s="137"/>
      <c r="D1" s="137"/>
      <c r="E1" s="137"/>
      <c r="F1" s="137"/>
      <c r="G1" s="137"/>
      <c r="H1" s="137"/>
    </row>
    <row r="2" spans="1:8" ht="14.25" customHeight="1">
      <c r="A2" s="44"/>
      <c r="B2" s="44"/>
      <c r="C2" s="45"/>
      <c r="D2" s="45"/>
      <c r="E2" s="45"/>
      <c r="F2" s="45"/>
      <c r="G2" s="45"/>
      <c r="H2" s="46"/>
    </row>
    <row r="3" spans="1:8" ht="12" customHeight="1">
      <c r="B3" s="2" t="s">
        <v>0</v>
      </c>
      <c r="C3" s="134" t="s">
        <v>762</v>
      </c>
      <c r="D3" s="134"/>
      <c r="E3" s="135" t="s">
        <v>1</v>
      </c>
      <c r="F3" s="135"/>
      <c r="G3" s="47" t="s">
        <v>763</v>
      </c>
      <c r="H3" s="48"/>
    </row>
    <row r="4" spans="1:8" ht="12" customHeight="1">
      <c r="B4" s="2" t="s">
        <v>2</v>
      </c>
      <c r="C4" s="134" t="s">
        <v>764</v>
      </c>
      <c r="D4" s="134"/>
      <c r="E4" s="135" t="s">
        <v>3</v>
      </c>
      <c r="F4" s="135"/>
      <c r="G4" s="47"/>
      <c r="H4" s="48"/>
    </row>
    <row r="5" spans="1:8" ht="12" customHeight="1">
      <c r="B5" s="49" t="s">
        <v>4</v>
      </c>
      <c r="C5" s="134" t="str">
        <f>C4&amp;"_"&amp;"Test Report"&amp;"_"&amp;"vx.x"</f>
        <v>CLAWBOT_Test Report_vx.x</v>
      </c>
      <c r="D5" s="134"/>
      <c r="E5" s="135" t="s">
        <v>5</v>
      </c>
      <c r="F5" s="135"/>
      <c r="G5" s="47"/>
      <c r="H5" s="146">
        <v>46244.708333333336</v>
      </c>
    </row>
    <row r="6" spans="1:8" ht="21.75" customHeight="1">
      <c r="A6" s="44"/>
      <c r="B6" s="49" t="s">
        <v>27</v>
      </c>
      <c r="C6" s="136" t="s">
        <v>781</v>
      </c>
      <c r="D6" s="136"/>
      <c r="E6" s="136"/>
      <c r="F6" s="136"/>
      <c r="G6" s="136"/>
      <c r="H6" s="136"/>
    </row>
    <row r="7" spans="1:8" ht="14.25" customHeight="1">
      <c r="A7" s="44"/>
      <c r="B7" s="50"/>
      <c r="C7" s="51"/>
      <c r="D7" s="45"/>
      <c r="E7" s="45"/>
      <c r="F7" s="45"/>
      <c r="G7" s="45"/>
      <c r="H7" s="46"/>
    </row>
    <row r="8" spans="1:8">
      <c r="B8" s="50"/>
      <c r="C8" s="51"/>
      <c r="D8" s="45"/>
      <c r="E8" s="45"/>
      <c r="F8" s="45"/>
      <c r="G8" s="45"/>
      <c r="H8" s="46"/>
    </row>
    <row r="10" spans="1:8">
      <c r="A10" s="52"/>
      <c r="B10" s="53" t="s">
        <v>15</v>
      </c>
      <c r="C10" s="54" t="s">
        <v>28</v>
      </c>
      <c r="D10" s="55" t="s">
        <v>38</v>
      </c>
      <c r="E10" s="54" t="s">
        <v>39</v>
      </c>
      <c r="F10" s="54" t="s">
        <v>37</v>
      </c>
      <c r="G10" s="56" t="s">
        <v>23</v>
      </c>
      <c r="H10" s="57" t="s">
        <v>29</v>
      </c>
    </row>
    <row r="11" spans="1:8">
      <c r="A11" s="52"/>
      <c r="B11" s="58">
        <v>1</v>
      </c>
      <c r="C11" s="59" t="str">
        <f>'Login &amp; Authentication'!B2</f>
        <v>Login &amp; Authentication</v>
      </c>
      <c r="D11" s="60">
        <f>'Login &amp; Authentication'!B6</f>
        <v>14</v>
      </c>
      <c r="E11" s="60">
        <f>'Login &amp; Authentication'!C6</f>
        <v>1</v>
      </c>
      <c r="F11" s="60">
        <f>'Login &amp; Authentication'!D6</f>
        <v>0</v>
      </c>
      <c r="G11" s="60">
        <f>'Login &amp; Authentication'!E6</f>
        <v>0</v>
      </c>
      <c r="H11" s="62">
        <f>'Login &amp; Authentication'!B4</f>
        <v>15</v>
      </c>
    </row>
    <row r="12" spans="1:8">
      <c r="A12" s="52"/>
      <c r="B12" s="58">
        <v>2</v>
      </c>
      <c r="C12" s="59" t="str">
        <f>'Omnichannel Inbox'!B2</f>
        <v>Omnichannel Inbox</v>
      </c>
      <c r="D12" s="60">
        <f>'Omnichannel Inbox'!B6</f>
        <v>23</v>
      </c>
      <c r="E12" s="60">
        <f>'Omnichannel Inbox'!C6</f>
        <v>1</v>
      </c>
      <c r="F12" s="60">
        <f>'Omnichannel Inbox'!D6</f>
        <v>0</v>
      </c>
      <c r="G12" s="60">
        <f>'Omnichannel Inbox'!E6</f>
        <v>0</v>
      </c>
      <c r="H12" s="60">
        <f>'Omnichannel Inbox'!B4</f>
        <v>24</v>
      </c>
    </row>
    <row r="13" spans="1:8">
      <c r="A13" s="52"/>
      <c r="B13" s="58">
        <v>3</v>
      </c>
      <c r="C13" s="59" t="str">
        <f>'Knowledge Base'!B2</f>
        <v>Knowledge Base</v>
      </c>
      <c r="D13" s="60">
        <f>'Knowledge Base'!B6</f>
        <v>10</v>
      </c>
      <c r="E13" s="60">
        <f>'Knowledge Base'!C6</f>
        <v>1</v>
      </c>
      <c r="F13" s="60">
        <f>'Knowledge Base'!D6</f>
        <v>0</v>
      </c>
      <c r="G13" s="60">
        <f>'Knowledge Base'!E6</f>
        <v>0</v>
      </c>
      <c r="H13" s="60">
        <f>'Knowledge Base'!B4</f>
        <v>11</v>
      </c>
    </row>
    <row r="14" spans="1:8">
      <c r="A14" s="52"/>
      <c r="B14" s="58">
        <v>4</v>
      </c>
      <c r="C14" s="59" t="str">
        <f>'Lead Management'!B2</f>
        <v>Lead Management</v>
      </c>
      <c r="D14" s="60">
        <f>'Lead Management'!B6</f>
        <v>11</v>
      </c>
      <c r="E14" s="60">
        <f>'Lead Management'!C6</f>
        <v>1</v>
      </c>
      <c r="F14" s="60">
        <f>'Lead Management'!D6</f>
        <v>0</v>
      </c>
      <c r="G14" s="60">
        <f>'Lead Management'!E6</f>
        <v>0</v>
      </c>
      <c r="H14" s="60">
        <f>'Lead Management'!B4</f>
        <v>12</v>
      </c>
    </row>
    <row r="15" spans="1:8">
      <c r="A15" s="52"/>
      <c r="B15" s="58">
        <v>5</v>
      </c>
      <c r="C15" s="59" t="str">
        <f>'Content Pipeline'!B2</f>
        <v>Content Pipeline</v>
      </c>
      <c r="D15" s="60">
        <f>'Content Pipeline'!B6</f>
        <v>10</v>
      </c>
      <c r="E15" s="60">
        <f>'Content Pipeline'!C6</f>
        <v>1</v>
      </c>
      <c r="F15" s="60">
        <f>'Content Pipeline'!D6</f>
        <v>0</v>
      </c>
      <c r="G15" s="60">
        <f>'Content Pipeline'!E6</f>
        <v>0</v>
      </c>
      <c r="H15" s="60">
        <f>'Content Pipeline'!B4</f>
        <v>11</v>
      </c>
    </row>
    <row r="16" spans="1:8">
      <c r="A16" s="52"/>
      <c r="B16" s="58">
        <v>6</v>
      </c>
      <c r="C16" s="59" t="str">
        <f>'Agent Orchestration'!B2</f>
        <v>Agent Orchestration</v>
      </c>
      <c r="D16" s="60">
        <f>'Agent Orchestration'!B6</f>
        <v>10</v>
      </c>
      <c r="E16" s="60">
        <f>'Agent Orchestration'!C6</f>
        <v>1</v>
      </c>
      <c r="F16" s="60">
        <f>'Agent Orchestration'!D6</f>
        <v>0</v>
      </c>
      <c r="G16" s="60">
        <f>'Agent Orchestration'!E6</f>
        <v>0</v>
      </c>
      <c r="H16" s="60">
        <f>'Agent Orchestration'!B4</f>
        <v>11</v>
      </c>
    </row>
    <row r="17" spans="1:8">
      <c r="A17" s="52"/>
      <c r="B17" s="58">
        <v>7</v>
      </c>
      <c r="C17" s="59" t="str">
        <f>'Documents &amp; Reports'!B2</f>
        <v>Documents &amp; Reports</v>
      </c>
      <c r="D17" s="60">
        <f>'Documents &amp; Reports'!B6</f>
        <v>7</v>
      </c>
      <c r="E17" s="60">
        <f>'Documents &amp; Reports'!C6</f>
        <v>1</v>
      </c>
      <c r="F17" s="60">
        <f>'Documents &amp; Reports'!D6</f>
        <v>0</v>
      </c>
      <c r="G17" s="60">
        <f>'Documents &amp; Reports'!E6</f>
        <v>0</v>
      </c>
      <c r="H17" s="60">
        <f>'Documents &amp; Reports'!B4</f>
        <v>8</v>
      </c>
    </row>
    <row r="18" spans="1:8">
      <c r="A18" s="52"/>
      <c r="B18" s="58">
        <v>8</v>
      </c>
      <c r="C18" s="59" t="str">
        <f>'Admin &amp; RBAC'!B2</f>
        <v>Admin &amp; RBAC</v>
      </c>
      <c r="D18" s="60">
        <f>'Admin &amp; RBAC'!B6</f>
        <v>7</v>
      </c>
      <c r="E18" s="60">
        <f>'Admin &amp; RBAC'!C6</f>
        <v>1</v>
      </c>
      <c r="F18" s="60">
        <f>'Admin &amp; RBAC'!D6</f>
        <v>0</v>
      </c>
      <c r="G18" s="60">
        <f>'Admin &amp; RBAC'!E6</f>
        <v>0</v>
      </c>
      <c r="H18" s="60">
        <f>'Admin &amp; RBAC'!B4</f>
        <v>8</v>
      </c>
    </row>
    <row r="19" spans="1:8">
      <c r="A19" s="52"/>
      <c r="B19" s="58">
        <v>9</v>
      </c>
      <c r="C19" s="59" t="str">
        <f>'Notifications &amp; Labels'!B2</f>
        <v>Notifications &amp; Labels</v>
      </c>
      <c r="D19" s="60">
        <f>'Notifications &amp; Labels'!B6</f>
        <v>8</v>
      </c>
      <c r="E19" s="60">
        <f>'Notifications &amp; Labels'!C6</f>
        <v>0</v>
      </c>
      <c r="F19" s="60">
        <f>'Notifications &amp; Labels'!D6</f>
        <v>0</v>
      </c>
      <c r="G19" s="60">
        <f>'Notifications &amp; Labels'!E6</f>
        <v>0</v>
      </c>
      <c r="H19" s="60">
        <f>'Notifications &amp; Labels'!B4</f>
        <v>8</v>
      </c>
    </row>
    <row r="20" spans="1:8">
      <c r="A20" s="52"/>
      <c r="B20" s="58">
        <v>10</v>
      </c>
      <c r="C20" s="59" t="str">
        <f>'Sale Assist &amp; Prompts'!B2</f>
        <v>Sale Assist &amp; Prompts</v>
      </c>
      <c r="D20" s="60">
        <f>'Sale Assist &amp; Prompts'!B6</f>
        <v>6</v>
      </c>
      <c r="E20" s="60">
        <f>'Sale Assist &amp; Prompts'!C6</f>
        <v>1</v>
      </c>
      <c r="F20" s="60">
        <f>'Sale Assist &amp; Prompts'!D6</f>
        <v>0</v>
      </c>
      <c r="G20" s="60">
        <f>'Sale Assist &amp; Prompts'!E6</f>
        <v>0</v>
      </c>
      <c r="H20" s="60">
        <f>'Sale Assist &amp; Prompts'!B4</f>
        <v>7</v>
      </c>
    </row>
    <row r="21" spans="1:8">
      <c r="A21" s="52"/>
      <c r="B21" s="58">
        <v>11</v>
      </c>
      <c r="C21" s="59" t="str">
        <f>'Channel Integrations'!B2</f>
        <v>Channel Integrations</v>
      </c>
      <c r="D21" s="60">
        <f>'Channel Integrations'!B6</f>
        <v>6</v>
      </c>
      <c r="E21" s="60">
        <f>'Channel Integrations'!C6</f>
        <v>1</v>
      </c>
      <c r="F21" s="60">
        <f>'Channel Integrations'!D6</f>
        <v>0</v>
      </c>
      <c r="G21" s="60">
        <f>'Channel Integrations'!E6</f>
        <v>0</v>
      </c>
      <c r="H21" s="60">
        <f>'Channel Integrations'!B4</f>
        <v>7</v>
      </c>
    </row>
    <row r="22" spans="1:8">
      <c r="A22" s="52"/>
      <c r="B22" s="58"/>
      <c r="C22" s="59"/>
      <c r="D22" s="60"/>
      <c r="E22" s="60"/>
      <c r="F22" s="60"/>
      <c r="G22" s="61"/>
      <c r="H22" s="62"/>
    </row>
    <row r="23" spans="1:8">
      <c r="A23" s="52"/>
      <c r="B23" s="63"/>
      <c r="C23" s="64" t="s">
        <v>30</v>
      </c>
      <c r="D23" s="65">
        <f>SUM(D11:D21)</f>
        <v>112</v>
      </c>
      <c r="E23" s="65">
        <f>SUM(E11:E21)</f>
        <v>10</v>
      </c>
      <c r="F23" s="65">
        <f>SUM(F11:F21)</f>
        <v>0</v>
      </c>
      <c r="G23" s="65">
        <f>SUM(G11:G21)</f>
        <v>0</v>
      </c>
      <c r="H23" s="66">
        <f>SUM(H11:H21)</f>
        <v>122</v>
      </c>
    </row>
    <row r="24" spans="1:8">
      <c r="B24" s="67"/>
      <c r="D24" s="68"/>
      <c r="E24" s="69"/>
      <c r="F24" s="69"/>
      <c r="G24" s="69"/>
      <c r="H24" s="69"/>
    </row>
    <row r="25" spans="1:8">
      <c r="C25" s="70" t="s">
        <v>31</v>
      </c>
      <c r="E25" s="71">
        <f>(D23+E23)*100/(H23-G23)</f>
        <v>100</v>
      </c>
      <c r="F25" s="1" t="s">
        <v>32</v>
      </c>
      <c r="H25" s="33"/>
    </row>
    <row r="26" spans="1:8">
      <c r="C26" s="70" t="s">
        <v>33</v>
      </c>
      <c r="E26" s="71">
        <f>D23*100/(H23-G23)</f>
        <v>91.803278688524586</v>
      </c>
      <c r="F26" s="1" t="s">
        <v>32</v>
      </c>
      <c r="H26" s="33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honeticPr fontId="0" type="noConversion"/>
  <pageMargins left="0.74791666666666667" right="0.74791666666666667" top="0.98402777777777783" bottom="0.98402777777777772" header="0.51180555555555562" footer="0.5"/>
  <pageSetup firstPageNumber="0" orientation="landscape" horizontalDpi="300" verticalDpi="300" r:id="rId1"/>
  <headerFooter alignWithMargins="0">
    <oddFooter>&amp;L&amp;"Tahoma,Regular"&amp;8 02ae-BM/PM/HDCV/FSOFT v2/0&amp;C&amp;"tahoma,Regular"&amp;8Internal use&amp;R&amp;"Tahoma,Regular"&amp;8&amp;P/&amp;N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18FE-6CBD-4127-BCE7-1EF7D88E0DBC}">
  <sheetPr>
    <outlinePr summaryBelow="0" summaryRight="0"/>
  </sheetPr>
  <dimension ref="A1:S30"/>
  <sheetViews>
    <sheetView zoomScale="70" zoomScaleNormal="70" workbookViewId="0">
      <pane ySplit="10" topLeftCell="A11" activePane="bottomLeft" state="frozen"/>
      <selection pane="bottomLeft" activeCell="A24" sqref="A24:XFD24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6.632812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36</v>
      </c>
      <c r="B2" s="138" t="s">
        <v>86</v>
      </c>
      <c r="C2" s="138"/>
      <c r="D2" s="138"/>
      <c r="E2" s="139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38</v>
      </c>
    </row>
    <row r="3" spans="1:19" s="30" customFormat="1" ht="25">
      <c r="A3" s="89" t="s">
        <v>21</v>
      </c>
      <c r="B3" s="140" t="s">
        <v>87</v>
      </c>
      <c r="C3" s="140"/>
      <c r="D3" s="140"/>
      <c r="E3" s="141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39</v>
      </c>
    </row>
    <row r="4" spans="1:19" s="30" customFormat="1" ht="18" customHeight="1">
      <c r="A4" s="89" t="s">
        <v>46</v>
      </c>
      <c r="B4" s="140">
        <f>COUNTIF($A$12:$A$1000,"TC-*")</f>
        <v>15</v>
      </c>
      <c r="C4" s="140"/>
      <c r="D4" s="140"/>
      <c r="E4" s="141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37</v>
      </c>
    </row>
    <row r="5" spans="1:19" s="30" customFormat="1" ht="19.5" customHeight="1">
      <c r="A5" s="82" t="s">
        <v>40</v>
      </c>
      <c r="B5" s="80" t="s">
        <v>38</v>
      </c>
      <c r="C5" s="80" t="s">
        <v>39</v>
      </c>
      <c r="D5" s="80" t="s">
        <v>37</v>
      </c>
      <c r="E5" s="83" t="s">
        <v>23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23</v>
      </c>
    </row>
    <row r="6" spans="1:19" s="30" customFormat="1" ht="15" customHeight="1">
      <c r="A6" s="82" t="s">
        <v>41</v>
      </c>
      <c r="B6" s="81">
        <f>COUNTIF($F10:$F1009,B5)</f>
        <v>14</v>
      </c>
      <c r="C6" s="81">
        <f>COUNTIF($F10:$F1009,C5)</f>
        <v>1</v>
      </c>
      <c r="D6" s="81">
        <f>COUNTIF($F10:$F1009,D5)</f>
        <v>0</v>
      </c>
      <c r="E6" s="87">
        <f>COUNTIF($F10:$F1009,E5)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43</v>
      </c>
      <c r="B7" s="81">
        <f>COUNTIF($I10:$I998,B5)</f>
        <v>15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44</v>
      </c>
      <c r="B8" s="85">
        <f>COUNTIF($L10:$L998,B5)</f>
        <v>15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45</v>
      </c>
      <c r="B10" s="79" t="s">
        <v>24</v>
      </c>
      <c r="C10" s="79" t="s">
        <v>35</v>
      </c>
      <c r="D10" s="79" t="s">
        <v>34</v>
      </c>
      <c r="E10" s="79" t="s">
        <v>42</v>
      </c>
      <c r="F10" s="79" t="s">
        <v>41</v>
      </c>
      <c r="G10" s="79" t="s">
        <v>25</v>
      </c>
      <c r="H10" s="79" t="s">
        <v>22</v>
      </c>
      <c r="I10" s="79" t="s">
        <v>43</v>
      </c>
      <c r="J10" s="79" t="s">
        <v>25</v>
      </c>
      <c r="K10" s="79" t="s">
        <v>22</v>
      </c>
      <c r="L10" s="79" t="s">
        <v>44</v>
      </c>
      <c r="M10" s="79" t="s">
        <v>25</v>
      </c>
      <c r="N10" s="79" t="s">
        <v>22</v>
      </c>
      <c r="O10" s="79" t="s">
        <v>47</v>
      </c>
      <c r="P10" s="79" t="s">
        <v>26</v>
      </c>
      <c r="R10" s="34"/>
    </row>
    <row r="11" spans="1:19" s="30" customFormat="1" ht="15.75" customHeight="1">
      <c r="A11" s="75" t="s">
        <v>20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88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37.5" outlineLevel="1">
      <c r="A13" s="39" t="s">
        <v>89</v>
      </c>
      <c r="B13" s="39" t="s">
        <v>90</v>
      </c>
      <c r="C13" s="39" t="s">
        <v>91</v>
      </c>
      <c r="D13" s="42" t="s">
        <v>92</v>
      </c>
      <c r="E13" s="42" t="s">
        <v>93</v>
      </c>
      <c r="F13" s="39" t="s">
        <v>38</v>
      </c>
      <c r="G13" s="142">
        <v>46244.708333333336</v>
      </c>
      <c r="H13" s="39" t="s">
        <v>94</v>
      </c>
      <c r="I13" s="39" t="s">
        <v>38</v>
      </c>
      <c r="J13" s="142">
        <v>46247.708333333336</v>
      </c>
      <c r="K13" s="39" t="s">
        <v>94</v>
      </c>
      <c r="L13" s="39" t="s">
        <v>38</v>
      </c>
      <c r="M13" s="142">
        <v>46252.708333333336</v>
      </c>
      <c r="N13" s="39" t="s">
        <v>94</v>
      </c>
      <c r="O13" s="39"/>
      <c r="P13" s="40"/>
      <c r="R13" s="41"/>
    </row>
    <row r="14" spans="1:19" ht="25" outlineLevel="1">
      <c r="A14" s="39" t="s">
        <v>95</v>
      </c>
      <c r="B14" s="39" t="s">
        <v>96</v>
      </c>
      <c r="C14" s="39" t="s">
        <v>97</v>
      </c>
      <c r="D14" s="42" t="s">
        <v>98</v>
      </c>
      <c r="E14" s="42" t="s">
        <v>99</v>
      </c>
      <c r="F14" s="39" t="s">
        <v>38</v>
      </c>
      <c r="G14" s="142">
        <v>46244.708333333336</v>
      </c>
      <c r="H14" s="39" t="s">
        <v>94</v>
      </c>
      <c r="I14" s="39" t="s">
        <v>38</v>
      </c>
      <c r="J14" s="142">
        <v>46247.708333333336</v>
      </c>
      <c r="K14" s="39" t="s">
        <v>94</v>
      </c>
      <c r="L14" s="39" t="s">
        <v>38</v>
      </c>
      <c r="M14" s="142">
        <v>46252.708333333336</v>
      </c>
      <c r="N14" s="39" t="s">
        <v>94</v>
      </c>
      <c r="O14" s="39"/>
      <c r="P14" s="40"/>
      <c r="R14" s="41"/>
    </row>
    <row r="15" spans="1:19" ht="12.5" customHeight="1" outlineLevel="1">
      <c r="A15" s="39" t="s">
        <v>100</v>
      </c>
      <c r="B15" s="39" t="s">
        <v>101</v>
      </c>
      <c r="C15" s="39" t="s">
        <v>102</v>
      </c>
      <c r="D15" s="39" t="s">
        <v>103</v>
      </c>
      <c r="E15" s="39" t="s">
        <v>104</v>
      </c>
      <c r="F15" s="39" t="s">
        <v>39</v>
      </c>
      <c r="G15" s="142">
        <v>46244.708333333336</v>
      </c>
      <c r="H15" s="39" t="s">
        <v>94</v>
      </c>
      <c r="I15" s="39" t="s">
        <v>38</v>
      </c>
      <c r="J15" s="142">
        <v>46247.708333333336</v>
      </c>
      <c r="K15" s="39" t="s">
        <v>94</v>
      </c>
      <c r="L15" s="39" t="s">
        <v>38</v>
      </c>
      <c r="M15" s="142">
        <v>46252.708333333336</v>
      </c>
      <c r="N15" s="39" t="s">
        <v>94</v>
      </c>
      <c r="O15" s="39" t="s">
        <v>105</v>
      </c>
      <c r="P15" s="40" t="s">
        <v>106</v>
      </c>
      <c r="R15" s="41"/>
    </row>
    <row r="16" spans="1:19" s="30" customFormat="1" ht="15.75" customHeight="1">
      <c r="A16" s="75" t="s">
        <v>107</v>
      </c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R16" s="38"/>
    </row>
    <row r="17" spans="1:18" ht="37.5" outlineLevel="1">
      <c r="A17" s="39" t="s">
        <v>108</v>
      </c>
      <c r="B17" s="39" t="s">
        <v>109</v>
      </c>
      <c r="C17" s="39" t="s">
        <v>110</v>
      </c>
      <c r="D17" s="39" t="s">
        <v>111</v>
      </c>
      <c r="E17" s="39" t="s">
        <v>112</v>
      </c>
      <c r="F17" s="39" t="s">
        <v>38</v>
      </c>
      <c r="G17" s="143">
        <v>46245.708333333336</v>
      </c>
      <c r="H17" s="43" t="s">
        <v>94</v>
      </c>
      <c r="I17" s="39" t="s">
        <v>38</v>
      </c>
      <c r="J17" s="143">
        <v>46247.708333333336</v>
      </c>
      <c r="K17" s="43" t="s">
        <v>94</v>
      </c>
      <c r="L17" s="39" t="s">
        <v>38</v>
      </c>
      <c r="M17" s="143">
        <v>46252.708333333336</v>
      </c>
      <c r="N17" s="43" t="s">
        <v>94</v>
      </c>
      <c r="O17" s="43"/>
      <c r="P17" s="43"/>
    </row>
    <row r="18" spans="1:18" ht="12.5" customHeight="1" outlineLevel="1">
      <c r="A18" s="39" t="s">
        <v>113</v>
      </c>
      <c r="B18" s="39" t="s">
        <v>114</v>
      </c>
      <c r="C18" s="39" t="s">
        <v>115</v>
      </c>
      <c r="D18" s="39" t="s">
        <v>116</v>
      </c>
      <c r="E18" s="39" t="s">
        <v>117</v>
      </c>
      <c r="F18" s="39" t="s">
        <v>38</v>
      </c>
      <c r="G18" s="142">
        <v>46245.708333333336</v>
      </c>
      <c r="H18" s="39" t="s">
        <v>94</v>
      </c>
      <c r="I18" s="39" t="s">
        <v>38</v>
      </c>
      <c r="J18" s="142">
        <v>46247.708333333336</v>
      </c>
      <c r="K18" s="39" t="s">
        <v>94</v>
      </c>
      <c r="L18" s="39" t="s">
        <v>38</v>
      </c>
      <c r="M18" s="142">
        <v>46252.708333333336</v>
      </c>
      <c r="N18" s="39" t="s">
        <v>94</v>
      </c>
      <c r="O18" s="39"/>
      <c r="P18" s="40"/>
      <c r="R18" s="41"/>
    </row>
    <row r="19" spans="1:18" ht="37.5" outlineLevel="1">
      <c r="A19" s="39" t="s">
        <v>118</v>
      </c>
      <c r="B19" s="39" t="s">
        <v>119</v>
      </c>
      <c r="C19" s="39" t="s">
        <v>120</v>
      </c>
      <c r="D19" s="39" t="s">
        <v>121</v>
      </c>
      <c r="E19" s="39" t="s">
        <v>122</v>
      </c>
      <c r="F19" s="39" t="s">
        <v>38</v>
      </c>
      <c r="G19" s="142">
        <v>46245.708333333336</v>
      </c>
      <c r="H19" s="39" t="s">
        <v>94</v>
      </c>
      <c r="I19" s="39" t="s">
        <v>38</v>
      </c>
      <c r="J19" s="142">
        <v>46247.708333333336</v>
      </c>
      <c r="K19" s="39" t="s">
        <v>94</v>
      </c>
      <c r="L19" s="39" t="s">
        <v>38</v>
      </c>
      <c r="M19" s="142">
        <v>46252.708333333336</v>
      </c>
      <c r="N19" s="39" t="s">
        <v>94</v>
      </c>
      <c r="O19" s="39"/>
      <c r="P19" s="40"/>
      <c r="R19" s="41"/>
    </row>
    <row r="20" spans="1:18" s="30" customFormat="1" ht="15.75" customHeight="1">
      <c r="A20" s="75" t="s">
        <v>123</v>
      </c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R20" s="38"/>
    </row>
    <row r="21" spans="1:18" ht="50" outlineLevel="1">
      <c r="A21" s="39" t="s">
        <v>124</v>
      </c>
      <c r="B21" s="39" t="s">
        <v>125</v>
      </c>
      <c r="C21" s="39" t="s">
        <v>126</v>
      </c>
      <c r="D21" s="39" t="s">
        <v>127</v>
      </c>
      <c r="E21" s="39" t="s">
        <v>128</v>
      </c>
      <c r="F21" s="39" t="s">
        <v>38</v>
      </c>
      <c r="G21" s="142">
        <v>46244.708333333336</v>
      </c>
      <c r="H21" s="39" t="s">
        <v>94</v>
      </c>
      <c r="I21" s="39" t="s">
        <v>38</v>
      </c>
      <c r="J21" s="142">
        <v>46247.708333333336</v>
      </c>
      <c r="K21" s="39" t="s">
        <v>94</v>
      </c>
      <c r="L21" s="39" t="s">
        <v>38</v>
      </c>
      <c r="M21" s="142">
        <v>46252.708333333336</v>
      </c>
      <c r="N21" s="39" t="s">
        <v>94</v>
      </c>
      <c r="O21" s="39"/>
      <c r="P21" s="40"/>
      <c r="R21" s="41"/>
    </row>
    <row r="22" spans="1:18" ht="50" outlineLevel="1">
      <c r="A22" s="39" t="s">
        <v>129</v>
      </c>
      <c r="B22" s="39" t="s">
        <v>130</v>
      </c>
      <c r="C22" s="39" t="s">
        <v>131</v>
      </c>
      <c r="D22" s="39" t="s">
        <v>132</v>
      </c>
      <c r="E22" s="39" t="s">
        <v>133</v>
      </c>
      <c r="F22" s="39" t="s">
        <v>38</v>
      </c>
      <c r="G22" s="142">
        <v>46244.708333333336</v>
      </c>
      <c r="H22" s="39" t="s">
        <v>94</v>
      </c>
      <c r="I22" s="39" t="s">
        <v>38</v>
      </c>
      <c r="J22" s="142">
        <v>46247.708333333336</v>
      </c>
      <c r="K22" s="39" t="s">
        <v>94</v>
      </c>
      <c r="L22" s="39" t="s">
        <v>38</v>
      </c>
      <c r="M22" s="142">
        <v>46252.708333333336</v>
      </c>
      <c r="N22" s="39" t="s">
        <v>94</v>
      </c>
      <c r="O22" s="39"/>
      <c r="P22" s="40"/>
      <c r="R22" s="41"/>
    </row>
    <row r="23" spans="1:18" ht="50" outlineLevel="1">
      <c r="A23" s="39" t="s">
        <v>134</v>
      </c>
      <c r="B23" s="39" t="s">
        <v>135</v>
      </c>
      <c r="C23" s="39" t="s">
        <v>136</v>
      </c>
      <c r="D23" s="39" t="s">
        <v>137</v>
      </c>
      <c r="E23" s="39" t="s">
        <v>133</v>
      </c>
      <c r="F23" s="39" t="s">
        <v>38</v>
      </c>
      <c r="G23" s="142">
        <v>46244.708333333336</v>
      </c>
      <c r="H23" s="39" t="s">
        <v>94</v>
      </c>
      <c r="I23" s="39" t="s">
        <v>38</v>
      </c>
      <c r="J23" s="142">
        <v>46247.708333333336</v>
      </c>
      <c r="K23" s="39" t="s">
        <v>94</v>
      </c>
      <c r="L23" s="39" t="s">
        <v>38</v>
      </c>
      <c r="M23" s="142">
        <v>46252.708333333336</v>
      </c>
      <c r="N23" s="39" t="s">
        <v>94</v>
      </c>
      <c r="O23" s="39"/>
      <c r="P23" s="40"/>
      <c r="R23" s="41"/>
    </row>
    <row r="24" spans="1:18" s="30" customFormat="1" ht="15.75" customHeight="1">
      <c r="A24" s="75" t="s">
        <v>138</v>
      </c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7"/>
      <c r="R24" s="38"/>
    </row>
    <row r="25" spans="1:18" ht="50" outlineLevel="1">
      <c r="A25" s="39" t="s">
        <v>139</v>
      </c>
      <c r="B25" s="39" t="s">
        <v>140</v>
      </c>
      <c r="C25" s="39" t="s">
        <v>141</v>
      </c>
      <c r="D25" s="39" t="s">
        <v>142</v>
      </c>
      <c r="E25" s="39" t="s">
        <v>122</v>
      </c>
      <c r="F25" s="39" t="s">
        <v>38</v>
      </c>
      <c r="G25" s="142">
        <v>46245.708333333336</v>
      </c>
      <c r="H25" s="39" t="s">
        <v>94</v>
      </c>
      <c r="I25" s="39" t="s">
        <v>38</v>
      </c>
      <c r="J25" s="142">
        <v>46247.708333333336</v>
      </c>
      <c r="K25" s="39" t="s">
        <v>94</v>
      </c>
      <c r="L25" s="39" t="s">
        <v>38</v>
      </c>
      <c r="M25" s="142">
        <v>46252.708333333336</v>
      </c>
      <c r="N25" s="39" t="s">
        <v>94</v>
      </c>
      <c r="O25" s="39"/>
      <c r="P25" s="40"/>
      <c r="R25" s="41"/>
    </row>
    <row r="26" spans="1:18" ht="37.5" outlineLevel="1">
      <c r="A26" s="39" t="s">
        <v>143</v>
      </c>
      <c r="B26" s="39" t="s">
        <v>144</v>
      </c>
      <c r="C26" s="39" t="s">
        <v>145</v>
      </c>
      <c r="D26" s="39" t="s">
        <v>146</v>
      </c>
      <c r="E26" s="39" t="s">
        <v>147</v>
      </c>
      <c r="F26" s="39" t="s">
        <v>38</v>
      </c>
      <c r="G26" s="142">
        <v>46245.708333333336</v>
      </c>
      <c r="H26" s="39" t="s">
        <v>94</v>
      </c>
      <c r="I26" s="39" t="s">
        <v>38</v>
      </c>
      <c r="J26" s="142">
        <v>46247.708333333336</v>
      </c>
      <c r="K26" s="39" t="s">
        <v>94</v>
      </c>
      <c r="L26" s="39" t="s">
        <v>38</v>
      </c>
      <c r="M26" s="142">
        <v>46252.708333333336</v>
      </c>
      <c r="N26" s="39" t="s">
        <v>94</v>
      </c>
      <c r="O26" s="39"/>
      <c r="P26" s="40"/>
      <c r="R26" s="41"/>
    </row>
    <row r="27" spans="1:18" ht="50" outlineLevel="1">
      <c r="A27" s="39" t="s">
        <v>148</v>
      </c>
      <c r="B27" s="39" t="s">
        <v>149</v>
      </c>
      <c r="C27" s="39" t="s">
        <v>150</v>
      </c>
      <c r="D27" s="39" t="s">
        <v>151</v>
      </c>
      <c r="E27" s="39" t="s">
        <v>152</v>
      </c>
      <c r="F27" s="39" t="s">
        <v>38</v>
      </c>
      <c r="G27" s="142">
        <v>46245.708333333336</v>
      </c>
      <c r="H27" s="39" t="s">
        <v>94</v>
      </c>
      <c r="I27" s="39" t="s">
        <v>38</v>
      </c>
      <c r="J27" s="142">
        <v>46247.708333333336</v>
      </c>
      <c r="K27" s="39" t="s">
        <v>94</v>
      </c>
      <c r="L27" s="39" t="s">
        <v>38</v>
      </c>
      <c r="M27" s="142">
        <v>46252.708333333336</v>
      </c>
      <c r="N27" s="39" t="s">
        <v>94</v>
      </c>
      <c r="O27" s="39"/>
      <c r="P27" s="40"/>
      <c r="R27" s="41"/>
    </row>
    <row r="28" spans="1:18" ht="37.5" outlineLevel="1">
      <c r="A28" s="39" t="s">
        <v>153</v>
      </c>
      <c r="B28" s="39" t="s">
        <v>154</v>
      </c>
      <c r="C28" s="39" t="s">
        <v>155</v>
      </c>
      <c r="D28" s="39" t="s">
        <v>156</v>
      </c>
      <c r="E28" s="39" t="s">
        <v>122</v>
      </c>
      <c r="F28" s="39" t="s">
        <v>38</v>
      </c>
      <c r="G28" s="142">
        <v>46245.708333333336</v>
      </c>
      <c r="H28" s="39" t="s">
        <v>94</v>
      </c>
      <c r="I28" s="39" t="s">
        <v>38</v>
      </c>
      <c r="J28" s="142">
        <v>46247.708333333336</v>
      </c>
      <c r="K28" s="39" t="s">
        <v>94</v>
      </c>
      <c r="L28" s="39" t="s">
        <v>38</v>
      </c>
      <c r="M28" s="142">
        <v>46252.708333333336</v>
      </c>
      <c r="N28" s="39" t="s">
        <v>94</v>
      </c>
      <c r="O28" s="39"/>
      <c r="P28" s="40"/>
      <c r="R28" s="41"/>
    </row>
    <row r="29" spans="1:18" ht="25" outlineLevel="1">
      <c r="A29" s="39" t="s">
        <v>157</v>
      </c>
      <c r="B29" s="39" t="s">
        <v>158</v>
      </c>
      <c r="C29" s="39" t="s">
        <v>159</v>
      </c>
      <c r="D29" s="39" t="s">
        <v>160</v>
      </c>
      <c r="E29" s="39" t="s">
        <v>161</v>
      </c>
      <c r="F29" s="39" t="s">
        <v>38</v>
      </c>
      <c r="G29" s="142">
        <v>46245.708333333336</v>
      </c>
      <c r="H29" s="39" t="s">
        <v>94</v>
      </c>
      <c r="I29" s="39" t="s">
        <v>38</v>
      </c>
      <c r="J29" s="142">
        <v>46248.708333333336</v>
      </c>
      <c r="K29" s="39" t="s">
        <v>94</v>
      </c>
      <c r="L29" s="39" t="s">
        <v>38</v>
      </c>
      <c r="M29" s="142">
        <v>46253.708333333336</v>
      </c>
      <c r="N29" s="39" t="s">
        <v>94</v>
      </c>
      <c r="O29" s="39"/>
      <c r="P29" s="40"/>
      <c r="R29" s="41"/>
    </row>
    <row r="30" spans="1:18" ht="37.5" outlineLevel="1">
      <c r="A30" s="39" t="s">
        <v>162</v>
      </c>
      <c r="B30" s="39" t="s">
        <v>163</v>
      </c>
      <c r="C30" s="39" t="s">
        <v>164</v>
      </c>
      <c r="D30" s="39" t="s">
        <v>165</v>
      </c>
      <c r="E30" s="39" t="s">
        <v>166</v>
      </c>
      <c r="F30" s="39" t="s">
        <v>38</v>
      </c>
      <c r="G30" s="142">
        <v>46246.708333333336</v>
      </c>
      <c r="H30" s="39" t="s">
        <v>94</v>
      </c>
      <c r="I30" s="39" t="s">
        <v>38</v>
      </c>
      <c r="J30" s="142">
        <v>46248.708333333336</v>
      </c>
      <c r="K30" s="39" t="s">
        <v>94</v>
      </c>
      <c r="L30" s="39" t="s">
        <v>38</v>
      </c>
      <c r="M30" s="142">
        <v>46253.708333333336</v>
      </c>
      <c r="N30" s="39" t="s">
        <v>94</v>
      </c>
      <c r="O30" s="39"/>
      <c r="P30" s="40"/>
      <c r="R30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77FB5A82-AFC7-46C2-81BA-1054CC706EBA}"/>
    <dataValidation type="list" allowBlank="1" showErrorMessage="1" sqref="G2:G3 G9 G31:G158 J2:J3 J9 J31:J158 M2:M3 M9 M31:M158 F12:F30 I12:I30 L12:L30" xr:uid="{85A69611-C660-4EA6-9CB9-AC427760AEE0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8CEB8-93F8-4420-91B0-745851BB9306}">
  <sheetPr>
    <outlinePr summaryBelow="0" summaryRight="0"/>
  </sheetPr>
  <dimension ref="A1:S40"/>
  <sheetViews>
    <sheetView zoomScale="70" zoomScaleNormal="70" workbookViewId="0">
      <pane ySplit="10" topLeftCell="A11" activePane="bottomLeft" state="frozen"/>
      <selection pane="bottomLeft" activeCell="A32" sqref="A32:XFD32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6.632812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36</v>
      </c>
      <c r="B2" s="138" t="s">
        <v>167</v>
      </c>
      <c r="C2" s="138"/>
      <c r="D2" s="138"/>
      <c r="E2" s="139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38</v>
      </c>
    </row>
    <row r="3" spans="1:19" s="30" customFormat="1" ht="25">
      <c r="A3" s="89" t="s">
        <v>21</v>
      </c>
      <c r="B3" s="140" t="s">
        <v>168</v>
      </c>
      <c r="C3" s="140"/>
      <c r="D3" s="140"/>
      <c r="E3" s="141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39</v>
      </c>
    </row>
    <row r="4" spans="1:19" s="30" customFormat="1" ht="18" customHeight="1">
      <c r="A4" s="89" t="s">
        <v>46</v>
      </c>
      <c r="B4" s="140">
        <f>COUNTIF($A$12:$A$1000,"TC-*")</f>
        <v>24</v>
      </c>
      <c r="C4" s="140"/>
      <c r="D4" s="140"/>
      <c r="E4" s="141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37</v>
      </c>
    </row>
    <row r="5" spans="1:19" s="30" customFormat="1" ht="19.5" customHeight="1">
      <c r="A5" s="82" t="s">
        <v>40</v>
      </c>
      <c r="B5" s="80" t="s">
        <v>38</v>
      </c>
      <c r="C5" s="80" t="s">
        <v>39</v>
      </c>
      <c r="D5" s="80" t="s">
        <v>37</v>
      </c>
      <c r="E5" s="83" t="s">
        <v>23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23</v>
      </c>
    </row>
    <row r="6" spans="1:19" s="30" customFormat="1" ht="15" customHeight="1">
      <c r="A6" s="82" t="s">
        <v>41</v>
      </c>
      <c r="B6" s="81">
        <f>COUNTIF($F10:$F1019,B5)</f>
        <v>23</v>
      </c>
      <c r="C6" s="81">
        <f>COUNTIF($F10:$F1019,C5)</f>
        <v>1</v>
      </c>
      <c r="D6" s="81">
        <f>COUNTIF($F10:$F1019,D5)</f>
        <v>0</v>
      </c>
      <c r="E6" s="87">
        <f>COUNTIF($F10:$F1019,E5)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43</v>
      </c>
      <c r="B7" s="81">
        <f>COUNTIF($I10:$I998,B5)</f>
        <v>24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44</v>
      </c>
      <c r="B8" s="85">
        <f>COUNTIF($L10:$L998,B5)</f>
        <v>24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45</v>
      </c>
      <c r="B10" s="79" t="s">
        <v>24</v>
      </c>
      <c r="C10" s="79" t="s">
        <v>35</v>
      </c>
      <c r="D10" s="79" t="s">
        <v>34</v>
      </c>
      <c r="E10" s="79" t="s">
        <v>42</v>
      </c>
      <c r="F10" s="79" t="s">
        <v>41</v>
      </c>
      <c r="G10" s="79" t="s">
        <v>25</v>
      </c>
      <c r="H10" s="79" t="s">
        <v>22</v>
      </c>
      <c r="I10" s="79" t="s">
        <v>43</v>
      </c>
      <c r="J10" s="79" t="s">
        <v>25</v>
      </c>
      <c r="K10" s="79" t="s">
        <v>22</v>
      </c>
      <c r="L10" s="79" t="s">
        <v>44</v>
      </c>
      <c r="M10" s="79" t="s">
        <v>25</v>
      </c>
      <c r="N10" s="79" t="s">
        <v>22</v>
      </c>
      <c r="O10" s="79" t="s">
        <v>47</v>
      </c>
      <c r="P10" s="79" t="s">
        <v>26</v>
      </c>
      <c r="R10" s="34"/>
    </row>
    <row r="11" spans="1:19" s="30" customFormat="1" ht="15.75" customHeight="1">
      <c r="A11" s="75" t="s">
        <v>20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169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37.5" outlineLevel="1">
      <c r="A13" s="39" t="s">
        <v>170</v>
      </c>
      <c r="B13" s="39" t="s">
        <v>171</v>
      </c>
      <c r="C13" s="39" t="s">
        <v>172</v>
      </c>
      <c r="D13" s="42" t="s">
        <v>173</v>
      </c>
      <c r="E13" s="42" t="s">
        <v>174</v>
      </c>
      <c r="F13" s="39" t="s">
        <v>38</v>
      </c>
      <c r="G13" s="142">
        <v>46244.708333333336</v>
      </c>
      <c r="H13" s="39" t="s">
        <v>175</v>
      </c>
      <c r="I13" s="39" t="s">
        <v>38</v>
      </c>
      <c r="J13" s="142">
        <v>46247.708333333336</v>
      </c>
      <c r="K13" s="39" t="s">
        <v>175</v>
      </c>
      <c r="L13" s="39" t="s">
        <v>38</v>
      </c>
      <c r="M13" s="142">
        <v>46252.708333333336</v>
      </c>
      <c r="N13" s="39" t="s">
        <v>175</v>
      </c>
      <c r="O13" s="39"/>
      <c r="P13" s="40"/>
      <c r="R13" s="41"/>
    </row>
    <row r="14" spans="1:19" ht="25" outlineLevel="1">
      <c r="A14" s="39" t="s">
        <v>176</v>
      </c>
      <c r="B14" s="39" t="s">
        <v>177</v>
      </c>
      <c r="C14" s="39" t="s">
        <v>178</v>
      </c>
      <c r="D14" s="42" t="s">
        <v>179</v>
      </c>
      <c r="E14" s="42" t="s">
        <v>180</v>
      </c>
      <c r="F14" s="39" t="s">
        <v>38</v>
      </c>
      <c r="G14" s="142">
        <v>46244.708333333336</v>
      </c>
      <c r="H14" s="39" t="s">
        <v>175</v>
      </c>
      <c r="I14" s="39" t="s">
        <v>38</v>
      </c>
      <c r="J14" s="142">
        <v>46247.708333333336</v>
      </c>
      <c r="K14" s="39" t="s">
        <v>175</v>
      </c>
      <c r="L14" s="39" t="s">
        <v>38</v>
      </c>
      <c r="M14" s="142">
        <v>46252.708333333336</v>
      </c>
      <c r="N14" s="39" t="s">
        <v>175</v>
      </c>
      <c r="O14" s="39"/>
      <c r="P14" s="40"/>
      <c r="R14" s="41"/>
    </row>
    <row r="15" spans="1:19" ht="12.5" customHeight="1" outlineLevel="1">
      <c r="A15" s="39" t="s">
        <v>181</v>
      </c>
      <c r="B15" s="39" t="s">
        <v>182</v>
      </c>
      <c r="C15" s="39" t="s">
        <v>183</v>
      </c>
      <c r="D15" s="39" t="s">
        <v>184</v>
      </c>
      <c r="E15" s="39" t="s">
        <v>185</v>
      </c>
      <c r="F15" s="39" t="s">
        <v>38</v>
      </c>
      <c r="G15" s="142">
        <v>46244.708333333336</v>
      </c>
      <c r="H15" s="39" t="s">
        <v>175</v>
      </c>
      <c r="I15" s="39" t="s">
        <v>38</v>
      </c>
      <c r="J15" s="142">
        <v>46247.708333333336</v>
      </c>
      <c r="K15" s="39" t="s">
        <v>175</v>
      </c>
      <c r="L15" s="39" t="s">
        <v>38</v>
      </c>
      <c r="M15" s="142">
        <v>46252.708333333336</v>
      </c>
      <c r="N15" s="39" t="s">
        <v>175</v>
      </c>
      <c r="O15" s="39"/>
      <c r="P15" s="40"/>
      <c r="R15" s="41"/>
    </row>
    <row r="16" spans="1:19" ht="37.5" outlineLevel="1">
      <c r="A16" s="39" t="s">
        <v>186</v>
      </c>
      <c r="B16" s="39" t="s">
        <v>187</v>
      </c>
      <c r="C16" s="39" t="s">
        <v>188</v>
      </c>
      <c r="D16" s="39" t="s">
        <v>189</v>
      </c>
      <c r="E16" s="39" t="s">
        <v>190</v>
      </c>
      <c r="F16" s="39" t="s">
        <v>38</v>
      </c>
      <c r="G16" s="142">
        <v>46244.708333333336</v>
      </c>
      <c r="H16" s="39" t="s">
        <v>175</v>
      </c>
      <c r="I16" s="39" t="s">
        <v>38</v>
      </c>
      <c r="J16" s="142">
        <v>46247.708333333336</v>
      </c>
      <c r="K16" s="39" t="s">
        <v>175</v>
      </c>
      <c r="L16" s="39" t="s">
        <v>38</v>
      </c>
      <c r="M16" s="142">
        <v>46252.708333333336</v>
      </c>
      <c r="N16" s="39" t="s">
        <v>175</v>
      </c>
      <c r="O16" s="39"/>
      <c r="P16" s="40"/>
      <c r="R16" s="41"/>
    </row>
    <row r="17" spans="1:18" s="30" customFormat="1" ht="15.75" customHeight="1">
      <c r="A17" s="75" t="s">
        <v>191</v>
      </c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R17" s="38"/>
    </row>
    <row r="18" spans="1:18" ht="12.5" customHeight="1" outlineLevel="1">
      <c r="A18" s="39" t="s">
        <v>192</v>
      </c>
      <c r="B18" s="39" t="s">
        <v>193</v>
      </c>
      <c r="C18" s="39" t="s">
        <v>194</v>
      </c>
      <c r="D18" s="39" t="s">
        <v>195</v>
      </c>
      <c r="E18" s="39" t="s">
        <v>196</v>
      </c>
      <c r="F18" s="39" t="s">
        <v>38</v>
      </c>
      <c r="G18" s="142">
        <v>46245.708333333336</v>
      </c>
      <c r="H18" s="39" t="s">
        <v>175</v>
      </c>
      <c r="I18" s="39" t="s">
        <v>38</v>
      </c>
      <c r="J18" s="142">
        <v>46247.708333333336</v>
      </c>
      <c r="K18" s="39" t="s">
        <v>175</v>
      </c>
      <c r="L18" s="39" t="s">
        <v>38</v>
      </c>
      <c r="M18" s="142">
        <v>46252.708333333336</v>
      </c>
      <c r="N18" s="39" t="s">
        <v>175</v>
      </c>
      <c r="O18" s="39"/>
      <c r="P18" s="40"/>
      <c r="R18" s="41"/>
    </row>
    <row r="19" spans="1:18" ht="25" outlineLevel="1">
      <c r="A19" s="39" t="s">
        <v>197</v>
      </c>
      <c r="B19" s="39" t="s">
        <v>198</v>
      </c>
      <c r="C19" s="39" t="s">
        <v>199</v>
      </c>
      <c r="D19" s="39" t="s">
        <v>200</v>
      </c>
      <c r="E19" s="39" t="s">
        <v>201</v>
      </c>
      <c r="F19" s="39" t="s">
        <v>38</v>
      </c>
      <c r="G19" s="142">
        <v>46245.708333333336</v>
      </c>
      <c r="H19" s="39" t="s">
        <v>175</v>
      </c>
      <c r="I19" s="39" t="s">
        <v>38</v>
      </c>
      <c r="J19" s="142">
        <v>46247.708333333336</v>
      </c>
      <c r="K19" s="39" t="s">
        <v>175</v>
      </c>
      <c r="L19" s="39" t="s">
        <v>38</v>
      </c>
      <c r="M19" s="142">
        <v>46252.708333333336</v>
      </c>
      <c r="N19" s="39" t="s">
        <v>175</v>
      </c>
      <c r="O19" s="39"/>
      <c r="P19" s="40"/>
      <c r="R19" s="41"/>
    </row>
    <row r="20" spans="1:18" ht="37.5" outlineLevel="1">
      <c r="A20" s="39" t="s">
        <v>202</v>
      </c>
      <c r="B20" s="39" t="s">
        <v>203</v>
      </c>
      <c r="C20" s="39" t="s">
        <v>204</v>
      </c>
      <c r="D20" s="39" t="s">
        <v>205</v>
      </c>
      <c r="E20" s="39" t="s">
        <v>206</v>
      </c>
      <c r="F20" s="39" t="s">
        <v>38</v>
      </c>
      <c r="G20" s="142">
        <v>46245.708333333336</v>
      </c>
      <c r="H20" s="39" t="s">
        <v>175</v>
      </c>
      <c r="I20" s="39" t="s">
        <v>38</v>
      </c>
      <c r="J20" s="142">
        <v>46247.708333333336</v>
      </c>
      <c r="K20" s="39" t="s">
        <v>175</v>
      </c>
      <c r="L20" s="39" t="s">
        <v>38</v>
      </c>
      <c r="M20" s="142">
        <v>46252.708333333336</v>
      </c>
      <c r="N20" s="39" t="s">
        <v>175</v>
      </c>
      <c r="O20" s="39"/>
      <c r="P20" s="40"/>
      <c r="R20" s="41"/>
    </row>
    <row r="21" spans="1:18" ht="37.5" outlineLevel="1">
      <c r="A21" s="39" t="s">
        <v>207</v>
      </c>
      <c r="B21" s="39" t="s">
        <v>208</v>
      </c>
      <c r="C21" s="39" t="s">
        <v>209</v>
      </c>
      <c r="D21" s="39" t="s">
        <v>210</v>
      </c>
      <c r="E21" s="39" t="s">
        <v>211</v>
      </c>
      <c r="F21" s="39" t="s">
        <v>38</v>
      </c>
      <c r="G21" s="142">
        <v>46245.708333333336</v>
      </c>
      <c r="H21" s="39" t="s">
        <v>175</v>
      </c>
      <c r="I21" s="39" t="s">
        <v>38</v>
      </c>
      <c r="J21" s="142">
        <v>46247.708333333336</v>
      </c>
      <c r="K21" s="39" t="s">
        <v>175</v>
      </c>
      <c r="L21" s="39" t="s">
        <v>38</v>
      </c>
      <c r="M21" s="142">
        <v>46252.708333333336</v>
      </c>
      <c r="N21" s="39" t="s">
        <v>175</v>
      </c>
      <c r="O21" s="39"/>
      <c r="P21" s="40"/>
      <c r="R21" s="41"/>
    </row>
    <row r="22" spans="1:18" ht="75" outlineLevel="1">
      <c r="A22" s="39" t="s">
        <v>212</v>
      </c>
      <c r="B22" s="39" t="s">
        <v>213</v>
      </c>
      <c r="C22" s="39" t="s">
        <v>214</v>
      </c>
      <c r="D22" s="39" t="s">
        <v>215</v>
      </c>
      <c r="E22" s="39" t="s">
        <v>216</v>
      </c>
      <c r="F22" s="39" t="s">
        <v>39</v>
      </c>
      <c r="G22" s="142">
        <v>46245.708333333336</v>
      </c>
      <c r="H22" s="39" t="s">
        <v>175</v>
      </c>
      <c r="I22" s="39" t="s">
        <v>38</v>
      </c>
      <c r="J22" s="142">
        <v>46247.708333333336</v>
      </c>
      <c r="K22" s="39" t="s">
        <v>175</v>
      </c>
      <c r="L22" s="39" t="s">
        <v>38</v>
      </c>
      <c r="M22" s="142">
        <v>46252.708333333336</v>
      </c>
      <c r="N22" s="39" t="s">
        <v>175</v>
      </c>
      <c r="O22" s="39" t="s">
        <v>217</v>
      </c>
      <c r="P22" s="40" t="s">
        <v>218</v>
      </c>
      <c r="R22" s="41"/>
    </row>
    <row r="23" spans="1:18" s="30" customFormat="1" ht="15.75" customHeight="1">
      <c r="A23" s="75" t="s">
        <v>219</v>
      </c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7"/>
      <c r="R23" s="38"/>
    </row>
    <row r="24" spans="1:18" ht="37.5" outlineLevel="1">
      <c r="A24" s="39" t="s">
        <v>220</v>
      </c>
      <c r="B24" s="39" t="s">
        <v>221</v>
      </c>
      <c r="C24" s="39" t="s">
        <v>222</v>
      </c>
      <c r="D24" s="39" t="s">
        <v>223</v>
      </c>
      <c r="E24" s="39" t="s">
        <v>224</v>
      </c>
      <c r="F24" s="39" t="s">
        <v>38</v>
      </c>
      <c r="G24" s="142">
        <v>46246.708333333336</v>
      </c>
      <c r="H24" s="39" t="s">
        <v>175</v>
      </c>
      <c r="I24" s="39" t="s">
        <v>38</v>
      </c>
      <c r="J24" s="142">
        <v>46247.708333333336</v>
      </c>
      <c r="K24" s="39" t="s">
        <v>175</v>
      </c>
      <c r="L24" s="39" t="s">
        <v>38</v>
      </c>
      <c r="M24" s="142">
        <v>46252.708333333336</v>
      </c>
      <c r="N24" s="39" t="s">
        <v>175</v>
      </c>
      <c r="O24" s="39"/>
      <c r="P24" s="40"/>
      <c r="R24" s="41"/>
    </row>
    <row r="25" spans="1:18" ht="50" outlineLevel="1">
      <c r="A25" s="39" t="s">
        <v>225</v>
      </c>
      <c r="B25" s="39" t="s">
        <v>226</v>
      </c>
      <c r="C25" s="39" t="s">
        <v>227</v>
      </c>
      <c r="D25" s="39" t="s">
        <v>228</v>
      </c>
      <c r="E25" s="39" t="s">
        <v>229</v>
      </c>
      <c r="F25" s="39" t="s">
        <v>38</v>
      </c>
      <c r="G25" s="142">
        <v>46246.708333333336</v>
      </c>
      <c r="H25" s="39" t="s">
        <v>175</v>
      </c>
      <c r="I25" s="39" t="s">
        <v>38</v>
      </c>
      <c r="J25" s="142">
        <v>46247.708333333336</v>
      </c>
      <c r="K25" s="39" t="s">
        <v>175</v>
      </c>
      <c r="L25" s="39" t="s">
        <v>38</v>
      </c>
      <c r="M25" s="142">
        <v>46252.708333333336</v>
      </c>
      <c r="N25" s="39" t="s">
        <v>175</v>
      </c>
      <c r="O25" s="39"/>
      <c r="P25" s="40"/>
      <c r="R25" s="41"/>
    </row>
    <row r="26" spans="1:18" ht="50" outlineLevel="1">
      <c r="A26" s="39" t="s">
        <v>230</v>
      </c>
      <c r="B26" s="39" t="s">
        <v>231</v>
      </c>
      <c r="C26" s="39" t="s">
        <v>232</v>
      </c>
      <c r="D26" s="39" t="s">
        <v>233</v>
      </c>
      <c r="E26" s="39" t="s">
        <v>234</v>
      </c>
      <c r="F26" s="39" t="s">
        <v>38</v>
      </c>
      <c r="G26" s="142">
        <v>46246.708333333336</v>
      </c>
      <c r="H26" s="39" t="s">
        <v>175</v>
      </c>
      <c r="I26" s="39" t="s">
        <v>38</v>
      </c>
      <c r="J26" s="142">
        <v>46247.708333333336</v>
      </c>
      <c r="K26" s="39" t="s">
        <v>175</v>
      </c>
      <c r="L26" s="39" t="s">
        <v>38</v>
      </c>
      <c r="M26" s="142">
        <v>46252.708333333336</v>
      </c>
      <c r="N26" s="39" t="s">
        <v>175</v>
      </c>
      <c r="O26" s="39"/>
      <c r="P26" s="40"/>
      <c r="R26" s="41"/>
    </row>
    <row r="27" spans="1:18" ht="62.5" outlineLevel="1">
      <c r="A27" s="39" t="s">
        <v>235</v>
      </c>
      <c r="B27" s="39" t="s">
        <v>236</v>
      </c>
      <c r="C27" s="39" t="s">
        <v>237</v>
      </c>
      <c r="D27" s="39" t="s">
        <v>238</v>
      </c>
      <c r="E27" s="39" t="s">
        <v>239</v>
      </c>
      <c r="F27" s="39" t="s">
        <v>38</v>
      </c>
      <c r="G27" s="142">
        <v>46246.708333333336</v>
      </c>
      <c r="H27" s="39" t="s">
        <v>175</v>
      </c>
      <c r="I27" s="39" t="s">
        <v>38</v>
      </c>
      <c r="J27" s="142">
        <v>46247.708333333336</v>
      </c>
      <c r="K27" s="39" t="s">
        <v>175</v>
      </c>
      <c r="L27" s="39" t="s">
        <v>38</v>
      </c>
      <c r="M27" s="142">
        <v>46252.708333333336</v>
      </c>
      <c r="N27" s="39" t="s">
        <v>175</v>
      </c>
      <c r="O27" s="39"/>
      <c r="P27" s="40"/>
      <c r="R27" s="41"/>
    </row>
    <row r="28" spans="1:18" ht="37.5" outlineLevel="1">
      <c r="A28" s="39" t="s">
        <v>240</v>
      </c>
      <c r="B28" s="39" t="s">
        <v>241</v>
      </c>
      <c r="C28" s="39" t="s">
        <v>242</v>
      </c>
      <c r="D28" s="39" t="s">
        <v>243</v>
      </c>
      <c r="E28" s="39" t="s">
        <v>234</v>
      </c>
      <c r="F28" s="39" t="s">
        <v>38</v>
      </c>
      <c r="G28" s="142">
        <v>46246.708333333336</v>
      </c>
      <c r="H28" s="39" t="s">
        <v>175</v>
      </c>
      <c r="I28" s="39" t="s">
        <v>38</v>
      </c>
      <c r="J28" s="142">
        <v>46247.708333333336</v>
      </c>
      <c r="K28" s="39" t="s">
        <v>175</v>
      </c>
      <c r="L28" s="39" t="s">
        <v>38</v>
      </c>
      <c r="M28" s="142">
        <v>46252.708333333336</v>
      </c>
      <c r="N28" s="39" t="s">
        <v>175</v>
      </c>
      <c r="O28" s="39"/>
      <c r="P28" s="40"/>
      <c r="R28" s="41"/>
    </row>
    <row r="29" spans="1:18" s="30" customFormat="1" ht="15.75" customHeight="1">
      <c r="A29" s="75" t="s">
        <v>244</v>
      </c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7"/>
      <c r="R29" s="38"/>
    </row>
    <row r="30" spans="1:18" ht="37.5" outlineLevel="1">
      <c r="A30" s="39" t="s">
        <v>245</v>
      </c>
      <c r="B30" s="39" t="s">
        <v>246</v>
      </c>
      <c r="C30" s="39" t="s">
        <v>247</v>
      </c>
      <c r="D30" s="39" t="s">
        <v>248</v>
      </c>
      <c r="E30" s="39" t="s">
        <v>249</v>
      </c>
      <c r="F30" s="39" t="s">
        <v>38</v>
      </c>
      <c r="G30" s="142">
        <v>46244.708333333336</v>
      </c>
      <c r="H30" s="39" t="s">
        <v>175</v>
      </c>
      <c r="I30" s="39" t="s">
        <v>38</v>
      </c>
      <c r="J30" s="142">
        <v>46247.708333333336</v>
      </c>
      <c r="K30" s="39" t="s">
        <v>175</v>
      </c>
      <c r="L30" s="39" t="s">
        <v>38</v>
      </c>
      <c r="M30" s="142">
        <v>46252.708333333336</v>
      </c>
      <c r="N30" s="39" t="s">
        <v>175</v>
      </c>
      <c r="O30" s="39"/>
      <c r="P30" s="40"/>
      <c r="R30" s="41"/>
    </row>
    <row r="31" spans="1:18" ht="37.5" outlineLevel="1">
      <c r="A31" s="39" t="s">
        <v>250</v>
      </c>
      <c r="B31" s="39" t="s">
        <v>251</v>
      </c>
      <c r="C31" s="39" t="s">
        <v>252</v>
      </c>
      <c r="D31" s="39" t="s">
        <v>253</v>
      </c>
      <c r="E31" s="39" t="s">
        <v>249</v>
      </c>
      <c r="F31" s="39" t="s">
        <v>38</v>
      </c>
      <c r="G31" s="142">
        <v>46244.708333333336</v>
      </c>
      <c r="H31" s="39" t="s">
        <v>175</v>
      </c>
      <c r="I31" s="39" t="s">
        <v>38</v>
      </c>
      <c r="J31" s="142">
        <v>46247.708333333336</v>
      </c>
      <c r="K31" s="39" t="s">
        <v>175</v>
      </c>
      <c r="L31" s="39" t="s">
        <v>38</v>
      </c>
      <c r="M31" s="142">
        <v>46252.708333333336</v>
      </c>
      <c r="N31" s="39" t="s">
        <v>175</v>
      </c>
      <c r="O31" s="39"/>
      <c r="P31" s="40"/>
      <c r="R31" s="41"/>
    </row>
    <row r="32" spans="1:18" s="30" customFormat="1" ht="15.75" customHeight="1">
      <c r="A32" s="75" t="s">
        <v>254</v>
      </c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7"/>
      <c r="R32" s="38"/>
    </row>
    <row r="33" spans="1:18" ht="37.5" outlineLevel="1">
      <c r="A33" s="39" t="s">
        <v>255</v>
      </c>
      <c r="B33" s="39" t="s">
        <v>256</v>
      </c>
      <c r="C33" s="39" t="s">
        <v>257</v>
      </c>
      <c r="D33" s="39" t="s">
        <v>258</v>
      </c>
      <c r="E33" s="39" t="s">
        <v>259</v>
      </c>
      <c r="F33" s="39" t="s">
        <v>38</v>
      </c>
      <c r="G33" s="142">
        <v>46245.708333333336</v>
      </c>
      <c r="H33" s="39" t="s">
        <v>175</v>
      </c>
      <c r="I33" s="39" t="s">
        <v>38</v>
      </c>
      <c r="J33" s="142">
        <v>46247.708333333336</v>
      </c>
      <c r="K33" s="39" t="s">
        <v>175</v>
      </c>
      <c r="L33" s="39" t="s">
        <v>38</v>
      </c>
      <c r="M33" s="142">
        <v>46252.708333333336</v>
      </c>
      <c r="N33" s="39" t="s">
        <v>175</v>
      </c>
      <c r="O33" s="39"/>
      <c r="P33" s="40"/>
      <c r="R33" s="41"/>
    </row>
    <row r="34" spans="1:18" ht="25" outlineLevel="1">
      <c r="A34" s="39" t="s">
        <v>260</v>
      </c>
      <c r="B34" s="39" t="s">
        <v>261</v>
      </c>
      <c r="C34" s="39" t="s">
        <v>262</v>
      </c>
      <c r="D34" s="39" t="s">
        <v>263</v>
      </c>
      <c r="E34" s="39" t="s">
        <v>264</v>
      </c>
      <c r="F34" s="39" t="s">
        <v>38</v>
      </c>
      <c r="G34" s="142">
        <v>46245.708333333336</v>
      </c>
      <c r="H34" s="39" t="s">
        <v>175</v>
      </c>
      <c r="I34" s="39" t="s">
        <v>38</v>
      </c>
      <c r="J34" s="142">
        <v>46247.708333333336</v>
      </c>
      <c r="K34" s="39" t="s">
        <v>175</v>
      </c>
      <c r="L34" s="39" t="s">
        <v>38</v>
      </c>
      <c r="M34" s="142">
        <v>46252.708333333336</v>
      </c>
      <c r="N34" s="39" t="s">
        <v>175</v>
      </c>
      <c r="O34" s="39"/>
      <c r="P34" s="40"/>
      <c r="R34" s="41"/>
    </row>
    <row r="35" spans="1:18" ht="25" outlineLevel="1">
      <c r="A35" s="39" t="s">
        <v>265</v>
      </c>
      <c r="B35" s="39" t="s">
        <v>266</v>
      </c>
      <c r="C35" s="39" t="s">
        <v>267</v>
      </c>
      <c r="D35" s="39" t="s">
        <v>268</v>
      </c>
      <c r="E35" s="39" t="s">
        <v>269</v>
      </c>
      <c r="F35" s="39" t="s">
        <v>38</v>
      </c>
      <c r="G35" s="142">
        <v>46245.708333333336</v>
      </c>
      <c r="H35" s="39" t="s">
        <v>175</v>
      </c>
      <c r="I35" s="39" t="s">
        <v>38</v>
      </c>
      <c r="J35" s="142">
        <v>46247.708333333336</v>
      </c>
      <c r="K35" s="39" t="s">
        <v>175</v>
      </c>
      <c r="L35" s="39" t="s">
        <v>38</v>
      </c>
      <c r="M35" s="142">
        <v>46252.708333333336</v>
      </c>
      <c r="N35" s="39" t="s">
        <v>175</v>
      </c>
      <c r="O35" s="39"/>
      <c r="P35" s="40"/>
      <c r="R35" s="41"/>
    </row>
    <row r="36" spans="1:18" ht="37.5" outlineLevel="1">
      <c r="A36" s="39" t="s">
        <v>270</v>
      </c>
      <c r="B36" s="39" t="s">
        <v>271</v>
      </c>
      <c r="C36" s="39" t="s">
        <v>272</v>
      </c>
      <c r="D36" s="39" t="s">
        <v>273</v>
      </c>
      <c r="E36" s="39" t="s">
        <v>274</v>
      </c>
      <c r="F36" s="39" t="s">
        <v>38</v>
      </c>
      <c r="G36" s="142">
        <v>46245.708333333336</v>
      </c>
      <c r="H36" s="39" t="s">
        <v>175</v>
      </c>
      <c r="I36" s="39" t="s">
        <v>38</v>
      </c>
      <c r="J36" s="142">
        <v>46247.708333333336</v>
      </c>
      <c r="K36" s="39" t="s">
        <v>175</v>
      </c>
      <c r="L36" s="39" t="s">
        <v>38</v>
      </c>
      <c r="M36" s="142">
        <v>46252.708333333336</v>
      </c>
      <c r="N36" s="39" t="s">
        <v>175</v>
      </c>
      <c r="O36" s="39"/>
      <c r="P36" s="40"/>
      <c r="R36" s="41"/>
    </row>
    <row r="37" spans="1:18" ht="37.5" outlineLevel="1">
      <c r="A37" s="39" t="s">
        <v>275</v>
      </c>
      <c r="B37" s="39" t="s">
        <v>276</v>
      </c>
      <c r="C37" s="39" t="s">
        <v>277</v>
      </c>
      <c r="D37" s="39" t="s">
        <v>278</v>
      </c>
      <c r="E37" s="39" t="s">
        <v>279</v>
      </c>
      <c r="F37" s="39" t="s">
        <v>38</v>
      </c>
      <c r="G37" s="142">
        <v>46246.708333333336</v>
      </c>
      <c r="H37" s="39" t="s">
        <v>175</v>
      </c>
      <c r="I37" s="39" t="s">
        <v>38</v>
      </c>
      <c r="J37" s="142">
        <v>46248.708333333336</v>
      </c>
      <c r="K37" s="39" t="s">
        <v>175</v>
      </c>
      <c r="L37" s="39" t="s">
        <v>38</v>
      </c>
      <c r="M37" s="142">
        <v>46253.708333333336</v>
      </c>
      <c r="N37" s="39" t="s">
        <v>175</v>
      </c>
      <c r="O37" s="39"/>
      <c r="P37" s="40"/>
      <c r="R37" s="41"/>
    </row>
    <row r="38" spans="1:18" ht="37.5" outlineLevel="1">
      <c r="A38" s="39" t="s">
        <v>280</v>
      </c>
      <c r="B38" s="39" t="s">
        <v>281</v>
      </c>
      <c r="C38" s="39" t="s">
        <v>282</v>
      </c>
      <c r="D38" s="39" t="s">
        <v>283</v>
      </c>
      <c r="E38" s="39" t="s">
        <v>284</v>
      </c>
      <c r="F38" s="39" t="s">
        <v>38</v>
      </c>
      <c r="G38" s="142">
        <v>46246.708333333336</v>
      </c>
      <c r="H38" s="39" t="s">
        <v>175</v>
      </c>
      <c r="I38" s="39" t="s">
        <v>38</v>
      </c>
      <c r="J38" s="142">
        <v>46248.708333333336</v>
      </c>
      <c r="K38" s="39" t="s">
        <v>175</v>
      </c>
      <c r="L38" s="39" t="s">
        <v>38</v>
      </c>
      <c r="M38" s="142">
        <v>46253.708333333336</v>
      </c>
      <c r="N38" s="39" t="s">
        <v>175</v>
      </c>
      <c r="O38" s="39"/>
      <c r="P38" s="40"/>
      <c r="R38" s="41"/>
    </row>
    <row r="39" spans="1:18" ht="37.5" outlineLevel="1">
      <c r="A39" s="39" t="s">
        <v>285</v>
      </c>
      <c r="B39" s="39" t="s">
        <v>286</v>
      </c>
      <c r="C39" s="39" t="s">
        <v>287</v>
      </c>
      <c r="D39" s="39" t="s">
        <v>288</v>
      </c>
      <c r="E39" s="39" t="s">
        <v>289</v>
      </c>
      <c r="F39" s="39" t="s">
        <v>38</v>
      </c>
      <c r="G39" s="142">
        <v>46245.708333333336</v>
      </c>
      <c r="H39" s="39" t="s">
        <v>175</v>
      </c>
      <c r="I39" s="39" t="s">
        <v>38</v>
      </c>
      <c r="J39" s="142">
        <v>46248.708333333336</v>
      </c>
      <c r="K39" s="39" t="s">
        <v>175</v>
      </c>
      <c r="L39" s="39" t="s">
        <v>38</v>
      </c>
      <c r="M39" s="142">
        <v>46253.708333333336</v>
      </c>
      <c r="N39" s="39" t="s">
        <v>175</v>
      </c>
      <c r="O39" s="39"/>
      <c r="P39" s="40"/>
      <c r="R39" s="41"/>
    </row>
    <row r="40" spans="1:18" ht="25" outlineLevel="1">
      <c r="A40" s="39" t="s">
        <v>290</v>
      </c>
      <c r="B40" s="39" t="s">
        <v>291</v>
      </c>
      <c r="C40" s="39" t="s">
        <v>292</v>
      </c>
      <c r="D40" s="39" t="s">
        <v>293</v>
      </c>
      <c r="E40" s="39" t="s">
        <v>294</v>
      </c>
      <c r="F40" s="39" t="s">
        <v>38</v>
      </c>
      <c r="G40" s="142">
        <v>46246.708333333336</v>
      </c>
      <c r="H40" s="39" t="s">
        <v>175</v>
      </c>
      <c r="I40" s="39" t="s">
        <v>38</v>
      </c>
      <c r="J40" s="142">
        <v>46248.708333333336</v>
      </c>
      <c r="K40" s="39" t="s">
        <v>175</v>
      </c>
      <c r="L40" s="39" t="s">
        <v>38</v>
      </c>
      <c r="M40" s="142">
        <v>46253.708333333336</v>
      </c>
      <c r="N40" s="39" t="s">
        <v>175</v>
      </c>
      <c r="O40" s="39"/>
      <c r="P40" s="40"/>
      <c r="R40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D92D0333-BD9F-4B8B-A98A-7E8AA5EC6B0B}"/>
    <dataValidation type="list" allowBlank="1" showErrorMessage="1" sqref="G2:G3 G9 G41:G168 J2:J3 J9 J41:J168 M2:M3 M9 M41:M168 I12:I40 F12:F40 L12:L40" xr:uid="{57471E6B-CEF3-4163-BC93-348571F8BB4D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4926E-8247-4A84-9FDF-6E0CA51E32E7}">
  <sheetPr>
    <outlinePr summaryBelow="0" summaryRight="0"/>
  </sheetPr>
  <dimension ref="A1:S25"/>
  <sheetViews>
    <sheetView zoomScale="70" zoomScaleNormal="70" workbookViewId="0">
      <pane ySplit="10" topLeftCell="A11" activePane="bottomLeft" state="frozen"/>
      <selection pane="bottomLeft" activeCell="A19" sqref="A19:XFD19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6.632812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36</v>
      </c>
      <c r="B2" s="138" t="s">
        <v>295</v>
      </c>
      <c r="C2" s="138"/>
      <c r="D2" s="138"/>
      <c r="E2" s="139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38</v>
      </c>
    </row>
    <row r="3" spans="1:19" s="30" customFormat="1" ht="25">
      <c r="A3" s="89" t="s">
        <v>21</v>
      </c>
      <c r="B3" s="140" t="s">
        <v>296</v>
      </c>
      <c r="C3" s="140"/>
      <c r="D3" s="140"/>
      <c r="E3" s="141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39</v>
      </c>
    </row>
    <row r="4" spans="1:19" s="30" customFormat="1" ht="18" customHeight="1">
      <c r="A4" s="89" t="s">
        <v>46</v>
      </c>
      <c r="B4" s="140">
        <f>COUNTIF($A$12:$A$1000,"TC-*")</f>
        <v>11</v>
      </c>
      <c r="C4" s="140"/>
      <c r="D4" s="140"/>
      <c r="E4" s="141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37</v>
      </c>
    </row>
    <row r="5" spans="1:19" s="30" customFormat="1" ht="19.5" customHeight="1">
      <c r="A5" s="82" t="s">
        <v>40</v>
      </c>
      <c r="B5" s="80" t="s">
        <v>38</v>
      </c>
      <c r="C5" s="80" t="s">
        <v>39</v>
      </c>
      <c r="D5" s="80" t="s">
        <v>37</v>
      </c>
      <c r="E5" s="83" t="s">
        <v>23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23</v>
      </c>
    </row>
    <row r="6" spans="1:19" s="30" customFormat="1" ht="15" customHeight="1">
      <c r="A6" s="82" t="s">
        <v>41</v>
      </c>
      <c r="B6" s="81">
        <f>COUNTIF($F10:$F1004,B5)</f>
        <v>10</v>
      </c>
      <c r="C6" s="81">
        <f>COUNTIF($F10:$F1004,C5)</f>
        <v>1</v>
      </c>
      <c r="D6" s="81">
        <f>COUNTIF($F10:$F1004,D5)</f>
        <v>0</v>
      </c>
      <c r="E6" s="87">
        <f>COUNTIF($F10:$F1004,E5)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43</v>
      </c>
      <c r="B7" s="81">
        <f>COUNTIF($I10:$I998,B5)</f>
        <v>11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44</v>
      </c>
      <c r="B8" s="85">
        <f>COUNTIF($L10:$L998,B5)</f>
        <v>11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45</v>
      </c>
      <c r="B10" s="79" t="s">
        <v>24</v>
      </c>
      <c r="C10" s="79" t="s">
        <v>35</v>
      </c>
      <c r="D10" s="79" t="s">
        <v>34</v>
      </c>
      <c r="E10" s="79" t="s">
        <v>42</v>
      </c>
      <c r="F10" s="79" t="s">
        <v>41</v>
      </c>
      <c r="G10" s="79" t="s">
        <v>25</v>
      </c>
      <c r="H10" s="79" t="s">
        <v>22</v>
      </c>
      <c r="I10" s="79" t="s">
        <v>43</v>
      </c>
      <c r="J10" s="79" t="s">
        <v>25</v>
      </c>
      <c r="K10" s="79" t="s">
        <v>22</v>
      </c>
      <c r="L10" s="79" t="s">
        <v>44</v>
      </c>
      <c r="M10" s="79" t="s">
        <v>25</v>
      </c>
      <c r="N10" s="79" t="s">
        <v>22</v>
      </c>
      <c r="O10" s="79" t="s">
        <v>47</v>
      </c>
      <c r="P10" s="79" t="s">
        <v>26</v>
      </c>
      <c r="R10" s="34"/>
    </row>
    <row r="11" spans="1:19" s="30" customFormat="1" ht="15.75" customHeight="1">
      <c r="A11" s="75" t="s">
        <v>20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297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25" outlineLevel="1">
      <c r="A13" s="39" t="s">
        <v>298</v>
      </c>
      <c r="B13" s="39" t="s">
        <v>299</v>
      </c>
      <c r="C13" s="39" t="s">
        <v>300</v>
      </c>
      <c r="D13" s="42" t="s">
        <v>301</v>
      </c>
      <c r="E13" s="42" t="s">
        <v>302</v>
      </c>
      <c r="F13" s="39" t="s">
        <v>38</v>
      </c>
      <c r="G13" s="142">
        <v>46245.708333333336</v>
      </c>
      <c r="H13" s="39" t="s">
        <v>94</v>
      </c>
      <c r="I13" s="39" t="s">
        <v>38</v>
      </c>
      <c r="J13" s="142">
        <v>46247.708333333336</v>
      </c>
      <c r="K13" s="39" t="s">
        <v>94</v>
      </c>
      <c r="L13" s="39" t="s">
        <v>38</v>
      </c>
      <c r="M13" s="142">
        <v>46252.708333333336</v>
      </c>
      <c r="N13" s="39" t="s">
        <v>94</v>
      </c>
      <c r="O13" s="39"/>
      <c r="P13" s="40"/>
      <c r="R13" s="41"/>
    </row>
    <row r="14" spans="1:19" ht="37.5" outlineLevel="1">
      <c r="A14" s="39" t="s">
        <v>303</v>
      </c>
      <c r="B14" s="39" t="s">
        <v>304</v>
      </c>
      <c r="C14" s="39" t="s">
        <v>305</v>
      </c>
      <c r="D14" s="42" t="s">
        <v>306</v>
      </c>
      <c r="E14" s="42" t="s">
        <v>307</v>
      </c>
      <c r="F14" s="39" t="s">
        <v>38</v>
      </c>
      <c r="G14" s="142">
        <v>46245.708333333336</v>
      </c>
      <c r="H14" s="39" t="s">
        <v>94</v>
      </c>
      <c r="I14" s="39" t="s">
        <v>38</v>
      </c>
      <c r="J14" s="142">
        <v>46247.708333333336</v>
      </c>
      <c r="K14" s="39" t="s">
        <v>94</v>
      </c>
      <c r="L14" s="39" t="s">
        <v>38</v>
      </c>
      <c r="M14" s="142">
        <v>46252.708333333336</v>
      </c>
      <c r="N14" s="39" t="s">
        <v>94</v>
      </c>
      <c r="O14" s="39"/>
      <c r="P14" s="40"/>
      <c r="R14" s="41"/>
    </row>
    <row r="15" spans="1:19" s="30" customFormat="1" ht="15.75" customHeight="1">
      <c r="A15" s="75" t="s">
        <v>308</v>
      </c>
      <c r="B15" s="35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7"/>
      <c r="R15" s="38"/>
    </row>
    <row r="16" spans="1:19" ht="37.5" outlineLevel="1">
      <c r="A16" s="39" t="s">
        <v>309</v>
      </c>
      <c r="B16" s="39" t="s">
        <v>310</v>
      </c>
      <c r="C16" s="39" t="s">
        <v>311</v>
      </c>
      <c r="D16" s="39" t="s">
        <v>312</v>
      </c>
      <c r="E16" s="39" t="s">
        <v>313</v>
      </c>
      <c r="F16" s="39" t="s">
        <v>38</v>
      </c>
      <c r="G16" s="142">
        <v>46246.708333333336</v>
      </c>
      <c r="H16" s="39" t="s">
        <v>94</v>
      </c>
      <c r="I16" s="39" t="s">
        <v>38</v>
      </c>
      <c r="J16" s="142">
        <v>46247.708333333336</v>
      </c>
      <c r="K16" s="39" t="s">
        <v>94</v>
      </c>
      <c r="L16" s="39" t="s">
        <v>38</v>
      </c>
      <c r="M16" s="142">
        <v>46252.708333333336</v>
      </c>
      <c r="N16" s="39" t="s">
        <v>94</v>
      </c>
      <c r="O16" s="39"/>
      <c r="P16" s="40"/>
      <c r="R16" s="41"/>
    </row>
    <row r="17" spans="1:18" ht="50" outlineLevel="1">
      <c r="A17" s="39" t="s">
        <v>314</v>
      </c>
      <c r="B17" s="39" t="s">
        <v>315</v>
      </c>
      <c r="C17" s="39" t="s">
        <v>316</v>
      </c>
      <c r="D17" s="39" t="s">
        <v>317</v>
      </c>
      <c r="E17" s="39" t="s">
        <v>318</v>
      </c>
      <c r="F17" s="39" t="s">
        <v>38</v>
      </c>
      <c r="G17" s="143">
        <v>46246.708333333336</v>
      </c>
      <c r="H17" s="43" t="s">
        <v>94</v>
      </c>
      <c r="I17" s="39" t="s">
        <v>38</v>
      </c>
      <c r="J17" s="143">
        <v>46247.708333333336</v>
      </c>
      <c r="K17" s="43" t="s">
        <v>94</v>
      </c>
      <c r="L17" s="39" t="s">
        <v>38</v>
      </c>
      <c r="M17" s="143">
        <v>46252.708333333336</v>
      </c>
      <c r="N17" s="43" t="s">
        <v>94</v>
      </c>
      <c r="O17" s="43"/>
      <c r="P17" s="43"/>
    </row>
    <row r="18" spans="1:18" ht="12.5" customHeight="1" outlineLevel="1">
      <c r="A18" s="39" t="s">
        <v>319</v>
      </c>
      <c r="B18" s="39" t="s">
        <v>320</v>
      </c>
      <c r="C18" s="39" t="s">
        <v>321</v>
      </c>
      <c r="D18" s="39" t="s">
        <v>322</v>
      </c>
      <c r="E18" s="39" t="s">
        <v>323</v>
      </c>
      <c r="F18" s="39" t="s">
        <v>38</v>
      </c>
      <c r="G18" s="142">
        <v>46246.708333333336</v>
      </c>
      <c r="H18" s="39" t="s">
        <v>94</v>
      </c>
      <c r="I18" s="39" t="s">
        <v>38</v>
      </c>
      <c r="J18" s="142">
        <v>46247.708333333336</v>
      </c>
      <c r="K18" s="39" t="s">
        <v>94</v>
      </c>
      <c r="L18" s="39" t="s">
        <v>38</v>
      </c>
      <c r="M18" s="142">
        <v>46252.708333333336</v>
      </c>
      <c r="N18" s="39" t="s">
        <v>94</v>
      </c>
      <c r="O18" s="39"/>
      <c r="P18" s="40"/>
      <c r="R18" s="41"/>
    </row>
    <row r="19" spans="1:18" s="30" customFormat="1" ht="15.75" customHeight="1">
      <c r="A19" s="75" t="s">
        <v>324</v>
      </c>
      <c r="B19" s="35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7"/>
      <c r="R19" s="38"/>
    </row>
    <row r="20" spans="1:18" ht="50" outlineLevel="1">
      <c r="A20" s="39" t="s">
        <v>325</v>
      </c>
      <c r="B20" s="39" t="s">
        <v>326</v>
      </c>
      <c r="C20" s="39" t="s">
        <v>327</v>
      </c>
      <c r="D20" s="39" t="s">
        <v>328</v>
      </c>
      <c r="E20" s="39" t="s">
        <v>329</v>
      </c>
      <c r="F20" s="39" t="s">
        <v>39</v>
      </c>
      <c r="G20" s="142">
        <v>46245.708333333336</v>
      </c>
      <c r="H20" s="39" t="s">
        <v>94</v>
      </c>
      <c r="I20" s="39" t="s">
        <v>38</v>
      </c>
      <c r="J20" s="142">
        <v>46247.708333333336</v>
      </c>
      <c r="K20" s="39" t="s">
        <v>94</v>
      </c>
      <c r="L20" s="39" t="s">
        <v>38</v>
      </c>
      <c r="M20" s="142">
        <v>46252.708333333336</v>
      </c>
      <c r="N20" s="39" t="s">
        <v>94</v>
      </c>
      <c r="O20" s="39" t="s">
        <v>330</v>
      </c>
      <c r="P20" s="40" t="s">
        <v>331</v>
      </c>
      <c r="R20" s="41"/>
    </row>
    <row r="21" spans="1:18" ht="50" outlineLevel="1">
      <c r="A21" s="39" t="s">
        <v>332</v>
      </c>
      <c r="B21" s="39" t="s">
        <v>333</v>
      </c>
      <c r="C21" s="39" t="s">
        <v>334</v>
      </c>
      <c r="D21" s="39" t="s">
        <v>335</v>
      </c>
      <c r="E21" s="39" t="s">
        <v>336</v>
      </c>
      <c r="F21" s="39" t="s">
        <v>38</v>
      </c>
      <c r="G21" s="142">
        <v>46245.708333333336</v>
      </c>
      <c r="H21" s="39" t="s">
        <v>94</v>
      </c>
      <c r="I21" s="39" t="s">
        <v>38</v>
      </c>
      <c r="J21" s="142">
        <v>46247.708333333336</v>
      </c>
      <c r="K21" s="39" t="s">
        <v>94</v>
      </c>
      <c r="L21" s="39" t="s">
        <v>38</v>
      </c>
      <c r="M21" s="142">
        <v>46252.708333333336</v>
      </c>
      <c r="N21" s="39" t="s">
        <v>94</v>
      </c>
      <c r="O21" s="39"/>
      <c r="P21" s="40"/>
      <c r="R21" s="41"/>
    </row>
    <row r="22" spans="1:18" ht="50" outlineLevel="1">
      <c r="A22" s="39" t="s">
        <v>337</v>
      </c>
      <c r="B22" s="39" t="s">
        <v>338</v>
      </c>
      <c r="C22" s="39" t="s">
        <v>339</v>
      </c>
      <c r="D22" s="39" t="s">
        <v>340</v>
      </c>
      <c r="E22" s="39" t="s">
        <v>336</v>
      </c>
      <c r="F22" s="39" t="s">
        <v>38</v>
      </c>
      <c r="G22" s="142">
        <v>46245.708333333336</v>
      </c>
      <c r="H22" s="39" t="s">
        <v>94</v>
      </c>
      <c r="I22" s="39" t="s">
        <v>38</v>
      </c>
      <c r="J22" s="142">
        <v>46247.708333333336</v>
      </c>
      <c r="K22" s="39" t="s">
        <v>94</v>
      </c>
      <c r="L22" s="39" t="s">
        <v>38</v>
      </c>
      <c r="M22" s="142">
        <v>46252.708333333336</v>
      </c>
      <c r="N22" s="39" t="s">
        <v>94</v>
      </c>
      <c r="O22" s="39"/>
      <c r="P22" s="40"/>
      <c r="R22" s="41"/>
    </row>
    <row r="23" spans="1:18" ht="37.5" outlineLevel="1">
      <c r="A23" s="39" t="s">
        <v>341</v>
      </c>
      <c r="B23" s="39" t="s">
        <v>342</v>
      </c>
      <c r="C23" s="39" t="s">
        <v>343</v>
      </c>
      <c r="D23" s="39" t="s">
        <v>344</v>
      </c>
      <c r="E23" s="39" t="s">
        <v>345</v>
      </c>
      <c r="F23" s="39" t="s">
        <v>38</v>
      </c>
      <c r="G23" s="142">
        <v>46246.708333333336</v>
      </c>
      <c r="H23" s="39" t="s">
        <v>94</v>
      </c>
      <c r="I23" s="39" t="s">
        <v>38</v>
      </c>
      <c r="J23" s="142">
        <v>46248.708333333336</v>
      </c>
      <c r="K23" s="39" t="s">
        <v>94</v>
      </c>
      <c r="L23" s="39" t="s">
        <v>38</v>
      </c>
      <c r="M23" s="142">
        <v>46253.708333333336</v>
      </c>
      <c r="N23" s="39" t="s">
        <v>94</v>
      </c>
      <c r="O23" s="39"/>
      <c r="P23" s="40"/>
      <c r="R23" s="41"/>
    </row>
    <row r="24" spans="1:18" ht="37.5" outlineLevel="1">
      <c r="A24" s="39" t="s">
        <v>346</v>
      </c>
      <c r="B24" s="39" t="s">
        <v>347</v>
      </c>
      <c r="C24" s="39" t="s">
        <v>348</v>
      </c>
      <c r="D24" s="39" t="s">
        <v>349</v>
      </c>
      <c r="E24" s="39" t="s">
        <v>350</v>
      </c>
      <c r="F24" s="39" t="s">
        <v>38</v>
      </c>
      <c r="G24" s="142">
        <v>46246.708333333336</v>
      </c>
      <c r="H24" s="39" t="s">
        <v>94</v>
      </c>
      <c r="I24" s="39" t="s">
        <v>38</v>
      </c>
      <c r="J24" s="142">
        <v>46248.708333333336</v>
      </c>
      <c r="K24" s="39" t="s">
        <v>94</v>
      </c>
      <c r="L24" s="39" t="s">
        <v>38</v>
      </c>
      <c r="M24" s="142">
        <v>46253.708333333336</v>
      </c>
      <c r="N24" s="39" t="s">
        <v>94</v>
      </c>
      <c r="O24" s="39"/>
      <c r="P24" s="40"/>
      <c r="R24" s="41"/>
    </row>
    <row r="25" spans="1:18" ht="37.5" outlineLevel="1">
      <c r="A25" s="39" t="s">
        <v>351</v>
      </c>
      <c r="B25" s="39" t="s">
        <v>352</v>
      </c>
      <c r="C25" s="39" t="s">
        <v>353</v>
      </c>
      <c r="D25" s="39" t="s">
        <v>354</v>
      </c>
      <c r="E25" s="39" t="s">
        <v>355</v>
      </c>
      <c r="F25" s="39" t="s">
        <v>38</v>
      </c>
      <c r="G25" s="142">
        <v>46246.708333333336</v>
      </c>
      <c r="H25" s="39" t="s">
        <v>94</v>
      </c>
      <c r="I25" s="39" t="s">
        <v>38</v>
      </c>
      <c r="J25" s="142">
        <v>46248.708333333336</v>
      </c>
      <c r="K25" s="39" t="s">
        <v>94</v>
      </c>
      <c r="L25" s="39" t="s">
        <v>38</v>
      </c>
      <c r="M25" s="142">
        <v>46253.708333333336</v>
      </c>
      <c r="N25" s="39" t="s">
        <v>94</v>
      </c>
      <c r="O25" s="39"/>
      <c r="P25" s="40"/>
      <c r="R25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AAD604B5-0438-4220-81EE-087761E69178}"/>
    <dataValidation type="list" allowBlank="1" showErrorMessage="1" sqref="G2:G3 G9 G26:G153 J2:J3 J9 J26:J153 M2:M3 M9 M26:M153 I12:I25 F12:F25 L12:L25" xr:uid="{449F3D46-C71A-4255-A176-12A428ED52D9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93B8-4607-40A0-82D8-6304C4B61956}">
  <sheetPr>
    <outlinePr summaryBelow="0" summaryRight="0"/>
  </sheetPr>
  <dimension ref="A1:S26"/>
  <sheetViews>
    <sheetView zoomScale="70" zoomScaleNormal="70" workbookViewId="0">
      <pane ySplit="10" topLeftCell="A11" activePane="bottomLeft" state="frozen"/>
      <selection pane="bottomLeft" activeCell="A21" sqref="A21:XFD21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6.632812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36</v>
      </c>
      <c r="B2" s="138" t="s">
        <v>356</v>
      </c>
      <c r="C2" s="138"/>
      <c r="D2" s="138"/>
      <c r="E2" s="139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38</v>
      </c>
    </row>
    <row r="3" spans="1:19" s="30" customFormat="1" ht="25">
      <c r="A3" s="89" t="s">
        <v>21</v>
      </c>
      <c r="B3" s="140" t="s">
        <v>357</v>
      </c>
      <c r="C3" s="140"/>
      <c r="D3" s="140"/>
      <c r="E3" s="141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39</v>
      </c>
    </row>
    <row r="4" spans="1:19" s="30" customFormat="1" ht="18" customHeight="1">
      <c r="A4" s="89" t="s">
        <v>46</v>
      </c>
      <c r="B4" s="140">
        <f>COUNTIF($A$12:$A$1000,"TC-*")</f>
        <v>12</v>
      </c>
      <c r="C4" s="140"/>
      <c r="D4" s="140"/>
      <c r="E4" s="141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37</v>
      </c>
    </row>
    <row r="5" spans="1:19" s="30" customFormat="1" ht="19.5" customHeight="1">
      <c r="A5" s="82" t="s">
        <v>40</v>
      </c>
      <c r="B5" s="80" t="s">
        <v>38</v>
      </c>
      <c r="C5" s="80" t="s">
        <v>39</v>
      </c>
      <c r="D5" s="80" t="s">
        <v>37</v>
      </c>
      <c r="E5" s="83" t="s">
        <v>23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23</v>
      </c>
    </row>
    <row r="6" spans="1:19" s="30" customFormat="1" ht="15" customHeight="1">
      <c r="A6" s="82" t="s">
        <v>41</v>
      </c>
      <c r="B6" s="81">
        <f>COUNTIF($F10:$F1005,B5)</f>
        <v>11</v>
      </c>
      <c r="C6" s="81">
        <f>COUNTIF($F10:$F1005,C5)</f>
        <v>1</v>
      </c>
      <c r="D6" s="81">
        <f>COUNTIF($F10:$F1005,D5)</f>
        <v>0</v>
      </c>
      <c r="E6" s="87">
        <f>COUNTIF($F10:$F1005,E5)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43</v>
      </c>
      <c r="B7" s="81">
        <f>COUNTIF($I10:$I998,B5)</f>
        <v>12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44</v>
      </c>
      <c r="B8" s="85">
        <f>COUNTIF($L10:$L998,B5)</f>
        <v>12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45</v>
      </c>
      <c r="B10" s="79" t="s">
        <v>24</v>
      </c>
      <c r="C10" s="79" t="s">
        <v>35</v>
      </c>
      <c r="D10" s="79" t="s">
        <v>34</v>
      </c>
      <c r="E10" s="79" t="s">
        <v>42</v>
      </c>
      <c r="F10" s="79" t="s">
        <v>41</v>
      </c>
      <c r="G10" s="79" t="s">
        <v>25</v>
      </c>
      <c r="H10" s="79" t="s">
        <v>22</v>
      </c>
      <c r="I10" s="79" t="s">
        <v>43</v>
      </c>
      <c r="J10" s="79" t="s">
        <v>25</v>
      </c>
      <c r="K10" s="79" t="s">
        <v>22</v>
      </c>
      <c r="L10" s="79" t="s">
        <v>44</v>
      </c>
      <c r="M10" s="79" t="s">
        <v>25</v>
      </c>
      <c r="N10" s="79" t="s">
        <v>22</v>
      </c>
      <c r="O10" s="79" t="s">
        <v>47</v>
      </c>
      <c r="P10" s="79" t="s">
        <v>26</v>
      </c>
      <c r="R10" s="34"/>
    </row>
    <row r="11" spans="1:19" s="30" customFormat="1" ht="15.75" customHeight="1">
      <c r="A11" s="75" t="s">
        <v>20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358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25" outlineLevel="1">
      <c r="A13" s="39" t="s">
        <v>359</v>
      </c>
      <c r="B13" s="39" t="s">
        <v>360</v>
      </c>
      <c r="C13" s="39" t="s">
        <v>361</v>
      </c>
      <c r="D13" s="42" t="s">
        <v>362</v>
      </c>
      <c r="E13" s="42" t="s">
        <v>363</v>
      </c>
      <c r="F13" s="39" t="s">
        <v>38</v>
      </c>
      <c r="G13" s="142">
        <v>46245.708333333336</v>
      </c>
      <c r="H13" s="39" t="s">
        <v>175</v>
      </c>
      <c r="I13" s="39" t="s">
        <v>38</v>
      </c>
      <c r="J13" s="142">
        <v>46248.708333333336</v>
      </c>
      <c r="K13" s="39" t="s">
        <v>175</v>
      </c>
      <c r="L13" s="39" t="s">
        <v>38</v>
      </c>
      <c r="M13" s="142">
        <v>46253.708333333336</v>
      </c>
      <c r="N13" s="39" t="s">
        <v>175</v>
      </c>
      <c r="O13" s="39"/>
      <c r="P13" s="40"/>
      <c r="R13" s="41"/>
    </row>
    <row r="14" spans="1:19" ht="62.5" outlineLevel="1">
      <c r="A14" s="39" t="s">
        <v>364</v>
      </c>
      <c r="B14" s="39" t="s">
        <v>365</v>
      </c>
      <c r="C14" s="39" t="s">
        <v>366</v>
      </c>
      <c r="D14" s="42" t="s">
        <v>367</v>
      </c>
      <c r="E14" s="42" t="s">
        <v>368</v>
      </c>
      <c r="F14" s="39" t="s">
        <v>39</v>
      </c>
      <c r="G14" s="142">
        <v>46245.708333333336</v>
      </c>
      <c r="H14" s="39" t="s">
        <v>175</v>
      </c>
      <c r="I14" s="39" t="s">
        <v>38</v>
      </c>
      <c r="J14" s="142">
        <v>46248.708333333336</v>
      </c>
      <c r="K14" s="39" t="s">
        <v>175</v>
      </c>
      <c r="L14" s="39" t="s">
        <v>38</v>
      </c>
      <c r="M14" s="142">
        <v>46253.708333333336</v>
      </c>
      <c r="N14" s="39" t="s">
        <v>175</v>
      </c>
      <c r="O14" s="39" t="s">
        <v>369</v>
      </c>
      <c r="P14" s="40" t="s">
        <v>370</v>
      </c>
      <c r="R14" s="41"/>
    </row>
    <row r="15" spans="1:19" ht="12.5" customHeight="1" outlineLevel="1">
      <c r="A15" s="39" t="s">
        <v>371</v>
      </c>
      <c r="B15" s="39" t="s">
        <v>372</v>
      </c>
      <c r="C15" s="39" t="s">
        <v>373</v>
      </c>
      <c r="D15" s="39" t="s">
        <v>374</v>
      </c>
      <c r="E15" s="39" t="s">
        <v>259</v>
      </c>
      <c r="F15" s="39" t="s">
        <v>38</v>
      </c>
      <c r="G15" s="142">
        <v>46245.708333333336</v>
      </c>
      <c r="H15" s="39" t="s">
        <v>175</v>
      </c>
      <c r="I15" s="39" t="s">
        <v>38</v>
      </c>
      <c r="J15" s="142">
        <v>46248.708333333336</v>
      </c>
      <c r="K15" s="39" t="s">
        <v>175</v>
      </c>
      <c r="L15" s="39" t="s">
        <v>38</v>
      </c>
      <c r="M15" s="142">
        <v>46253.708333333336</v>
      </c>
      <c r="N15" s="39" t="s">
        <v>175</v>
      </c>
      <c r="O15" s="39"/>
      <c r="P15" s="40"/>
      <c r="R15" s="41"/>
    </row>
    <row r="16" spans="1:19" s="30" customFormat="1" ht="15.75" customHeight="1">
      <c r="A16" s="75" t="s">
        <v>375</v>
      </c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R16" s="38"/>
    </row>
    <row r="17" spans="1:18" ht="37.5" outlineLevel="1">
      <c r="A17" s="39" t="s">
        <v>376</v>
      </c>
      <c r="B17" s="39" t="s">
        <v>377</v>
      </c>
      <c r="C17" s="39" t="s">
        <v>378</v>
      </c>
      <c r="D17" s="39" t="s">
        <v>379</v>
      </c>
      <c r="E17" s="39" t="s">
        <v>380</v>
      </c>
      <c r="F17" s="39" t="s">
        <v>38</v>
      </c>
      <c r="G17" s="143">
        <v>46246.708333333336</v>
      </c>
      <c r="H17" s="43" t="s">
        <v>175</v>
      </c>
      <c r="I17" s="39" t="s">
        <v>38</v>
      </c>
      <c r="J17" s="143">
        <v>46248.708333333336</v>
      </c>
      <c r="K17" s="43" t="s">
        <v>175</v>
      </c>
      <c r="L17" s="39" t="s">
        <v>38</v>
      </c>
      <c r="M17" s="143">
        <v>46253.708333333336</v>
      </c>
      <c r="N17" s="43" t="s">
        <v>175</v>
      </c>
      <c r="O17" s="43"/>
      <c r="P17" s="43"/>
    </row>
    <row r="18" spans="1:18" ht="12.5" customHeight="1" outlineLevel="1">
      <c r="A18" s="39" t="s">
        <v>381</v>
      </c>
      <c r="B18" s="39" t="s">
        <v>382</v>
      </c>
      <c r="C18" s="39" t="s">
        <v>383</v>
      </c>
      <c r="D18" s="39" t="s">
        <v>384</v>
      </c>
      <c r="E18" s="39" t="s">
        <v>385</v>
      </c>
      <c r="F18" s="39" t="s">
        <v>38</v>
      </c>
      <c r="G18" s="142">
        <v>46246.708333333336</v>
      </c>
      <c r="H18" s="39" t="s">
        <v>175</v>
      </c>
      <c r="I18" s="39" t="s">
        <v>38</v>
      </c>
      <c r="J18" s="142">
        <v>46248.708333333336</v>
      </c>
      <c r="K18" s="39" t="s">
        <v>175</v>
      </c>
      <c r="L18" s="39" t="s">
        <v>38</v>
      </c>
      <c r="M18" s="142">
        <v>46253.708333333336</v>
      </c>
      <c r="N18" s="39" t="s">
        <v>175</v>
      </c>
      <c r="O18" s="39"/>
      <c r="P18" s="40"/>
      <c r="R18" s="41"/>
    </row>
    <row r="19" spans="1:18" ht="37.5" outlineLevel="1">
      <c r="A19" s="39" t="s">
        <v>386</v>
      </c>
      <c r="B19" s="39" t="s">
        <v>387</v>
      </c>
      <c r="C19" s="39" t="s">
        <v>388</v>
      </c>
      <c r="D19" s="39" t="s">
        <v>389</v>
      </c>
      <c r="E19" s="39" t="s">
        <v>390</v>
      </c>
      <c r="F19" s="39" t="s">
        <v>38</v>
      </c>
      <c r="G19" s="142">
        <v>46246.708333333336</v>
      </c>
      <c r="H19" s="39" t="s">
        <v>175</v>
      </c>
      <c r="I19" s="39" t="s">
        <v>38</v>
      </c>
      <c r="J19" s="142">
        <v>46248.708333333336</v>
      </c>
      <c r="K19" s="39" t="s">
        <v>175</v>
      </c>
      <c r="L19" s="39" t="s">
        <v>38</v>
      </c>
      <c r="M19" s="142">
        <v>46253.708333333336</v>
      </c>
      <c r="N19" s="39" t="s">
        <v>175</v>
      </c>
      <c r="O19" s="39"/>
      <c r="P19" s="40"/>
      <c r="R19" s="41"/>
    </row>
    <row r="20" spans="1:18" ht="37.5" outlineLevel="1">
      <c r="A20" s="39" t="s">
        <v>391</v>
      </c>
      <c r="B20" s="39" t="s">
        <v>392</v>
      </c>
      <c r="C20" s="39" t="s">
        <v>393</v>
      </c>
      <c r="D20" s="39" t="s">
        <v>394</v>
      </c>
      <c r="E20" s="39" t="s">
        <v>395</v>
      </c>
      <c r="F20" s="39" t="s">
        <v>38</v>
      </c>
      <c r="G20" s="142">
        <v>46246.708333333336</v>
      </c>
      <c r="H20" s="39" t="s">
        <v>175</v>
      </c>
      <c r="I20" s="39" t="s">
        <v>38</v>
      </c>
      <c r="J20" s="142">
        <v>46248.708333333336</v>
      </c>
      <c r="K20" s="39" t="s">
        <v>175</v>
      </c>
      <c r="L20" s="39" t="s">
        <v>38</v>
      </c>
      <c r="M20" s="142">
        <v>46253.708333333336</v>
      </c>
      <c r="N20" s="39" t="s">
        <v>175</v>
      </c>
      <c r="O20" s="39"/>
      <c r="P20" s="40"/>
      <c r="R20" s="41"/>
    </row>
    <row r="21" spans="1:18" s="30" customFormat="1" ht="15.75" customHeight="1">
      <c r="A21" s="75" t="s">
        <v>396</v>
      </c>
      <c r="B21" s="35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7"/>
      <c r="R21" s="38"/>
    </row>
    <row r="22" spans="1:18" ht="50" outlineLevel="1">
      <c r="A22" s="39" t="s">
        <v>397</v>
      </c>
      <c r="B22" s="39" t="s">
        <v>398</v>
      </c>
      <c r="C22" s="39" t="s">
        <v>399</v>
      </c>
      <c r="D22" s="39" t="s">
        <v>400</v>
      </c>
      <c r="E22" s="39" t="s">
        <v>401</v>
      </c>
      <c r="F22" s="39" t="s">
        <v>38</v>
      </c>
      <c r="G22" s="142">
        <v>46245.708333333336</v>
      </c>
      <c r="H22" s="39" t="s">
        <v>175</v>
      </c>
      <c r="I22" s="39" t="s">
        <v>38</v>
      </c>
      <c r="J22" s="142">
        <v>46248.708333333336</v>
      </c>
      <c r="K22" s="39" t="s">
        <v>175</v>
      </c>
      <c r="L22" s="39" t="s">
        <v>38</v>
      </c>
      <c r="M22" s="142">
        <v>46253.708333333336</v>
      </c>
      <c r="N22" s="39" t="s">
        <v>175</v>
      </c>
      <c r="O22" s="39"/>
      <c r="P22" s="40"/>
      <c r="R22" s="41"/>
    </row>
    <row r="23" spans="1:18" ht="62.5" outlineLevel="1">
      <c r="A23" s="39" t="s">
        <v>402</v>
      </c>
      <c r="B23" s="39" t="s">
        <v>403</v>
      </c>
      <c r="C23" s="39" t="s">
        <v>404</v>
      </c>
      <c r="D23" s="39" t="s">
        <v>405</v>
      </c>
      <c r="E23" s="39" t="s">
        <v>406</v>
      </c>
      <c r="F23" s="39" t="s">
        <v>38</v>
      </c>
      <c r="G23" s="142">
        <v>46245.708333333336</v>
      </c>
      <c r="H23" s="39" t="s">
        <v>175</v>
      </c>
      <c r="I23" s="39" t="s">
        <v>38</v>
      </c>
      <c r="J23" s="142">
        <v>46248.708333333336</v>
      </c>
      <c r="K23" s="39" t="s">
        <v>175</v>
      </c>
      <c r="L23" s="39" t="s">
        <v>38</v>
      </c>
      <c r="M23" s="142">
        <v>46253.708333333336</v>
      </c>
      <c r="N23" s="39" t="s">
        <v>175</v>
      </c>
      <c r="O23" s="39"/>
      <c r="P23" s="40"/>
      <c r="R23" s="41"/>
    </row>
    <row r="24" spans="1:18" ht="25" outlineLevel="1">
      <c r="A24" s="39" t="s">
        <v>407</v>
      </c>
      <c r="B24" s="39" t="s">
        <v>408</v>
      </c>
      <c r="C24" s="39" t="s">
        <v>409</v>
      </c>
      <c r="D24" s="39" t="s">
        <v>410</v>
      </c>
      <c r="E24" s="39" t="s">
        <v>411</v>
      </c>
      <c r="F24" s="39" t="s">
        <v>38</v>
      </c>
      <c r="G24" s="142">
        <v>46246.708333333336</v>
      </c>
      <c r="H24" s="39" t="s">
        <v>175</v>
      </c>
      <c r="I24" s="39" t="s">
        <v>38</v>
      </c>
      <c r="J24" s="142">
        <v>46248.708333333336</v>
      </c>
      <c r="K24" s="39" t="s">
        <v>175</v>
      </c>
      <c r="L24" s="39" t="s">
        <v>38</v>
      </c>
      <c r="M24" s="142">
        <v>46253.708333333336</v>
      </c>
      <c r="N24" s="39" t="s">
        <v>175</v>
      </c>
      <c r="O24" s="39"/>
      <c r="P24" s="40"/>
      <c r="R24" s="41"/>
    </row>
    <row r="25" spans="1:18" ht="37.5" outlineLevel="1">
      <c r="A25" s="39" t="s">
        <v>412</v>
      </c>
      <c r="B25" s="39" t="s">
        <v>413</v>
      </c>
      <c r="C25" s="39" t="s">
        <v>414</v>
      </c>
      <c r="D25" s="39" t="s">
        <v>415</v>
      </c>
      <c r="E25" s="39" t="s">
        <v>416</v>
      </c>
      <c r="F25" s="39" t="s">
        <v>38</v>
      </c>
      <c r="G25" s="142">
        <v>46246.708333333336</v>
      </c>
      <c r="H25" s="39" t="s">
        <v>175</v>
      </c>
      <c r="I25" s="39" t="s">
        <v>38</v>
      </c>
      <c r="J25" s="142">
        <v>46248.708333333336</v>
      </c>
      <c r="K25" s="39" t="s">
        <v>175</v>
      </c>
      <c r="L25" s="39" t="s">
        <v>38</v>
      </c>
      <c r="M25" s="142">
        <v>46253.708333333336</v>
      </c>
      <c r="N25" s="39" t="s">
        <v>175</v>
      </c>
      <c r="O25" s="39"/>
      <c r="P25" s="40"/>
      <c r="R25" s="41"/>
    </row>
    <row r="26" spans="1:18" ht="25" outlineLevel="1">
      <c r="A26" s="39" t="s">
        <v>417</v>
      </c>
      <c r="B26" s="39" t="s">
        <v>418</v>
      </c>
      <c r="C26" s="39" t="s">
        <v>419</v>
      </c>
      <c r="D26" s="39" t="s">
        <v>420</v>
      </c>
      <c r="E26" s="39" t="s">
        <v>421</v>
      </c>
      <c r="F26" s="39" t="s">
        <v>38</v>
      </c>
      <c r="G26" s="142">
        <v>46246.708333333336</v>
      </c>
      <c r="H26" s="39" t="s">
        <v>175</v>
      </c>
      <c r="I26" s="39" t="s">
        <v>38</v>
      </c>
      <c r="J26" s="142">
        <v>46248.708333333336</v>
      </c>
      <c r="K26" s="39" t="s">
        <v>175</v>
      </c>
      <c r="L26" s="39" t="s">
        <v>38</v>
      </c>
      <c r="M26" s="142">
        <v>46253.708333333336</v>
      </c>
      <c r="N26" s="39" t="s">
        <v>175</v>
      </c>
      <c r="O26" s="39"/>
      <c r="P26" s="40"/>
      <c r="R26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0A113EB4-E5C7-4214-B52A-914C27D0CA82}"/>
    <dataValidation type="list" allowBlank="1" showErrorMessage="1" sqref="G2:G3 G9 G27:G154 J2:J3 J9 J27:J154 M2:M3 M9 M27:M154 F12:F26 L12:L26 I12:I26" xr:uid="{6DB75F8E-56B4-4146-9E9C-E21F14B17926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88DA-FE78-4B03-93B6-5EE7DA2B8053}">
  <sheetPr>
    <outlinePr summaryBelow="0" summaryRight="0"/>
  </sheetPr>
  <dimension ref="A1:S25"/>
  <sheetViews>
    <sheetView zoomScale="70" zoomScaleNormal="70" workbookViewId="0">
      <pane ySplit="10" topLeftCell="A11" activePane="bottomLeft" state="frozen"/>
      <selection pane="bottomLeft" activeCell="A20" sqref="A20:XFD20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6.632812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36</v>
      </c>
      <c r="B2" s="138" t="s">
        <v>422</v>
      </c>
      <c r="C2" s="138"/>
      <c r="D2" s="138"/>
      <c r="E2" s="139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38</v>
      </c>
    </row>
    <row r="3" spans="1:19" s="30" customFormat="1" ht="25">
      <c r="A3" s="89" t="s">
        <v>21</v>
      </c>
      <c r="B3" s="140" t="s">
        <v>423</v>
      </c>
      <c r="C3" s="140"/>
      <c r="D3" s="140"/>
      <c r="E3" s="141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39</v>
      </c>
    </row>
    <row r="4" spans="1:19" s="30" customFormat="1" ht="18" customHeight="1">
      <c r="A4" s="89" t="s">
        <v>46</v>
      </c>
      <c r="B4" s="140">
        <f>COUNTIF($A$12:$A$1000,"TC-*")</f>
        <v>11</v>
      </c>
      <c r="C4" s="140"/>
      <c r="D4" s="140"/>
      <c r="E4" s="141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37</v>
      </c>
    </row>
    <row r="5" spans="1:19" s="30" customFormat="1" ht="19.5" customHeight="1">
      <c r="A5" s="82" t="s">
        <v>40</v>
      </c>
      <c r="B5" s="80" t="s">
        <v>38</v>
      </c>
      <c r="C5" s="80" t="s">
        <v>39</v>
      </c>
      <c r="D5" s="80" t="s">
        <v>37</v>
      </c>
      <c r="E5" s="83" t="s">
        <v>23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23</v>
      </c>
    </row>
    <row r="6" spans="1:19" s="30" customFormat="1" ht="15" customHeight="1">
      <c r="A6" s="82" t="s">
        <v>41</v>
      </c>
      <c r="B6" s="81">
        <f>COUNTIF($F10:$F1004,B5)</f>
        <v>10</v>
      </c>
      <c r="C6" s="81">
        <f>COUNTIF($F10:$F1004,C5)</f>
        <v>1</v>
      </c>
      <c r="D6" s="81">
        <f>COUNTIF($F10:$F1004,D5)</f>
        <v>0</v>
      </c>
      <c r="E6" s="87">
        <f>COUNTIF($F10:$F1004,E5)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43</v>
      </c>
      <c r="B7" s="81">
        <f>COUNTIF($I10:$I998,B5)</f>
        <v>11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44</v>
      </c>
      <c r="B8" s="85">
        <f>COUNTIF($L10:$L998,B5)</f>
        <v>11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45</v>
      </c>
      <c r="B10" s="79" t="s">
        <v>24</v>
      </c>
      <c r="C10" s="79" t="s">
        <v>35</v>
      </c>
      <c r="D10" s="79" t="s">
        <v>34</v>
      </c>
      <c r="E10" s="79" t="s">
        <v>42</v>
      </c>
      <c r="F10" s="79" t="s">
        <v>41</v>
      </c>
      <c r="G10" s="79" t="s">
        <v>25</v>
      </c>
      <c r="H10" s="79" t="s">
        <v>22</v>
      </c>
      <c r="I10" s="79" t="s">
        <v>43</v>
      </c>
      <c r="J10" s="79" t="s">
        <v>25</v>
      </c>
      <c r="K10" s="79" t="s">
        <v>22</v>
      </c>
      <c r="L10" s="79" t="s">
        <v>44</v>
      </c>
      <c r="M10" s="79" t="s">
        <v>25</v>
      </c>
      <c r="N10" s="79" t="s">
        <v>22</v>
      </c>
      <c r="O10" s="79" t="s">
        <v>47</v>
      </c>
      <c r="P10" s="79" t="s">
        <v>26</v>
      </c>
      <c r="R10" s="34"/>
    </row>
    <row r="11" spans="1:19" s="30" customFormat="1" ht="15.75" customHeight="1">
      <c r="A11" s="75" t="s">
        <v>20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424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25" outlineLevel="1">
      <c r="A13" s="39" t="s">
        <v>425</v>
      </c>
      <c r="B13" s="39" t="s">
        <v>426</v>
      </c>
      <c r="C13" s="39" t="s">
        <v>427</v>
      </c>
      <c r="D13" s="42" t="s">
        <v>428</v>
      </c>
      <c r="E13" s="42" t="s">
        <v>429</v>
      </c>
      <c r="F13" s="39" t="s">
        <v>38</v>
      </c>
      <c r="G13" s="142">
        <v>46246.708333333336</v>
      </c>
      <c r="H13" s="39" t="s">
        <v>94</v>
      </c>
      <c r="I13" s="39" t="s">
        <v>38</v>
      </c>
      <c r="J13" s="142">
        <v>46248.708333333336</v>
      </c>
      <c r="K13" s="39" t="s">
        <v>94</v>
      </c>
      <c r="L13" s="39" t="s">
        <v>38</v>
      </c>
      <c r="M13" s="142">
        <v>46253.708333333336</v>
      </c>
      <c r="N13" s="39" t="s">
        <v>94</v>
      </c>
      <c r="O13" s="39"/>
      <c r="P13" s="40"/>
      <c r="R13" s="41"/>
    </row>
    <row r="14" spans="1:19" ht="37.5" outlineLevel="1">
      <c r="A14" s="39" t="s">
        <v>430</v>
      </c>
      <c r="B14" s="39" t="s">
        <v>431</v>
      </c>
      <c r="C14" s="39" t="s">
        <v>432</v>
      </c>
      <c r="D14" s="42" t="s">
        <v>433</v>
      </c>
      <c r="E14" s="42" t="s">
        <v>434</v>
      </c>
      <c r="F14" s="39" t="s">
        <v>38</v>
      </c>
      <c r="G14" s="142">
        <v>46246.708333333336</v>
      </c>
      <c r="H14" s="39" t="s">
        <v>94</v>
      </c>
      <c r="I14" s="39" t="s">
        <v>38</v>
      </c>
      <c r="J14" s="142">
        <v>46248.708333333336</v>
      </c>
      <c r="K14" s="39" t="s">
        <v>94</v>
      </c>
      <c r="L14" s="39" t="s">
        <v>38</v>
      </c>
      <c r="M14" s="142">
        <v>46253.708333333336</v>
      </c>
      <c r="N14" s="39" t="s">
        <v>94</v>
      </c>
      <c r="O14" s="39"/>
      <c r="P14" s="40"/>
      <c r="R14" s="41"/>
    </row>
    <row r="15" spans="1:19" ht="12.5" customHeight="1" outlineLevel="1">
      <c r="A15" s="39" t="s">
        <v>435</v>
      </c>
      <c r="B15" s="39" t="s">
        <v>436</v>
      </c>
      <c r="C15" s="39" t="s">
        <v>437</v>
      </c>
      <c r="D15" s="39" t="s">
        <v>438</v>
      </c>
      <c r="E15" s="39" t="s">
        <v>439</v>
      </c>
      <c r="F15" s="39" t="s">
        <v>38</v>
      </c>
      <c r="G15" s="142">
        <v>46246.708333333336</v>
      </c>
      <c r="H15" s="39" t="s">
        <v>94</v>
      </c>
      <c r="I15" s="39" t="s">
        <v>38</v>
      </c>
      <c r="J15" s="142">
        <v>46248.708333333336</v>
      </c>
      <c r="K15" s="39" t="s">
        <v>94</v>
      </c>
      <c r="L15" s="39" t="s">
        <v>38</v>
      </c>
      <c r="M15" s="142">
        <v>46253.708333333336</v>
      </c>
      <c r="N15" s="39" t="s">
        <v>94</v>
      </c>
      <c r="O15" s="39"/>
      <c r="P15" s="40"/>
      <c r="R15" s="41"/>
    </row>
    <row r="16" spans="1:19" s="30" customFormat="1" ht="15.75" customHeight="1">
      <c r="A16" s="75" t="s">
        <v>440</v>
      </c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R16" s="38"/>
    </row>
    <row r="17" spans="1:18" ht="37.5" outlineLevel="1">
      <c r="A17" s="39" t="s">
        <v>441</v>
      </c>
      <c r="B17" s="39" t="s">
        <v>442</v>
      </c>
      <c r="C17" s="39" t="s">
        <v>443</v>
      </c>
      <c r="D17" s="39" t="s">
        <v>444</v>
      </c>
      <c r="E17" s="39" t="s">
        <v>445</v>
      </c>
      <c r="F17" s="39" t="s">
        <v>39</v>
      </c>
      <c r="G17" s="143">
        <v>46247.708333333336</v>
      </c>
      <c r="H17" s="43" t="s">
        <v>94</v>
      </c>
      <c r="I17" s="39" t="s">
        <v>38</v>
      </c>
      <c r="J17" s="143">
        <v>46248.708333333336</v>
      </c>
      <c r="K17" s="43" t="s">
        <v>94</v>
      </c>
      <c r="L17" s="39" t="s">
        <v>38</v>
      </c>
      <c r="M17" s="143">
        <v>46253.708333333336</v>
      </c>
      <c r="N17" s="43" t="s">
        <v>94</v>
      </c>
      <c r="O17" s="43" t="s">
        <v>446</v>
      </c>
      <c r="P17" s="43" t="s">
        <v>447</v>
      </c>
    </row>
    <row r="18" spans="1:18" ht="12.5" customHeight="1" outlineLevel="1">
      <c r="A18" s="39" t="s">
        <v>448</v>
      </c>
      <c r="B18" s="39" t="s">
        <v>449</v>
      </c>
      <c r="C18" s="39" t="s">
        <v>450</v>
      </c>
      <c r="D18" s="39" t="s">
        <v>451</v>
      </c>
      <c r="E18" s="39" t="s">
        <v>452</v>
      </c>
      <c r="F18" s="39" t="s">
        <v>38</v>
      </c>
      <c r="G18" s="142">
        <v>46247.708333333336</v>
      </c>
      <c r="H18" s="39" t="s">
        <v>94</v>
      </c>
      <c r="I18" s="39" t="s">
        <v>38</v>
      </c>
      <c r="J18" s="142">
        <v>46248.708333333336</v>
      </c>
      <c r="K18" s="39" t="s">
        <v>94</v>
      </c>
      <c r="L18" s="39" t="s">
        <v>38</v>
      </c>
      <c r="M18" s="142">
        <v>46253.708333333336</v>
      </c>
      <c r="N18" s="39" t="s">
        <v>94</v>
      </c>
      <c r="O18" s="39"/>
      <c r="P18" s="40"/>
      <c r="R18" s="41"/>
    </row>
    <row r="19" spans="1:18" ht="25" outlineLevel="1">
      <c r="A19" s="39" t="s">
        <v>453</v>
      </c>
      <c r="B19" s="39" t="s">
        <v>454</v>
      </c>
      <c r="C19" s="39" t="s">
        <v>455</v>
      </c>
      <c r="D19" s="39" t="s">
        <v>456</v>
      </c>
      <c r="E19" s="39" t="s">
        <v>457</v>
      </c>
      <c r="F19" s="39" t="s">
        <v>38</v>
      </c>
      <c r="G19" s="142">
        <v>46247.708333333336</v>
      </c>
      <c r="H19" s="39" t="s">
        <v>94</v>
      </c>
      <c r="I19" s="39" t="s">
        <v>38</v>
      </c>
      <c r="J19" s="142">
        <v>46248.708333333336</v>
      </c>
      <c r="K19" s="39" t="s">
        <v>94</v>
      </c>
      <c r="L19" s="39" t="s">
        <v>38</v>
      </c>
      <c r="M19" s="142">
        <v>46253.708333333336</v>
      </c>
      <c r="N19" s="39" t="s">
        <v>94</v>
      </c>
      <c r="O19" s="39"/>
      <c r="P19" s="40"/>
      <c r="R19" s="41"/>
    </row>
    <row r="20" spans="1:18" s="30" customFormat="1" ht="15.75" customHeight="1">
      <c r="A20" s="75" t="s">
        <v>458</v>
      </c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R20" s="38"/>
    </row>
    <row r="21" spans="1:18" ht="37.5" outlineLevel="1">
      <c r="A21" s="39" t="s">
        <v>459</v>
      </c>
      <c r="B21" s="39" t="s">
        <v>460</v>
      </c>
      <c r="C21" s="39" t="s">
        <v>461</v>
      </c>
      <c r="D21" s="39" t="s">
        <v>462</v>
      </c>
      <c r="E21" s="39" t="s">
        <v>463</v>
      </c>
      <c r="F21" s="39" t="s">
        <v>38</v>
      </c>
      <c r="G21" s="142">
        <v>46246.708333333336</v>
      </c>
      <c r="H21" s="39" t="s">
        <v>94</v>
      </c>
      <c r="I21" s="39" t="s">
        <v>38</v>
      </c>
      <c r="J21" s="142">
        <v>46248.708333333336</v>
      </c>
      <c r="K21" s="39" t="s">
        <v>94</v>
      </c>
      <c r="L21" s="39" t="s">
        <v>38</v>
      </c>
      <c r="M21" s="142">
        <v>46253.708333333336</v>
      </c>
      <c r="N21" s="39" t="s">
        <v>94</v>
      </c>
      <c r="O21" s="39"/>
      <c r="P21" s="40"/>
      <c r="R21" s="41"/>
    </row>
    <row r="22" spans="1:18" ht="37.5" outlineLevel="1">
      <c r="A22" s="39" t="s">
        <v>464</v>
      </c>
      <c r="B22" s="39" t="s">
        <v>465</v>
      </c>
      <c r="C22" s="39" t="s">
        <v>466</v>
      </c>
      <c r="D22" s="39" t="s">
        <v>467</v>
      </c>
      <c r="E22" s="39" t="s">
        <v>468</v>
      </c>
      <c r="F22" s="39" t="s">
        <v>38</v>
      </c>
      <c r="G22" s="142">
        <v>46246.708333333336</v>
      </c>
      <c r="H22" s="39" t="s">
        <v>94</v>
      </c>
      <c r="I22" s="39" t="s">
        <v>38</v>
      </c>
      <c r="J22" s="142">
        <v>46248.708333333336</v>
      </c>
      <c r="K22" s="39" t="s">
        <v>94</v>
      </c>
      <c r="L22" s="39" t="s">
        <v>38</v>
      </c>
      <c r="M22" s="142">
        <v>46253.708333333336</v>
      </c>
      <c r="N22" s="39" t="s">
        <v>94</v>
      </c>
      <c r="O22" s="39"/>
      <c r="P22" s="40"/>
      <c r="R22" s="41"/>
    </row>
    <row r="23" spans="1:18" ht="25" outlineLevel="1">
      <c r="A23" s="39" t="s">
        <v>469</v>
      </c>
      <c r="B23" s="39" t="s">
        <v>470</v>
      </c>
      <c r="C23" s="39" t="s">
        <v>471</v>
      </c>
      <c r="D23" s="39" t="s">
        <v>472</v>
      </c>
      <c r="E23" s="39" t="s">
        <v>473</v>
      </c>
      <c r="F23" s="39" t="s">
        <v>38</v>
      </c>
      <c r="G23" s="142">
        <v>46247.708333333336</v>
      </c>
      <c r="H23" s="39" t="s">
        <v>94</v>
      </c>
      <c r="I23" s="39" t="s">
        <v>38</v>
      </c>
      <c r="J23" s="142">
        <v>46248.708333333336</v>
      </c>
      <c r="K23" s="39" t="s">
        <v>94</v>
      </c>
      <c r="L23" s="39" t="s">
        <v>38</v>
      </c>
      <c r="M23" s="142">
        <v>46253.708333333336</v>
      </c>
      <c r="N23" s="39" t="s">
        <v>94</v>
      </c>
      <c r="O23" s="39"/>
      <c r="P23" s="40"/>
      <c r="R23" s="41"/>
    </row>
    <row r="24" spans="1:18" outlineLevel="1">
      <c r="A24" s="39" t="s">
        <v>474</v>
      </c>
      <c r="B24" s="39" t="s">
        <v>475</v>
      </c>
      <c r="C24" s="39" t="s">
        <v>476</v>
      </c>
      <c r="D24" s="39" t="s">
        <v>477</v>
      </c>
      <c r="E24" s="39" t="s">
        <v>478</v>
      </c>
      <c r="F24" s="39" t="s">
        <v>38</v>
      </c>
      <c r="G24" s="142">
        <v>46247.708333333336</v>
      </c>
      <c r="H24" s="39" t="s">
        <v>94</v>
      </c>
      <c r="I24" s="39" t="s">
        <v>38</v>
      </c>
      <c r="J24" s="142">
        <v>46248.708333333336</v>
      </c>
      <c r="K24" s="39" t="s">
        <v>94</v>
      </c>
      <c r="L24" s="39" t="s">
        <v>38</v>
      </c>
      <c r="M24" s="142">
        <v>46253.708333333336</v>
      </c>
      <c r="N24" s="39" t="s">
        <v>94</v>
      </c>
      <c r="O24" s="39"/>
      <c r="P24" s="40"/>
      <c r="R24" s="41"/>
    </row>
    <row r="25" spans="1:18" ht="37.5" outlineLevel="1">
      <c r="A25" s="39" t="s">
        <v>479</v>
      </c>
      <c r="B25" s="39" t="s">
        <v>480</v>
      </c>
      <c r="C25" s="39" t="s">
        <v>481</v>
      </c>
      <c r="D25" s="39" t="s">
        <v>482</v>
      </c>
      <c r="E25" s="39" t="s">
        <v>483</v>
      </c>
      <c r="F25" s="39" t="s">
        <v>38</v>
      </c>
      <c r="G25" s="142">
        <v>46247.708333333336</v>
      </c>
      <c r="H25" s="39" t="s">
        <v>94</v>
      </c>
      <c r="I25" s="39" t="s">
        <v>38</v>
      </c>
      <c r="J25" s="142">
        <v>46248.708333333336</v>
      </c>
      <c r="K25" s="39" t="s">
        <v>94</v>
      </c>
      <c r="L25" s="39" t="s">
        <v>38</v>
      </c>
      <c r="M25" s="142">
        <v>46253.708333333336</v>
      </c>
      <c r="N25" s="39" t="s">
        <v>94</v>
      </c>
      <c r="O25" s="39"/>
      <c r="P25" s="40"/>
      <c r="R25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F96A810E-4F24-48E5-99F2-4C08D2E0C036}"/>
    <dataValidation type="list" allowBlank="1" showErrorMessage="1" sqref="G2:G3 G9 G26:G153 J2:J3 J9 J26:J153 M2:M3 M9 M26:M153 I12:I25 F12:F25 L12:L25" xr:uid="{16C22FD1-CB03-41E2-89EC-B219D4CA55EC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60AB-8705-43B5-B3F3-5C87E8E82591}">
  <sheetPr>
    <outlinePr summaryBelow="0" summaryRight="0"/>
  </sheetPr>
  <dimension ref="A1:S25"/>
  <sheetViews>
    <sheetView zoomScale="70" zoomScaleNormal="70" workbookViewId="0">
      <pane ySplit="10" topLeftCell="A11" activePane="bottomLeft" state="frozen"/>
      <selection pane="bottomLeft" activeCell="A20" sqref="A20:XFD20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6.632812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36</v>
      </c>
      <c r="B2" s="138" t="s">
        <v>484</v>
      </c>
      <c r="C2" s="138"/>
      <c r="D2" s="138"/>
      <c r="E2" s="139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38</v>
      </c>
    </row>
    <row r="3" spans="1:19" s="30" customFormat="1" ht="25">
      <c r="A3" s="89" t="s">
        <v>21</v>
      </c>
      <c r="B3" s="140" t="s">
        <v>485</v>
      </c>
      <c r="C3" s="140"/>
      <c r="D3" s="140"/>
      <c r="E3" s="141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39</v>
      </c>
    </row>
    <row r="4" spans="1:19" s="30" customFormat="1" ht="18" customHeight="1">
      <c r="A4" s="89" t="s">
        <v>46</v>
      </c>
      <c r="B4" s="140">
        <f>COUNTIF($A$12:$A$1000,"TC-*")</f>
        <v>11</v>
      </c>
      <c r="C4" s="140"/>
      <c r="D4" s="140"/>
      <c r="E4" s="141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37</v>
      </c>
    </row>
    <row r="5" spans="1:19" s="30" customFormat="1" ht="19.5" customHeight="1">
      <c r="A5" s="82" t="s">
        <v>40</v>
      </c>
      <c r="B5" s="80" t="s">
        <v>38</v>
      </c>
      <c r="C5" s="80" t="s">
        <v>39</v>
      </c>
      <c r="D5" s="80" t="s">
        <v>37</v>
      </c>
      <c r="E5" s="83" t="s">
        <v>23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23</v>
      </c>
    </row>
    <row r="6" spans="1:19" s="30" customFormat="1" ht="15" customHeight="1">
      <c r="A6" s="82" t="s">
        <v>41</v>
      </c>
      <c r="B6" s="81">
        <f>COUNTIF($F10:$F1004,B5)</f>
        <v>10</v>
      </c>
      <c r="C6" s="81">
        <f>COUNTIF($F10:$F1004,C5)</f>
        <v>1</v>
      </c>
      <c r="D6" s="81">
        <f>COUNTIF($F10:$F1004,D5)</f>
        <v>0</v>
      </c>
      <c r="E6" s="87">
        <f>COUNTIF($F10:$F1004,E5)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43</v>
      </c>
      <c r="B7" s="81">
        <f>COUNTIF($I10:$I998,B5)</f>
        <v>11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44</v>
      </c>
      <c r="B8" s="85">
        <f>COUNTIF($L10:$L998,B5)</f>
        <v>11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45</v>
      </c>
      <c r="B10" s="79" t="s">
        <v>24</v>
      </c>
      <c r="C10" s="79" t="s">
        <v>35</v>
      </c>
      <c r="D10" s="79" t="s">
        <v>34</v>
      </c>
      <c r="E10" s="79" t="s">
        <v>42</v>
      </c>
      <c r="F10" s="79" t="s">
        <v>41</v>
      </c>
      <c r="G10" s="79" t="s">
        <v>25</v>
      </c>
      <c r="H10" s="79" t="s">
        <v>22</v>
      </c>
      <c r="I10" s="79" t="s">
        <v>43</v>
      </c>
      <c r="J10" s="79" t="s">
        <v>25</v>
      </c>
      <c r="K10" s="79" t="s">
        <v>22</v>
      </c>
      <c r="L10" s="79" t="s">
        <v>44</v>
      </c>
      <c r="M10" s="79" t="s">
        <v>25</v>
      </c>
      <c r="N10" s="79" t="s">
        <v>22</v>
      </c>
      <c r="O10" s="79" t="s">
        <v>47</v>
      </c>
      <c r="P10" s="79" t="s">
        <v>26</v>
      </c>
      <c r="R10" s="34"/>
    </row>
    <row r="11" spans="1:19" s="30" customFormat="1" ht="15.75" customHeight="1">
      <c r="A11" s="75" t="s">
        <v>20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486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50" outlineLevel="1">
      <c r="A13" s="39" t="s">
        <v>487</v>
      </c>
      <c r="B13" s="39" t="s">
        <v>488</v>
      </c>
      <c r="C13" s="39" t="s">
        <v>489</v>
      </c>
      <c r="D13" s="42" t="s">
        <v>490</v>
      </c>
      <c r="E13" s="42" t="s">
        <v>491</v>
      </c>
      <c r="F13" s="39" t="s">
        <v>38</v>
      </c>
      <c r="G13" s="142">
        <v>46246.708333333336</v>
      </c>
      <c r="H13" s="39" t="s">
        <v>175</v>
      </c>
      <c r="I13" s="39" t="s">
        <v>38</v>
      </c>
      <c r="J13" s="142">
        <v>46248.708333333336</v>
      </c>
      <c r="K13" s="39" t="s">
        <v>175</v>
      </c>
      <c r="L13" s="39" t="s">
        <v>38</v>
      </c>
      <c r="M13" s="142">
        <v>46253.708333333336</v>
      </c>
      <c r="N13" s="39" t="s">
        <v>175</v>
      </c>
      <c r="O13" s="39"/>
      <c r="P13" s="40"/>
      <c r="R13" s="41"/>
    </row>
    <row r="14" spans="1:19" ht="25" outlineLevel="1">
      <c r="A14" s="39" t="s">
        <v>492</v>
      </c>
      <c r="B14" s="39" t="s">
        <v>493</v>
      </c>
      <c r="C14" s="39" t="s">
        <v>494</v>
      </c>
      <c r="D14" s="42" t="s">
        <v>495</v>
      </c>
      <c r="E14" s="42" t="s">
        <v>496</v>
      </c>
      <c r="F14" s="39" t="s">
        <v>38</v>
      </c>
      <c r="G14" s="142">
        <v>46246.708333333336</v>
      </c>
      <c r="H14" s="39" t="s">
        <v>175</v>
      </c>
      <c r="I14" s="39" t="s">
        <v>38</v>
      </c>
      <c r="J14" s="142">
        <v>46248.708333333336</v>
      </c>
      <c r="K14" s="39" t="s">
        <v>175</v>
      </c>
      <c r="L14" s="39" t="s">
        <v>38</v>
      </c>
      <c r="M14" s="142">
        <v>46253.708333333336</v>
      </c>
      <c r="N14" s="39" t="s">
        <v>175</v>
      </c>
      <c r="O14" s="39"/>
      <c r="P14" s="40"/>
      <c r="R14" s="41"/>
    </row>
    <row r="15" spans="1:19" ht="12.5" customHeight="1" outlineLevel="1">
      <c r="A15" s="39" t="s">
        <v>497</v>
      </c>
      <c r="B15" s="39" t="s">
        <v>498</v>
      </c>
      <c r="C15" s="39" t="s">
        <v>499</v>
      </c>
      <c r="D15" s="39" t="s">
        <v>500</v>
      </c>
      <c r="E15" s="39" t="s">
        <v>501</v>
      </c>
      <c r="F15" s="39" t="s">
        <v>38</v>
      </c>
      <c r="G15" s="142">
        <v>46246.708333333336</v>
      </c>
      <c r="H15" s="39" t="s">
        <v>175</v>
      </c>
      <c r="I15" s="39" t="s">
        <v>38</v>
      </c>
      <c r="J15" s="142">
        <v>46248.708333333336</v>
      </c>
      <c r="K15" s="39" t="s">
        <v>175</v>
      </c>
      <c r="L15" s="39" t="s">
        <v>38</v>
      </c>
      <c r="M15" s="142">
        <v>46253.708333333336</v>
      </c>
      <c r="N15" s="39" t="s">
        <v>175</v>
      </c>
      <c r="O15" s="39"/>
      <c r="P15" s="40"/>
      <c r="R15" s="41"/>
    </row>
    <row r="16" spans="1:19" ht="25" outlineLevel="1">
      <c r="A16" s="39" t="s">
        <v>502</v>
      </c>
      <c r="B16" s="39" t="s">
        <v>503</v>
      </c>
      <c r="C16" s="39" t="s">
        <v>504</v>
      </c>
      <c r="D16" s="39" t="s">
        <v>505</v>
      </c>
      <c r="E16" s="39" t="s">
        <v>506</v>
      </c>
      <c r="F16" s="39" t="s">
        <v>38</v>
      </c>
      <c r="G16" s="142">
        <v>46246.708333333336</v>
      </c>
      <c r="H16" s="39" t="s">
        <v>175</v>
      </c>
      <c r="I16" s="39" t="s">
        <v>38</v>
      </c>
      <c r="J16" s="142">
        <v>46248.708333333336</v>
      </c>
      <c r="K16" s="39" t="s">
        <v>175</v>
      </c>
      <c r="L16" s="39" t="s">
        <v>38</v>
      </c>
      <c r="M16" s="142">
        <v>46253.708333333336</v>
      </c>
      <c r="N16" s="39" t="s">
        <v>175</v>
      </c>
      <c r="O16" s="39"/>
      <c r="P16" s="40"/>
      <c r="R16" s="41"/>
    </row>
    <row r="17" spans="1:18" s="30" customFormat="1" ht="15.75" customHeight="1">
      <c r="A17" s="75" t="s">
        <v>507</v>
      </c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R17" s="38"/>
    </row>
    <row r="18" spans="1:18" ht="12.5" customHeight="1" outlineLevel="1">
      <c r="A18" s="39" t="s">
        <v>508</v>
      </c>
      <c r="B18" s="39" t="s">
        <v>509</v>
      </c>
      <c r="C18" s="39" t="s">
        <v>510</v>
      </c>
      <c r="D18" s="39" t="s">
        <v>511</v>
      </c>
      <c r="E18" s="39" t="s">
        <v>512</v>
      </c>
      <c r="F18" s="39" t="s">
        <v>38</v>
      </c>
      <c r="G18" s="142">
        <v>46247.708333333336</v>
      </c>
      <c r="H18" s="39" t="s">
        <v>175</v>
      </c>
      <c r="I18" s="39" t="s">
        <v>38</v>
      </c>
      <c r="J18" s="142">
        <v>46248.708333333336</v>
      </c>
      <c r="K18" s="39" t="s">
        <v>175</v>
      </c>
      <c r="L18" s="39" t="s">
        <v>38</v>
      </c>
      <c r="M18" s="142">
        <v>46253.708333333336</v>
      </c>
      <c r="N18" s="39" t="s">
        <v>175</v>
      </c>
      <c r="O18" s="39"/>
      <c r="P18" s="40"/>
      <c r="R18" s="41"/>
    </row>
    <row r="19" spans="1:18" ht="75" outlineLevel="1">
      <c r="A19" s="39" t="s">
        <v>513</v>
      </c>
      <c r="B19" s="39" t="s">
        <v>514</v>
      </c>
      <c r="C19" s="39" t="s">
        <v>515</v>
      </c>
      <c r="D19" s="39" t="s">
        <v>516</v>
      </c>
      <c r="E19" s="39" t="s">
        <v>517</v>
      </c>
      <c r="F19" s="39" t="s">
        <v>38</v>
      </c>
      <c r="G19" s="142">
        <v>46247.708333333336</v>
      </c>
      <c r="H19" s="39" t="s">
        <v>175</v>
      </c>
      <c r="I19" s="39" t="s">
        <v>38</v>
      </c>
      <c r="J19" s="142">
        <v>46248.708333333336</v>
      </c>
      <c r="K19" s="39" t="s">
        <v>175</v>
      </c>
      <c r="L19" s="39" t="s">
        <v>38</v>
      </c>
      <c r="M19" s="142">
        <v>46253.708333333336</v>
      </c>
      <c r="N19" s="39" t="s">
        <v>175</v>
      </c>
      <c r="O19" s="39"/>
      <c r="P19" s="40"/>
      <c r="R19" s="41"/>
    </row>
    <row r="20" spans="1:18" s="30" customFormat="1" ht="15.75" customHeight="1">
      <c r="A20" s="75" t="s">
        <v>518</v>
      </c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R20" s="38"/>
    </row>
    <row r="21" spans="1:18" ht="62.5" outlineLevel="1">
      <c r="A21" s="39" t="s">
        <v>519</v>
      </c>
      <c r="B21" s="39" t="s">
        <v>520</v>
      </c>
      <c r="C21" s="39" t="s">
        <v>521</v>
      </c>
      <c r="D21" s="39" t="s">
        <v>522</v>
      </c>
      <c r="E21" s="39" t="s">
        <v>523</v>
      </c>
      <c r="F21" s="39" t="s">
        <v>39</v>
      </c>
      <c r="G21" s="142">
        <v>46246.708333333336</v>
      </c>
      <c r="H21" s="39" t="s">
        <v>175</v>
      </c>
      <c r="I21" s="39" t="s">
        <v>38</v>
      </c>
      <c r="J21" s="142">
        <v>46248.708333333336</v>
      </c>
      <c r="K21" s="39" t="s">
        <v>175</v>
      </c>
      <c r="L21" s="39" t="s">
        <v>38</v>
      </c>
      <c r="M21" s="142">
        <v>46253.708333333336</v>
      </c>
      <c r="N21" s="39" t="s">
        <v>175</v>
      </c>
      <c r="O21" s="39" t="s">
        <v>524</v>
      </c>
      <c r="P21" s="40" t="s">
        <v>525</v>
      </c>
      <c r="R21" s="41"/>
    </row>
    <row r="22" spans="1:18" ht="50" outlineLevel="1">
      <c r="A22" s="39" t="s">
        <v>526</v>
      </c>
      <c r="B22" s="39" t="s">
        <v>527</v>
      </c>
      <c r="C22" s="39" t="s">
        <v>528</v>
      </c>
      <c r="D22" s="39" t="s">
        <v>529</v>
      </c>
      <c r="E22" s="39" t="s">
        <v>530</v>
      </c>
      <c r="F22" s="39" t="s">
        <v>38</v>
      </c>
      <c r="G22" s="142">
        <v>46246.708333333336</v>
      </c>
      <c r="H22" s="39" t="s">
        <v>175</v>
      </c>
      <c r="I22" s="39" t="s">
        <v>38</v>
      </c>
      <c r="J22" s="142">
        <v>46248.708333333336</v>
      </c>
      <c r="K22" s="39" t="s">
        <v>175</v>
      </c>
      <c r="L22" s="39" t="s">
        <v>38</v>
      </c>
      <c r="M22" s="142">
        <v>46253.708333333336</v>
      </c>
      <c r="N22" s="39" t="s">
        <v>175</v>
      </c>
      <c r="O22" s="39"/>
      <c r="P22" s="40"/>
      <c r="R22" s="41"/>
    </row>
    <row r="23" spans="1:18" ht="37.5" outlineLevel="1">
      <c r="A23" s="39" t="s">
        <v>531</v>
      </c>
      <c r="B23" s="39" t="s">
        <v>532</v>
      </c>
      <c r="C23" s="39" t="s">
        <v>533</v>
      </c>
      <c r="D23" s="39" t="s">
        <v>344</v>
      </c>
      <c r="E23" s="39" t="s">
        <v>534</v>
      </c>
      <c r="F23" s="39" t="s">
        <v>38</v>
      </c>
      <c r="G23" s="142">
        <v>46247.708333333336</v>
      </c>
      <c r="H23" s="39" t="s">
        <v>175</v>
      </c>
      <c r="I23" s="39" t="s">
        <v>38</v>
      </c>
      <c r="J23" s="142">
        <v>46248.708333333336</v>
      </c>
      <c r="K23" s="39" t="s">
        <v>175</v>
      </c>
      <c r="L23" s="39" t="s">
        <v>38</v>
      </c>
      <c r="M23" s="142">
        <v>46253.708333333336</v>
      </c>
      <c r="N23" s="39" t="s">
        <v>175</v>
      </c>
      <c r="O23" s="39"/>
      <c r="P23" s="40"/>
      <c r="R23" s="41"/>
    </row>
    <row r="24" spans="1:18" ht="25" outlineLevel="1">
      <c r="A24" s="39" t="s">
        <v>535</v>
      </c>
      <c r="B24" s="39" t="s">
        <v>536</v>
      </c>
      <c r="C24" s="39" t="s">
        <v>537</v>
      </c>
      <c r="D24" s="39" t="s">
        <v>538</v>
      </c>
      <c r="E24" s="39" t="s">
        <v>539</v>
      </c>
      <c r="F24" s="39" t="s">
        <v>38</v>
      </c>
      <c r="G24" s="142">
        <v>46247.708333333336</v>
      </c>
      <c r="H24" s="39" t="s">
        <v>175</v>
      </c>
      <c r="I24" s="39" t="s">
        <v>38</v>
      </c>
      <c r="J24" s="142">
        <v>46248.708333333336</v>
      </c>
      <c r="K24" s="39" t="s">
        <v>175</v>
      </c>
      <c r="L24" s="39" t="s">
        <v>38</v>
      </c>
      <c r="M24" s="142">
        <v>46253.708333333336</v>
      </c>
      <c r="N24" s="39" t="s">
        <v>175</v>
      </c>
      <c r="O24" s="39"/>
      <c r="P24" s="40"/>
      <c r="R24" s="41"/>
    </row>
    <row r="25" spans="1:18" ht="37.5" outlineLevel="1">
      <c r="A25" s="39" t="s">
        <v>540</v>
      </c>
      <c r="B25" s="39" t="s">
        <v>541</v>
      </c>
      <c r="C25" s="39" t="s">
        <v>542</v>
      </c>
      <c r="D25" s="39" t="s">
        <v>543</v>
      </c>
      <c r="E25" s="39" t="s">
        <v>544</v>
      </c>
      <c r="F25" s="39" t="s">
        <v>38</v>
      </c>
      <c r="G25" s="142">
        <v>46247.708333333336</v>
      </c>
      <c r="H25" s="39" t="s">
        <v>175</v>
      </c>
      <c r="I25" s="39" t="s">
        <v>38</v>
      </c>
      <c r="J25" s="142">
        <v>46248.708333333336</v>
      </c>
      <c r="K25" s="39" t="s">
        <v>175</v>
      </c>
      <c r="L25" s="39" t="s">
        <v>38</v>
      </c>
      <c r="M25" s="142">
        <v>46253.708333333336</v>
      </c>
      <c r="N25" s="39" t="s">
        <v>175</v>
      </c>
      <c r="O25" s="39"/>
      <c r="P25" s="40"/>
      <c r="R25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D8E09EB8-42EE-4ECB-B42E-AFDFBB20E84A}"/>
    <dataValidation type="list" allowBlank="1" showErrorMessage="1" sqref="G2:G3 G9 G26:G153 J2:J3 J9 J26:J153 M2:M3 M9 M26:M153 I12:I25 F12:F25 L12:L25" xr:uid="{A775DCF5-5EC9-4586-A0D8-DCA39666EBB8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DFE6-70B9-431A-AF3D-8661E2044EE9}">
  <sheetPr>
    <outlinePr summaryBelow="0" summaryRight="0"/>
  </sheetPr>
  <dimension ref="A1:S21"/>
  <sheetViews>
    <sheetView zoomScale="70" zoomScaleNormal="70" workbookViewId="0">
      <pane ySplit="10" topLeftCell="A11" activePane="bottomLeft" state="frozen"/>
      <selection pane="bottomLeft" activeCell="A15" sqref="A15:XFD15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6.632812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36</v>
      </c>
      <c r="B2" s="138" t="s">
        <v>545</v>
      </c>
      <c r="C2" s="138"/>
      <c r="D2" s="138"/>
      <c r="E2" s="139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38</v>
      </c>
    </row>
    <row r="3" spans="1:19" s="30" customFormat="1" ht="25">
      <c r="A3" s="89" t="s">
        <v>21</v>
      </c>
      <c r="B3" s="140" t="s">
        <v>546</v>
      </c>
      <c r="C3" s="140"/>
      <c r="D3" s="140"/>
      <c r="E3" s="141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39</v>
      </c>
    </row>
    <row r="4" spans="1:19" s="30" customFormat="1" ht="18" customHeight="1">
      <c r="A4" s="89" t="s">
        <v>46</v>
      </c>
      <c r="B4" s="140">
        <f>COUNTIF($A$12:$A$1000,"TC-*")</f>
        <v>8</v>
      </c>
      <c r="C4" s="140"/>
      <c r="D4" s="140"/>
      <c r="E4" s="141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37</v>
      </c>
    </row>
    <row r="5" spans="1:19" s="30" customFormat="1" ht="19.5" customHeight="1">
      <c r="A5" s="82" t="s">
        <v>40</v>
      </c>
      <c r="B5" s="80" t="s">
        <v>38</v>
      </c>
      <c r="C5" s="80" t="s">
        <v>39</v>
      </c>
      <c r="D5" s="80" t="s">
        <v>37</v>
      </c>
      <c r="E5" s="83" t="s">
        <v>23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23</v>
      </c>
    </row>
    <row r="6" spans="1:19" s="30" customFormat="1" ht="15" customHeight="1">
      <c r="A6" s="82" t="s">
        <v>41</v>
      </c>
      <c r="B6" s="81">
        <f>COUNTIF($F10:$F1000,B5)</f>
        <v>7</v>
      </c>
      <c r="C6" s="81">
        <f>COUNTIF($F10:$F1000,C5)</f>
        <v>1</v>
      </c>
      <c r="D6" s="81">
        <f>COUNTIF($F10:$F1000,D5)</f>
        <v>0</v>
      </c>
      <c r="E6" s="87">
        <f>COUNTIF($F10:$F1000,E5)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43</v>
      </c>
      <c r="B7" s="81">
        <f>COUNTIF($I10:$I998,B5)</f>
        <v>8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44</v>
      </c>
      <c r="B8" s="85">
        <f>COUNTIF($L10:$L998,B5)</f>
        <v>8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45</v>
      </c>
      <c r="B10" s="79" t="s">
        <v>24</v>
      </c>
      <c r="C10" s="79" t="s">
        <v>35</v>
      </c>
      <c r="D10" s="79" t="s">
        <v>34</v>
      </c>
      <c r="E10" s="79" t="s">
        <v>42</v>
      </c>
      <c r="F10" s="79" t="s">
        <v>41</v>
      </c>
      <c r="G10" s="79" t="s">
        <v>25</v>
      </c>
      <c r="H10" s="79" t="s">
        <v>22</v>
      </c>
      <c r="I10" s="79" t="s">
        <v>43</v>
      </c>
      <c r="J10" s="79" t="s">
        <v>25</v>
      </c>
      <c r="K10" s="79" t="s">
        <v>22</v>
      </c>
      <c r="L10" s="79" t="s">
        <v>44</v>
      </c>
      <c r="M10" s="79" t="s">
        <v>25</v>
      </c>
      <c r="N10" s="79" t="s">
        <v>22</v>
      </c>
      <c r="O10" s="79" t="s">
        <v>47</v>
      </c>
      <c r="P10" s="79" t="s">
        <v>26</v>
      </c>
      <c r="R10" s="34"/>
    </row>
    <row r="11" spans="1:19" s="30" customFormat="1" ht="15.75" customHeight="1">
      <c r="A11" s="75" t="s">
        <v>20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547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37.5" outlineLevel="1">
      <c r="A13" s="39" t="s">
        <v>548</v>
      </c>
      <c r="B13" s="39" t="s">
        <v>549</v>
      </c>
      <c r="C13" s="39" t="s">
        <v>550</v>
      </c>
      <c r="D13" s="42" t="s">
        <v>551</v>
      </c>
      <c r="E13" s="42" t="s">
        <v>552</v>
      </c>
      <c r="F13" s="39" t="s">
        <v>38</v>
      </c>
      <c r="G13" s="142">
        <v>46247.708333333336</v>
      </c>
      <c r="H13" s="39" t="s">
        <v>94</v>
      </c>
      <c r="I13" s="39" t="s">
        <v>38</v>
      </c>
      <c r="J13" s="142">
        <v>46249.708333333336</v>
      </c>
      <c r="K13" s="39" t="s">
        <v>94</v>
      </c>
      <c r="L13" s="39" t="s">
        <v>38</v>
      </c>
      <c r="M13" s="142">
        <v>46253.708333333336</v>
      </c>
      <c r="N13" s="39" t="s">
        <v>94</v>
      </c>
      <c r="O13" s="39"/>
      <c r="P13" s="40"/>
      <c r="R13" s="41"/>
    </row>
    <row r="14" spans="1:19" ht="25" outlineLevel="1">
      <c r="A14" s="39" t="s">
        <v>553</v>
      </c>
      <c r="B14" s="39" t="s">
        <v>554</v>
      </c>
      <c r="C14" s="39" t="s">
        <v>555</v>
      </c>
      <c r="D14" s="42" t="s">
        <v>556</v>
      </c>
      <c r="E14" s="42" t="s">
        <v>180</v>
      </c>
      <c r="F14" s="39" t="s">
        <v>38</v>
      </c>
      <c r="G14" s="142">
        <v>46247.708333333336</v>
      </c>
      <c r="H14" s="39" t="s">
        <v>94</v>
      </c>
      <c r="I14" s="39" t="s">
        <v>38</v>
      </c>
      <c r="J14" s="142">
        <v>46249.708333333336</v>
      </c>
      <c r="K14" s="39" t="s">
        <v>94</v>
      </c>
      <c r="L14" s="39" t="s">
        <v>38</v>
      </c>
      <c r="M14" s="142">
        <v>46253.708333333336</v>
      </c>
      <c r="N14" s="39" t="s">
        <v>94</v>
      </c>
      <c r="O14" s="39"/>
      <c r="P14" s="40"/>
      <c r="R14" s="41"/>
    </row>
    <row r="15" spans="1:19" ht="12.5" customHeight="1" outlineLevel="1">
      <c r="A15" s="39" t="s">
        <v>557</v>
      </c>
      <c r="B15" s="39" t="s">
        <v>558</v>
      </c>
      <c r="C15" s="39" t="s">
        <v>559</v>
      </c>
      <c r="D15" s="39" t="s">
        <v>560</v>
      </c>
      <c r="E15" s="39" t="s">
        <v>561</v>
      </c>
      <c r="F15" s="39" t="s">
        <v>38</v>
      </c>
      <c r="G15" s="142">
        <v>46248.708333333336</v>
      </c>
      <c r="H15" s="39" t="s">
        <v>94</v>
      </c>
      <c r="I15" s="39" t="s">
        <v>38</v>
      </c>
      <c r="J15" s="142">
        <v>46249.708333333336</v>
      </c>
      <c r="K15" s="39" t="s">
        <v>94</v>
      </c>
      <c r="L15" s="39" t="s">
        <v>38</v>
      </c>
      <c r="M15" s="142">
        <v>46253.708333333336</v>
      </c>
      <c r="N15" s="39" t="s">
        <v>94</v>
      </c>
      <c r="O15" s="39"/>
      <c r="P15" s="40"/>
      <c r="R15" s="41"/>
    </row>
    <row r="16" spans="1:19" ht="37.5" outlineLevel="1">
      <c r="A16" s="39" t="s">
        <v>562</v>
      </c>
      <c r="B16" s="39" t="s">
        <v>563</v>
      </c>
      <c r="C16" s="39" t="s">
        <v>564</v>
      </c>
      <c r="D16" s="39" t="s">
        <v>565</v>
      </c>
      <c r="E16" s="39" t="s">
        <v>566</v>
      </c>
      <c r="F16" s="39" t="s">
        <v>38</v>
      </c>
      <c r="G16" s="142">
        <v>46248.708333333336</v>
      </c>
      <c r="H16" s="39" t="s">
        <v>94</v>
      </c>
      <c r="I16" s="39" t="s">
        <v>38</v>
      </c>
      <c r="J16" s="142">
        <v>46249.708333333336</v>
      </c>
      <c r="K16" s="39" t="s">
        <v>94</v>
      </c>
      <c r="L16" s="39" t="s">
        <v>38</v>
      </c>
      <c r="M16" s="142">
        <v>46253.708333333336</v>
      </c>
      <c r="N16" s="39" t="s">
        <v>94</v>
      </c>
      <c r="O16" s="39"/>
      <c r="P16" s="40"/>
      <c r="R16" s="41"/>
    </row>
    <row r="17" spans="1:18" ht="50" outlineLevel="1">
      <c r="A17" s="39" t="s">
        <v>567</v>
      </c>
      <c r="B17" s="39" t="s">
        <v>568</v>
      </c>
      <c r="C17" s="39" t="s">
        <v>569</v>
      </c>
      <c r="D17" s="39" t="s">
        <v>570</v>
      </c>
      <c r="E17" s="39" t="s">
        <v>571</v>
      </c>
      <c r="F17" s="39" t="s">
        <v>39</v>
      </c>
      <c r="G17" s="143">
        <v>46248.708333333336</v>
      </c>
      <c r="H17" s="43" t="s">
        <v>94</v>
      </c>
      <c r="I17" s="39" t="s">
        <v>38</v>
      </c>
      <c r="J17" s="143">
        <v>46249.708333333336</v>
      </c>
      <c r="K17" s="43" t="s">
        <v>94</v>
      </c>
      <c r="L17" s="39" t="s">
        <v>38</v>
      </c>
      <c r="M17" s="143">
        <v>46253.708333333336</v>
      </c>
      <c r="N17" s="43" t="s">
        <v>94</v>
      </c>
      <c r="O17" s="43" t="s">
        <v>572</v>
      </c>
      <c r="P17" s="43" t="s">
        <v>573</v>
      </c>
    </row>
    <row r="18" spans="1:18" s="30" customFormat="1" ht="15.75" customHeight="1">
      <c r="A18" s="75" t="s">
        <v>574</v>
      </c>
      <c r="B18" s="35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7"/>
      <c r="R18" s="38"/>
    </row>
    <row r="19" spans="1:18" ht="37.5" outlineLevel="1">
      <c r="A19" s="39" t="s">
        <v>575</v>
      </c>
      <c r="B19" s="39" t="s">
        <v>576</v>
      </c>
      <c r="C19" s="39" t="s">
        <v>577</v>
      </c>
      <c r="D19" s="39" t="s">
        <v>578</v>
      </c>
      <c r="E19" s="39" t="s">
        <v>579</v>
      </c>
      <c r="F19" s="39" t="s">
        <v>38</v>
      </c>
      <c r="G19" s="142">
        <v>46249.708333333336</v>
      </c>
      <c r="H19" s="39" t="s">
        <v>94</v>
      </c>
      <c r="I19" s="39" t="s">
        <v>38</v>
      </c>
      <c r="J19" s="142">
        <v>46249.708333333336</v>
      </c>
      <c r="K19" s="39" t="s">
        <v>94</v>
      </c>
      <c r="L19" s="39" t="s">
        <v>38</v>
      </c>
      <c r="M19" s="142">
        <v>46253.708333333336</v>
      </c>
      <c r="N19" s="39" t="s">
        <v>94</v>
      </c>
      <c r="O19" s="39"/>
      <c r="P19" s="40"/>
      <c r="R19" s="41"/>
    </row>
    <row r="20" spans="1:18" ht="37.5" outlineLevel="1">
      <c r="A20" s="39" t="s">
        <v>580</v>
      </c>
      <c r="B20" s="39" t="s">
        <v>581</v>
      </c>
      <c r="C20" s="39" t="s">
        <v>582</v>
      </c>
      <c r="D20" s="39" t="s">
        <v>583</v>
      </c>
      <c r="E20" s="39" t="s">
        <v>584</v>
      </c>
      <c r="F20" s="39" t="s">
        <v>38</v>
      </c>
      <c r="G20" s="142">
        <v>46250.708333333336</v>
      </c>
      <c r="H20" s="39" t="s">
        <v>94</v>
      </c>
      <c r="I20" s="39" t="s">
        <v>38</v>
      </c>
      <c r="J20" s="142">
        <v>46249.708333333336</v>
      </c>
      <c r="K20" s="39" t="s">
        <v>94</v>
      </c>
      <c r="L20" s="39" t="s">
        <v>38</v>
      </c>
      <c r="M20" s="142">
        <v>46253.708333333336</v>
      </c>
      <c r="N20" s="39" t="s">
        <v>94</v>
      </c>
      <c r="O20" s="39"/>
      <c r="P20" s="40"/>
      <c r="R20" s="41"/>
    </row>
    <row r="21" spans="1:18" ht="37.5" outlineLevel="1">
      <c r="A21" s="39" t="s">
        <v>585</v>
      </c>
      <c r="B21" s="39" t="s">
        <v>586</v>
      </c>
      <c r="C21" s="39" t="s">
        <v>587</v>
      </c>
      <c r="D21" s="39" t="s">
        <v>588</v>
      </c>
      <c r="E21" s="39" t="s">
        <v>589</v>
      </c>
      <c r="F21" s="39" t="s">
        <v>38</v>
      </c>
      <c r="G21" s="142">
        <v>46250.708333333336</v>
      </c>
      <c r="H21" s="39" t="s">
        <v>94</v>
      </c>
      <c r="I21" s="39" t="s">
        <v>38</v>
      </c>
      <c r="J21" s="142">
        <v>46249.708333333336</v>
      </c>
      <c r="K21" s="39" t="s">
        <v>94</v>
      </c>
      <c r="L21" s="39" t="s">
        <v>38</v>
      </c>
      <c r="M21" s="142">
        <v>46253.708333333336</v>
      </c>
      <c r="N21" s="39" t="s">
        <v>94</v>
      </c>
      <c r="O21" s="39"/>
      <c r="P21" s="40"/>
      <c r="R21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7D319DA9-1956-4CD8-9AF7-8817116D9B2C}"/>
    <dataValidation type="list" allowBlank="1" showErrorMessage="1" sqref="G2:G3 G9 G22:G149 J2:J3 J9 J22:J149 M2:M3 M9 M22:M149 F12:F21 I12:I21 L12:L21" xr:uid="{FA0301C1-8B24-46B4-9998-2C055DF96438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64D87-C7B2-4797-8AA9-EBD77DB7A02E}">
  <sheetPr>
    <outlinePr summaryBelow="0" summaryRight="0"/>
  </sheetPr>
  <dimension ref="A1:S21"/>
  <sheetViews>
    <sheetView zoomScale="70" zoomScaleNormal="70" workbookViewId="0">
      <pane ySplit="10" topLeftCell="A11" activePane="bottomLeft" state="frozen"/>
      <selection pane="bottomLeft" activeCell="A18" sqref="A18:XFD18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6.632812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36</v>
      </c>
      <c r="B2" s="138" t="s">
        <v>590</v>
      </c>
      <c r="C2" s="138"/>
      <c r="D2" s="138"/>
      <c r="E2" s="139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38</v>
      </c>
    </row>
    <row r="3" spans="1:19" s="30" customFormat="1" ht="25">
      <c r="A3" s="89" t="s">
        <v>21</v>
      </c>
      <c r="B3" s="140" t="s">
        <v>591</v>
      </c>
      <c r="C3" s="140"/>
      <c r="D3" s="140"/>
      <c r="E3" s="141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39</v>
      </c>
    </row>
    <row r="4" spans="1:19" s="30" customFormat="1" ht="18" customHeight="1">
      <c r="A4" s="89" t="s">
        <v>46</v>
      </c>
      <c r="B4" s="140">
        <f>COUNTIF($A$12:$A$1000,"TC-*")</f>
        <v>8</v>
      </c>
      <c r="C4" s="140"/>
      <c r="D4" s="140"/>
      <c r="E4" s="141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37</v>
      </c>
    </row>
    <row r="5" spans="1:19" s="30" customFormat="1" ht="19.5" customHeight="1">
      <c r="A5" s="82" t="s">
        <v>40</v>
      </c>
      <c r="B5" s="80" t="s">
        <v>38</v>
      </c>
      <c r="C5" s="80" t="s">
        <v>39</v>
      </c>
      <c r="D5" s="80" t="s">
        <v>37</v>
      </c>
      <c r="E5" s="83" t="s">
        <v>23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23</v>
      </c>
    </row>
    <row r="6" spans="1:19" s="30" customFormat="1" ht="15" customHeight="1">
      <c r="A6" s="82" t="s">
        <v>41</v>
      </c>
      <c r="B6" s="81">
        <f>COUNTIF($F10:$F1000,B5)</f>
        <v>7</v>
      </c>
      <c r="C6" s="81">
        <f>COUNTIF($F10:$F1000,C5)</f>
        <v>1</v>
      </c>
      <c r="D6" s="81">
        <f>COUNTIF($F10:$F1000,D5)</f>
        <v>0</v>
      </c>
      <c r="E6" s="87">
        <f>COUNTIF($F10:$F1000,E5)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43</v>
      </c>
      <c r="B7" s="81">
        <f>COUNTIF($I10:$I998,B5)</f>
        <v>8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44</v>
      </c>
      <c r="B8" s="85">
        <f>COUNTIF($L10:$L998,B5)</f>
        <v>8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45</v>
      </c>
      <c r="B10" s="79" t="s">
        <v>24</v>
      </c>
      <c r="C10" s="79" t="s">
        <v>35</v>
      </c>
      <c r="D10" s="79" t="s">
        <v>34</v>
      </c>
      <c r="E10" s="79" t="s">
        <v>42</v>
      </c>
      <c r="F10" s="79" t="s">
        <v>41</v>
      </c>
      <c r="G10" s="79" t="s">
        <v>25</v>
      </c>
      <c r="H10" s="79" t="s">
        <v>22</v>
      </c>
      <c r="I10" s="79" t="s">
        <v>43</v>
      </c>
      <c r="J10" s="79" t="s">
        <v>25</v>
      </c>
      <c r="K10" s="79" t="s">
        <v>22</v>
      </c>
      <c r="L10" s="79" t="s">
        <v>44</v>
      </c>
      <c r="M10" s="79" t="s">
        <v>25</v>
      </c>
      <c r="N10" s="79" t="s">
        <v>22</v>
      </c>
      <c r="O10" s="79" t="s">
        <v>47</v>
      </c>
      <c r="P10" s="79" t="s">
        <v>26</v>
      </c>
      <c r="R10" s="34"/>
    </row>
    <row r="11" spans="1:19" s="30" customFormat="1" ht="15.75" customHeight="1">
      <c r="A11" s="75" t="s">
        <v>20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592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25" outlineLevel="1">
      <c r="A13" s="39" t="s">
        <v>593</v>
      </c>
      <c r="B13" s="39" t="s">
        <v>594</v>
      </c>
      <c r="C13" s="39" t="s">
        <v>595</v>
      </c>
      <c r="D13" s="42" t="s">
        <v>596</v>
      </c>
      <c r="E13" s="42" t="s">
        <v>597</v>
      </c>
      <c r="F13" s="39" t="s">
        <v>38</v>
      </c>
      <c r="G13" s="142">
        <v>46246.708333333336</v>
      </c>
      <c r="H13" s="39" t="s">
        <v>94</v>
      </c>
      <c r="I13" s="39" t="s">
        <v>38</v>
      </c>
      <c r="J13" s="142">
        <v>46249.708333333336</v>
      </c>
      <c r="K13" s="39" t="s">
        <v>94</v>
      </c>
      <c r="L13" s="39" t="s">
        <v>38</v>
      </c>
      <c r="M13" s="142">
        <v>46253.708333333336</v>
      </c>
      <c r="N13" s="39" t="s">
        <v>94</v>
      </c>
      <c r="O13" s="39"/>
      <c r="P13" s="40"/>
      <c r="R13" s="41"/>
    </row>
    <row r="14" spans="1:19" ht="50" outlineLevel="1">
      <c r="A14" s="39" t="s">
        <v>598</v>
      </c>
      <c r="B14" s="39" t="s">
        <v>599</v>
      </c>
      <c r="C14" s="39" t="s">
        <v>600</v>
      </c>
      <c r="D14" s="42" t="s">
        <v>601</v>
      </c>
      <c r="E14" s="42" t="s">
        <v>602</v>
      </c>
      <c r="F14" s="39" t="s">
        <v>38</v>
      </c>
      <c r="G14" s="142">
        <v>46246.708333333336</v>
      </c>
      <c r="H14" s="39" t="s">
        <v>94</v>
      </c>
      <c r="I14" s="39" t="s">
        <v>38</v>
      </c>
      <c r="J14" s="142">
        <v>46249.708333333336</v>
      </c>
      <c r="K14" s="39" t="s">
        <v>94</v>
      </c>
      <c r="L14" s="39" t="s">
        <v>38</v>
      </c>
      <c r="M14" s="142">
        <v>46253.708333333336</v>
      </c>
      <c r="N14" s="39" t="s">
        <v>94</v>
      </c>
      <c r="O14" s="39"/>
      <c r="P14" s="40"/>
      <c r="R14" s="41"/>
    </row>
    <row r="15" spans="1:19" ht="12.5" customHeight="1" outlineLevel="1">
      <c r="A15" s="39" t="s">
        <v>603</v>
      </c>
      <c r="B15" s="39" t="s">
        <v>604</v>
      </c>
      <c r="C15" s="39" t="s">
        <v>605</v>
      </c>
      <c r="D15" s="39" t="s">
        <v>606</v>
      </c>
      <c r="E15" s="39" t="s">
        <v>607</v>
      </c>
      <c r="F15" s="39" t="s">
        <v>38</v>
      </c>
      <c r="G15" s="142">
        <v>46247.708333333336</v>
      </c>
      <c r="H15" s="39" t="s">
        <v>94</v>
      </c>
      <c r="I15" s="39" t="s">
        <v>38</v>
      </c>
      <c r="J15" s="142">
        <v>46249.708333333336</v>
      </c>
      <c r="K15" s="39" t="s">
        <v>94</v>
      </c>
      <c r="L15" s="39" t="s">
        <v>38</v>
      </c>
      <c r="M15" s="142">
        <v>46253.708333333336</v>
      </c>
      <c r="N15" s="39" t="s">
        <v>94</v>
      </c>
      <c r="O15" s="39"/>
      <c r="P15" s="40"/>
      <c r="R15" s="41"/>
    </row>
    <row r="16" spans="1:19" ht="37.5" outlineLevel="1">
      <c r="A16" s="39" t="s">
        <v>608</v>
      </c>
      <c r="B16" s="39" t="s">
        <v>609</v>
      </c>
      <c r="C16" s="39" t="s">
        <v>610</v>
      </c>
      <c r="D16" s="39" t="s">
        <v>611</v>
      </c>
      <c r="E16" s="39" t="s">
        <v>612</v>
      </c>
      <c r="F16" s="39" t="s">
        <v>38</v>
      </c>
      <c r="G16" s="142">
        <v>46247.708333333336</v>
      </c>
      <c r="H16" s="39" t="s">
        <v>94</v>
      </c>
      <c r="I16" s="39" t="s">
        <v>38</v>
      </c>
      <c r="J16" s="142">
        <v>46249.708333333336</v>
      </c>
      <c r="K16" s="39" t="s">
        <v>94</v>
      </c>
      <c r="L16" s="39" t="s">
        <v>38</v>
      </c>
      <c r="M16" s="142">
        <v>46253.708333333336</v>
      </c>
      <c r="N16" s="39" t="s">
        <v>94</v>
      </c>
      <c r="O16" s="39"/>
      <c r="P16" s="40"/>
      <c r="R16" s="41"/>
    </row>
    <row r="17" spans="1:18" s="30" customFormat="1" ht="15.75" customHeight="1">
      <c r="A17" s="75" t="s">
        <v>613</v>
      </c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R17" s="38"/>
    </row>
    <row r="18" spans="1:18" ht="12.5" customHeight="1" outlineLevel="1">
      <c r="A18" s="39" t="s">
        <v>614</v>
      </c>
      <c r="B18" s="39" t="s">
        <v>615</v>
      </c>
      <c r="C18" s="39" t="s">
        <v>616</v>
      </c>
      <c r="D18" s="39" t="s">
        <v>617</v>
      </c>
      <c r="E18" s="39" t="s">
        <v>618</v>
      </c>
      <c r="F18" s="39" t="s">
        <v>39</v>
      </c>
      <c r="G18" s="142">
        <v>46248.708333333336</v>
      </c>
      <c r="H18" s="39" t="s">
        <v>94</v>
      </c>
      <c r="I18" s="39" t="s">
        <v>38</v>
      </c>
      <c r="J18" s="142">
        <v>46249.708333333336</v>
      </c>
      <c r="K18" s="39" t="s">
        <v>94</v>
      </c>
      <c r="L18" s="39" t="s">
        <v>38</v>
      </c>
      <c r="M18" s="142">
        <v>46253.708333333336</v>
      </c>
      <c r="N18" s="39" t="s">
        <v>94</v>
      </c>
      <c r="O18" s="39" t="s">
        <v>619</v>
      </c>
      <c r="P18" s="40" t="s">
        <v>620</v>
      </c>
      <c r="R18" s="41"/>
    </row>
    <row r="19" spans="1:18" ht="37.5" outlineLevel="1">
      <c r="A19" s="39" t="s">
        <v>621</v>
      </c>
      <c r="B19" s="39" t="s">
        <v>622</v>
      </c>
      <c r="C19" s="39" t="s">
        <v>623</v>
      </c>
      <c r="D19" s="39" t="s">
        <v>624</v>
      </c>
      <c r="E19" s="39" t="s">
        <v>625</v>
      </c>
      <c r="F19" s="39" t="s">
        <v>38</v>
      </c>
      <c r="G19" s="142">
        <v>46249.708333333336</v>
      </c>
      <c r="H19" s="39" t="s">
        <v>94</v>
      </c>
      <c r="I19" s="39" t="s">
        <v>38</v>
      </c>
      <c r="J19" s="142">
        <v>46249.708333333336</v>
      </c>
      <c r="K19" s="39" t="s">
        <v>94</v>
      </c>
      <c r="L19" s="39" t="s">
        <v>38</v>
      </c>
      <c r="M19" s="142">
        <v>46253.708333333336</v>
      </c>
      <c r="N19" s="39" t="s">
        <v>94</v>
      </c>
      <c r="O19" s="39"/>
      <c r="P19" s="40"/>
      <c r="R19" s="41"/>
    </row>
    <row r="20" spans="1:18" ht="50" outlineLevel="1">
      <c r="A20" s="39" t="s">
        <v>626</v>
      </c>
      <c r="B20" s="39" t="s">
        <v>627</v>
      </c>
      <c r="C20" s="39" t="s">
        <v>628</v>
      </c>
      <c r="D20" s="39" t="s">
        <v>629</v>
      </c>
      <c r="E20" s="39" t="s">
        <v>630</v>
      </c>
      <c r="F20" s="39" t="s">
        <v>38</v>
      </c>
      <c r="G20" s="142">
        <v>46250.708333333336</v>
      </c>
      <c r="H20" s="39" t="s">
        <v>94</v>
      </c>
      <c r="I20" s="39" t="s">
        <v>38</v>
      </c>
      <c r="J20" s="142">
        <v>46249.708333333336</v>
      </c>
      <c r="K20" s="39" t="s">
        <v>94</v>
      </c>
      <c r="L20" s="39" t="s">
        <v>38</v>
      </c>
      <c r="M20" s="142">
        <v>46253.708333333336</v>
      </c>
      <c r="N20" s="39" t="s">
        <v>94</v>
      </c>
      <c r="O20" s="39"/>
      <c r="P20" s="40"/>
      <c r="R20" s="41"/>
    </row>
    <row r="21" spans="1:18" ht="37.5" outlineLevel="1">
      <c r="A21" s="39" t="s">
        <v>631</v>
      </c>
      <c r="B21" s="39" t="s">
        <v>632</v>
      </c>
      <c r="C21" s="39" t="s">
        <v>633</v>
      </c>
      <c r="D21" s="39" t="s">
        <v>634</v>
      </c>
      <c r="E21" s="39" t="s">
        <v>635</v>
      </c>
      <c r="F21" s="39" t="s">
        <v>38</v>
      </c>
      <c r="G21" s="142">
        <v>46250.708333333336</v>
      </c>
      <c r="H21" s="39" t="s">
        <v>94</v>
      </c>
      <c r="I21" s="39" t="s">
        <v>38</v>
      </c>
      <c r="J21" s="142">
        <v>46249.708333333336</v>
      </c>
      <c r="K21" s="39" t="s">
        <v>94</v>
      </c>
      <c r="L21" s="39" t="s">
        <v>38</v>
      </c>
      <c r="M21" s="142">
        <v>46253.708333333336</v>
      </c>
      <c r="N21" s="39" t="s">
        <v>94</v>
      </c>
      <c r="O21" s="39"/>
      <c r="P21" s="40"/>
      <c r="R21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0566DF5A-B9C8-4898-AFC2-74190D1C3C96}"/>
    <dataValidation type="list" allowBlank="1" showErrorMessage="1" sqref="G2:G3 G9 G22:G149 J2:J3 J9 J22:J149 M2:M3 M9 M22:M149 F12:F21 I12:I21 L12:L21" xr:uid="{3F8406BC-0E73-467D-9C42-0B52169C4218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E0F7-CD82-4178-AB7F-8D753B06FB96}">
  <sheetPr>
    <outlinePr summaryBelow="0" summaryRight="0"/>
  </sheetPr>
  <dimension ref="A1:S21"/>
  <sheetViews>
    <sheetView zoomScale="70" zoomScaleNormal="70" workbookViewId="0">
      <pane ySplit="10" topLeftCell="A11" activePane="bottomLeft" state="frozen"/>
      <selection pane="bottomLeft" activeCell="A18" sqref="A18:XFD18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6.632812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36</v>
      </c>
      <c r="B2" s="138" t="s">
        <v>636</v>
      </c>
      <c r="C2" s="138"/>
      <c r="D2" s="138"/>
      <c r="E2" s="139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38</v>
      </c>
    </row>
    <row r="3" spans="1:19" s="30" customFormat="1" ht="25">
      <c r="A3" s="89" t="s">
        <v>21</v>
      </c>
      <c r="B3" s="140" t="s">
        <v>637</v>
      </c>
      <c r="C3" s="140"/>
      <c r="D3" s="140"/>
      <c r="E3" s="141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39</v>
      </c>
    </row>
    <row r="4" spans="1:19" s="30" customFormat="1" ht="18" customHeight="1">
      <c r="A4" s="89" t="s">
        <v>46</v>
      </c>
      <c r="B4" s="140">
        <f>COUNTIF($A$12:$A$1000,"TC-*")</f>
        <v>8</v>
      </c>
      <c r="C4" s="140"/>
      <c r="D4" s="140"/>
      <c r="E4" s="141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37</v>
      </c>
    </row>
    <row r="5" spans="1:19" s="30" customFormat="1" ht="19.5" customHeight="1">
      <c r="A5" s="82" t="s">
        <v>40</v>
      </c>
      <c r="B5" s="80" t="s">
        <v>38</v>
      </c>
      <c r="C5" s="80" t="s">
        <v>39</v>
      </c>
      <c r="D5" s="80" t="s">
        <v>37</v>
      </c>
      <c r="E5" s="83" t="s">
        <v>23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23</v>
      </c>
    </row>
    <row r="6" spans="1:19" s="30" customFormat="1" ht="15" customHeight="1">
      <c r="A6" s="82" t="s">
        <v>41</v>
      </c>
      <c r="B6" s="81">
        <f>COUNTIF($F10:$F1000,B5)</f>
        <v>8</v>
      </c>
      <c r="C6" s="81">
        <f>COUNTIF($F10:$F1000,C5)</f>
        <v>0</v>
      </c>
      <c r="D6" s="81">
        <f>COUNTIF($F10:$F1000,D5)</f>
        <v>0</v>
      </c>
      <c r="E6" s="87">
        <f>COUNTIF($F10:$F1000,E5)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43</v>
      </c>
      <c r="B7" s="81">
        <f>COUNTIF($I10:$I998,B5)</f>
        <v>8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44</v>
      </c>
      <c r="B8" s="85">
        <f>COUNTIF($L10:$L998,B5)</f>
        <v>8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45</v>
      </c>
      <c r="B10" s="79" t="s">
        <v>24</v>
      </c>
      <c r="C10" s="79" t="s">
        <v>35</v>
      </c>
      <c r="D10" s="79" t="s">
        <v>34</v>
      </c>
      <c r="E10" s="79" t="s">
        <v>42</v>
      </c>
      <c r="F10" s="79" t="s">
        <v>41</v>
      </c>
      <c r="G10" s="79" t="s">
        <v>25</v>
      </c>
      <c r="H10" s="79" t="s">
        <v>22</v>
      </c>
      <c r="I10" s="79" t="s">
        <v>43</v>
      </c>
      <c r="J10" s="79" t="s">
        <v>25</v>
      </c>
      <c r="K10" s="79" t="s">
        <v>22</v>
      </c>
      <c r="L10" s="79" t="s">
        <v>44</v>
      </c>
      <c r="M10" s="79" t="s">
        <v>25</v>
      </c>
      <c r="N10" s="79" t="s">
        <v>22</v>
      </c>
      <c r="O10" s="79" t="s">
        <v>47</v>
      </c>
      <c r="P10" s="79" t="s">
        <v>26</v>
      </c>
      <c r="R10" s="34"/>
    </row>
    <row r="11" spans="1:19" s="30" customFormat="1" ht="15.75" customHeight="1">
      <c r="A11" s="75" t="s">
        <v>20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638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37.5" outlineLevel="1">
      <c r="A13" s="39" t="s">
        <v>639</v>
      </c>
      <c r="B13" s="39" t="s">
        <v>640</v>
      </c>
      <c r="C13" s="39" t="s">
        <v>641</v>
      </c>
      <c r="D13" s="42" t="s">
        <v>642</v>
      </c>
      <c r="E13" s="42" t="s">
        <v>643</v>
      </c>
      <c r="F13" s="39" t="s">
        <v>38</v>
      </c>
      <c r="G13" s="142">
        <v>46247.708333333336</v>
      </c>
      <c r="H13" s="39" t="s">
        <v>175</v>
      </c>
      <c r="I13" s="39" t="s">
        <v>38</v>
      </c>
      <c r="J13" s="142">
        <v>46249.708333333336</v>
      </c>
      <c r="K13" s="39" t="s">
        <v>94</v>
      </c>
      <c r="L13" s="39" t="s">
        <v>38</v>
      </c>
      <c r="M13" s="142">
        <v>46253.708333333336</v>
      </c>
      <c r="N13" s="39" t="s">
        <v>94</v>
      </c>
      <c r="O13" s="39"/>
      <c r="P13" s="40"/>
      <c r="R13" s="41"/>
    </row>
    <row r="14" spans="1:19" ht="25" outlineLevel="1">
      <c r="A14" s="39" t="s">
        <v>644</v>
      </c>
      <c r="B14" s="39" t="s">
        <v>645</v>
      </c>
      <c r="C14" s="39" t="s">
        <v>646</v>
      </c>
      <c r="D14" s="42" t="s">
        <v>647</v>
      </c>
      <c r="E14" s="42" t="s">
        <v>648</v>
      </c>
      <c r="F14" s="39" t="s">
        <v>38</v>
      </c>
      <c r="G14" s="142">
        <v>46247.708333333336</v>
      </c>
      <c r="H14" s="39" t="s">
        <v>175</v>
      </c>
      <c r="I14" s="39" t="s">
        <v>38</v>
      </c>
      <c r="J14" s="142">
        <v>46249.708333333336</v>
      </c>
      <c r="K14" s="39" t="s">
        <v>94</v>
      </c>
      <c r="L14" s="39" t="s">
        <v>38</v>
      </c>
      <c r="M14" s="142">
        <v>46253.708333333336</v>
      </c>
      <c r="N14" s="39" t="s">
        <v>94</v>
      </c>
      <c r="O14" s="39"/>
      <c r="P14" s="40"/>
      <c r="R14" s="41"/>
    </row>
    <row r="15" spans="1:19" ht="12.5" customHeight="1" outlineLevel="1">
      <c r="A15" s="39" t="s">
        <v>649</v>
      </c>
      <c r="B15" s="39" t="s">
        <v>650</v>
      </c>
      <c r="C15" s="39" t="s">
        <v>651</v>
      </c>
      <c r="D15" s="39" t="s">
        <v>652</v>
      </c>
      <c r="E15" s="39" t="s">
        <v>653</v>
      </c>
      <c r="F15" s="39" t="s">
        <v>38</v>
      </c>
      <c r="G15" s="142">
        <v>46248.708333333336</v>
      </c>
      <c r="H15" s="39" t="s">
        <v>175</v>
      </c>
      <c r="I15" s="39" t="s">
        <v>38</v>
      </c>
      <c r="J15" s="142">
        <v>46249.708333333336</v>
      </c>
      <c r="K15" s="39" t="s">
        <v>94</v>
      </c>
      <c r="L15" s="39" t="s">
        <v>38</v>
      </c>
      <c r="M15" s="142">
        <v>46253.708333333336</v>
      </c>
      <c r="N15" s="39" t="s">
        <v>94</v>
      </c>
      <c r="O15" s="39"/>
      <c r="P15" s="40"/>
      <c r="R15" s="41"/>
    </row>
    <row r="16" spans="1:19" ht="25" outlineLevel="1">
      <c r="A16" s="39" t="s">
        <v>654</v>
      </c>
      <c r="B16" s="39" t="s">
        <v>655</v>
      </c>
      <c r="C16" s="39" t="s">
        <v>656</v>
      </c>
      <c r="D16" s="39" t="s">
        <v>657</v>
      </c>
      <c r="E16" s="39" t="s">
        <v>658</v>
      </c>
      <c r="F16" s="39" t="s">
        <v>38</v>
      </c>
      <c r="G16" s="142">
        <v>46248.708333333336</v>
      </c>
      <c r="H16" s="39" t="s">
        <v>175</v>
      </c>
      <c r="I16" s="39" t="s">
        <v>38</v>
      </c>
      <c r="J16" s="142">
        <v>46249.708333333336</v>
      </c>
      <c r="K16" s="39" t="s">
        <v>94</v>
      </c>
      <c r="L16" s="39" t="s">
        <v>38</v>
      </c>
      <c r="M16" s="142">
        <v>46253.708333333336</v>
      </c>
      <c r="N16" s="39" t="s">
        <v>94</v>
      </c>
      <c r="O16" s="39"/>
      <c r="P16" s="40"/>
      <c r="R16" s="41"/>
    </row>
    <row r="17" spans="1:18" s="30" customFormat="1" ht="15.75" customHeight="1">
      <c r="A17" s="75" t="s">
        <v>659</v>
      </c>
      <c r="B17" s="35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R17" s="38"/>
    </row>
    <row r="18" spans="1:18" ht="12.5" customHeight="1" outlineLevel="1">
      <c r="A18" s="39" t="s">
        <v>660</v>
      </c>
      <c r="B18" s="39" t="s">
        <v>661</v>
      </c>
      <c r="C18" s="39" t="s">
        <v>662</v>
      </c>
      <c r="D18" s="39" t="s">
        <v>663</v>
      </c>
      <c r="E18" s="39" t="s">
        <v>664</v>
      </c>
      <c r="F18" s="39" t="s">
        <v>38</v>
      </c>
      <c r="G18" s="142">
        <v>46249.708333333336</v>
      </c>
      <c r="H18" s="39" t="s">
        <v>175</v>
      </c>
      <c r="I18" s="39" t="s">
        <v>38</v>
      </c>
      <c r="J18" s="142">
        <v>46249.708333333336</v>
      </c>
      <c r="K18" s="39" t="s">
        <v>94</v>
      </c>
      <c r="L18" s="39" t="s">
        <v>38</v>
      </c>
      <c r="M18" s="142">
        <v>46253.708333333336</v>
      </c>
      <c r="N18" s="39" t="s">
        <v>94</v>
      </c>
      <c r="O18" s="39"/>
      <c r="P18" s="40"/>
      <c r="R18" s="41"/>
    </row>
    <row r="19" spans="1:18" ht="25" outlineLevel="1">
      <c r="A19" s="39" t="s">
        <v>665</v>
      </c>
      <c r="B19" s="39" t="s">
        <v>666</v>
      </c>
      <c r="C19" s="39" t="s">
        <v>667</v>
      </c>
      <c r="D19" s="39" t="s">
        <v>668</v>
      </c>
      <c r="E19" s="39" t="s">
        <v>669</v>
      </c>
      <c r="F19" s="39" t="s">
        <v>38</v>
      </c>
      <c r="G19" s="142">
        <v>46249.708333333336</v>
      </c>
      <c r="H19" s="39" t="s">
        <v>175</v>
      </c>
      <c r="I19" s="39" t="s">
        <v>38</v>
      </c>
      <c r="J19" s="142">
        <v>46249.708333333336</v>
      </c>
      <c r="K19" s="39" t="s">
        <v>94</v>
      </c>
      <c r="L19" s="39" t="s">
        <v>38</v>
      </c>
      <c r="M19" s="142">
        <v>46253.708333333336</v>
      </c>
      <c r="N19" s="39" t="s">
        <v>94</v>
      </c>
      <c r="O19" s="39"/>
      <c r="P19" s="40"/>
      <c r="R19" s="41"/>
    </row>
    <row r="20" spans="1:18" ht="37.5" outlineLevel="1">
      <c r="A20" s="39" t="s">
        <v>670</v>
      </c>
      <c r="B20" s="39" t="s">
        <v>671</v>
      </c>
      <c r="C20" s="39" t="s">
        <v>672</v>
      </c>
      <c r="D20" s="39" t="s">
        <v>673</v>
      </c>
      <c r="E20" s="39" t="s">
        <v>674</v>
      </c>
      <c r="F20" s="39" t="s">
        <v>38</v>
      </c>
      <c r="G20" s="142">
        <v>46250.708333333336</v>
      </c>
      <c r="H20" s="39" t="s">
        <v>175</v>
      </c>
      <c r="I20" s="39" t="s">
        <v>38</v>
      </c>
      <c r="J20" s="142">
        <v>46249.708333333336</v>
      </c>
      <c r="K20" s="39" t="s">
        <v>94</v>
      </c>
      <c r="L20" s="39" t="s">
        <v>38</v>
      </c>
      <c r="M20" s="142">
        <v>46253.708333333336</v>
      </c>
      <c r="N20" s="39" t="s">
        <v>94</v>
      </c>
      <c r="O20" s="39"/>
      <c r="P20" s="40"/>
      <c r="R20" s="41"/>
    </row>
    <row r="21" spans="1:18" ht="62.5" outlineLevel="1">
      <c r="A21" s="39" t="s">
        <v>675</v>
      </c>
      <c r="B21" s="39" t="s">
        <v>676</v>
      </c>
      <c r="C21" s="39" t="s">
        <v>677</v>
      </c>
      <c r="D21" s="39" t="s">
        <v>678</v>
      </c>
      <c r="E21" s="39" t="s">
        <v>679</v>
      </c>
      <c r="F21" s="39" t="s">
        <v>38</v>
      </c>
      <c r="G21" s="142">
        <v>46250.708333333336</v>
      </c>
      <c r="H21" s="39" t="s">
        <v>175</v>
      </c>
      <c r="I21" s="39" t="s">
        <v>38</v>
      </c>
      <c r="J21" s="142">
        <v>46249.708333333336</v>
      </c>
      <c r="K21" s="39" t="s">
        <v>94</v>
      </c>
      <c r="L21" s="39" t="s">
        <v>38</v>
      </c>
      <c r="M21" s="142">
        <v>46253.708333333336</v>
      </c>
      <c r="N21" s="39" t="s">
        <v>94</v>
      </c>
      <c r="O21" s="39"/>
      <c r="P21" s="40"/>
      <c r="R21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819BF8AB-43A7-4F1E-B9CF-545C67B86D23}"/>
    <dataValidation type="list" allowBlank="1" showErrorMessage="1" sqref="G2:G3 G9 G22:G149 J2:J3 J9 J22:J149 M2:M3 M9 M22:M149 F12:F21 I12:I21 L12:L21" xr:uid="{DAE13783-C70B-46A9-BBBB-10A52B40BDC7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8324-4425-4795-9E77-285AA803E4D9}">
  <sheetPr>
    <outlinePr summaryBelow="0" summaryRight="0"/>
  </sheetPr>
  <dimension ref="A1:S20"/>
  <sheetViews>
    <sheetView zoomScale="70" zoomScaleNormal="70" workbookViewId="0">
      <pane ySplit="10" topLeftCell="A11" activePane="bottomLeft" state="frozen"/>
      <selection pane="bottomLeft" activeCell="A18" sqref="A18:XFD18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6.632812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36</v>
      </c>
      <c r="B2" s="138" t="s">
        <v>680</v>
      </c>
      <c r="C2" s="138"/>
      <c r="D2" s="138"/>
      <c r="E2" s="139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38</v>
      </c>
    </row>
    <row r="3" spans="1:19" s="30" customFormat="1" ht="25">
      <c r="A3" s="89" t="s">
        <v>21</v>
      </c>
      <c r="B3" s="140" t="s">
        <v>681</v>
      </c>
      <c r="C3" s="140"/>
      <c r="D3" s="140"/>
      <c r="E3" s="141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39</v>
      </c>
    </row>
    <row r="4" spans="1:19" s="30" customFormat="1" ht="18" customHeight="1">
      <c r="A4" s="89" t="s">
        <v>46</v>
      </c>
      <c r="B4" s="140">
        <f>COUNTIF($A$12:$A$1000,"TC-*")</f>
        <v>7</v>
      </c>
      <c r="C4" s="140"/>
      <c r="D4" s="140"/>
      <c r="E4" s="141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37</v>
      </c>
    </row>
    <row r="5" spans="1:19" s="30" customFormat="1" ht="19.5" customHeight="1">
      <c r="A5" s="82" t="s">
        <v>40</v>
      </c>
      <c r="B5" s="80" t="s">
        <v>38</v>
      </c>
      <c r="C5" s="80" t="s">
        <v>39</v>
      </c>
      <c r="D5" s="80" t="s">
        <v>37</v>
      </c>
      <c r="E5" s="83" t="s">
        <v>23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23</v>
      </c>
    </row>
    <row r="6" spans="1:19" s="30" customFormat="1" ht="15" customHeight="1">
      <c r="A6" s="82" t="s">
        <v>41</v>
      </c>
      <c r="B6" s="81">
        <f>COUNTIF($F10:$F999,B5)</f>
        <v>6</v>
      </c>
      <c r="C6" s="81">
        <f>COUNTIF($F10:$F999,C5)</f>
        <v>1</v>
      </c>
      <c r="D6" s="81">
        <f>COUNTIF($F10:$F999,D5)</f>
        <v>0</v>
      </c>
      <c r="E6" s="87">
        <f>COUNTIF($F10:$F999,E5)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43</v>
      </c>
      <c r="B7" s="81">
        <f>COUNTIF($I10:$I998,B5)</f>
        <v>7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44</v>
      </c>
      <c r="B8" s="85">
        <f>COUNTIF($L10:$L998,B5)</f>
        <v>7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45</v>
      </c>
      <c r="B10" s="79" t="s">
        <v>24</v>
      </c>
      <c r="C10" s="79" t="s">
        <v>35</v>
      </c>
      <c r="D10" s="79" t="s">
        <v>34</v>
      </c>
      <c r="E10" s="79" t="s">
        <v>42</v>
      </c>
      <c r="F10" s="79" t="s">
        <v>41</v>
      </c>
      <c r="G10" s="79" t="s">
        <v>25</v>
      </c>
      <c r="H10" s="79" t="s">
        <v>22</v>
      </c>
      <c r="I10" s="79" t="s">
        <v>43</v>
      </c>
      <c r="J10" s="79" t="s">
        <v>25</v>
      </c>
      <c r="K10" s="79" t="s">
        <v>22</v>
      </c>
      <c r="L10" s="79" t="s">
        <v>44</v>
      </c>
      <c r="M10" s="79" t="s">
        <v>25</v>
      </c>
      <c r="N10" s="79" t="s">
        <v>22</v>
      </c>
      <c r="O10" s="79" t="s">
        <v>47</v>
      </c>
      <c r="P10" s="79" t="s">
        <v>26</v>
      </c>
      <c r="R10" s="34"/>
    </row>
    <row r="11" spans="1:19" s="30" customFormat="1" ht="15.75" customHeight="1">
      <c r="A11" s="75" t="s">
        <v>20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682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25" outlineLevel="1">
      <c r="A13" s="39" t="s">
        <v>683</v>
      </c>
      <c r="B13" s="39" t="s">
        <v>684</v>
      </c>
      <c r="C13" s="39" t="s">
        <v>685</v>
      </c>
      <c r="D13" s="42" t="s">
        <v>686</v>
      </c>
      <c r="E13" s="42" t="s">
        <v>687</v>
      </c>
      <c r="F13" s="39" t="s">
        <v>38</v>
      </c>
      <c r="G13" s="142">
        <v>46247.708333333336</v>
      </c>
      <c r="H13" s="39" t="s">
        <v>175</v>
      </c>
      <c r="I13" s="39" t="s">
        <v>38</v>
      </c>
      <c r="J13" s="142">
        <v>46249.708333333336</v>
      </c>
      <c r="K13" s="39" t="s">
        <v>94</v>
      </c>
      <c r="L13" s="39" t="s">
        <v>38</v>
      </c>
      <c r="M13" s="142">
        <v>46253.708333333336</v>
      </c>
      <c r="N13" s="39" t="s">
        <v>94</v>
      </c>
      <c r="O13" s="39"/>
      <c r="P13" s="40"/>
      <c r="R13" s="41"/>
    </row>
    <row r="14" spans="1:19" ht="25" outlineLevel="1">
      <c r="A14" s="39" t="s">
        <v>688</v>
      </c>
      <c r="B14" s="39" t="s">
        <v>689</v>
      </c>
      <c r="C14" s="39" t="s">
        <v>690</v>
      </c>
      <c r="D14" s="42" t="s">
        <v>691</v>
      </c>
      <c r="E14" s="42" t="s">
        <v>692</v>
      </c>
      <c r="F14" s="39" t="s">
        <v>38</v>
      </c>
      <c r="G14" s="142">
        <v>46247.708333333336</v>
      </c>
      <c r="H14" s="39" t="s">
        <v>175</v>
      </c>
      <c r="I14" s="39" t="s">
        <v>38</v>
      </c>
      <c r="J14" s="142">
        <v>46249.708333333336</v>
      </c>
      <c r="K14" s="39" t="s">
        <v>94</v>
      </c>
      <c r="L14" s="39" t="s">
        <v>38</v>
      </c>
      <c r="M14" s="142">
        <v>46253.708333333336</v>
      </c>
      <c r="N14" s="39" t="s">
        <v>94</v>
      </c>
      <c r="O14" s="39"/>
      <c r="P14" s="40"/>
      <c r="R14" s="41"/>
    </row>
    <row r="15" spans="1:19" ht="12.5" customHeight="1" outlineLevel="1">
      <c r="A15" s="39" t="s">
        <v>693</v>
      </c>
      <c r="B15" s="39" t="s">
        <v>694</v>
      </c>
      <c r="C15" s="39" t="s">
        <v>695</v>
      </c>
      <c r="D15" s="39" t="s">
        <v>696</v>
      </c>
      <c r="E15" s="39" t="s">
        <v>697</v>
      </c>
      <c r="F15" s="39" t="s">
        <v>38</v>
      </c>
      <c r="G15" s="142">
        <v>46248.708333333336</v>
      </c>
      <c r="H15" s="39" t="s">
        <v>175</v>
      </c>
      <c r="I15" s="39" t="s">
        <v>38</v>
      </c>
      <c r="J15" s="142">
        <v>46249.708333333336</v>
      </c>
      <c r="K15" s="39" t="s">
        <v>94</v>
      </c>
      <c r="L15" s="39" t="s">
        <v>38</v>
      </c>
      <c r="M15" s="142">
        <v>46253.708333333336</v>
      </c>
      <c r="N15" s="39" t="s">
        <v>94</v>
      </c>
      <c r="O15" s="39"/>
      <c r="P15" s="40"/>
      <c r="R15" s="41"/>
    </row>
    <row r="16" spans="1:19" s="30" customFormat="1" ht="15.75" customHeight="1">
      <c r="A16" s="75" t="s">
        <v>698</v>
      </c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R16" s="38"/>
    </row>
    <row r="17" spans="1:18" ht="50" outlineLevel="1">
      <c r="A17" s="39" t="s">
        <v>699</v>
      </c>
      <c r="B17" s="39" t="s">
        <v>700</v>
      </c>
      <c r="C17" s="39" t="s">
        <v>701</v>
      </c>
      <c r="D17" s="39" t="s">
        <v>702</v>
      </c>
      <c r="E17" s="39" t="s">
        <v>703</v>
      </c>
      <c r="F17" s="39" t="s">
        <v>38</v>
      </c>
      <c r="G17" s="143">
        <v>46248.708333333336</v>
      </c>
      <c r="H17" s="43" t="s">
        <v>175</v>
      </c>
      <c r="I17" s="39" t="s">
        <v>38</v>
      </c>
      <c r="J17" s="143">
        <v>46249.708333333336</v>
      </c>
      <c r="K17" s="43" t="s">
        <v>94</v>
      </c>
      <c r="L17" s="39" t="s">
        <v>38</v>
      </c>
      <c r="M17" s="143">
        <v>46253.708333333336</v>
      </c>
      <c r="N17" s="43" t="s">
        <v>94</v>
      </c>
      <c r="O17" s="43"/>
      <c r="P17" s="43"/>
    </row>
    <row r="18" spans="1:18" ht="12.5" customHeight="1" outlineLevel="1">
      <c r="A18" s="39" t="s">
        <v>704</v>
      </c>
      <c r="B18" s="39" t="s">
        <v>705</v>
      </c>
      <c r="C18" s="39" t="s">
        <v>706</v>
      </c>
      <c r="D18" s="39" t="s">
        <v>707</v>
      </c>
      <c r="E18" s="39" t="s">
        <v>708</v>
      </c>
      <c r="F18" s="39" t="s">
        <v>39</v>
      </c>
      <c r="G18" s="142">
        <v>46249.708333333336</v>
      </c>
      <c r="H18" s="39" t="s">
        <v>175</v>
      </c>
      <c r="I18" s="39" t="s">
        <v>38</v>
      </c>
      <c r="J18" s="142">
        <v>46250.708333333336</v>
      </c>
      <c r="K18" s="39" t="s">
        <v>175</v>
      </c>
      <c r="L18" s="39" t="s">
        <v>38</v>
      </c>
      <c r="M18" s="142">
        <v>46253.708333333336</v>
      </c>
      <c r="N18" s="39" t="s">
        <v>94</v>
      </c>
      <c r="O18" s="39" t="s">
        <v>709</v>
      </c>
      <c r="P18" s="40" t="s">
        <v>710</v>
      </c>
      <c r="R18" s="41"/>
    </row>
    <row r="19" spans="1:18" ht="37.5" outlineLevel="1">
      <c r="A19" s="39" t="s">
        <v>711</v>
      </c>
      <c r="B19" s="39" t="s">
        <v>712</v>
      </c>
      <c r="C19" s="39" t="s">
        <v>713</v>
      </c>
      <c r="D19" s="39" t="s">
        <v>714</v>
      </c>
      <c r="E19" s="39" t="s">
        <v>715</v>
      </c>
      <c r="F19" s="39" t="s">
        <v>38</v>
      </c>
      <c r="G19" s="142">
        <v>46250.708333333336</v>
      </c>
      <c r="H19" s="39" t="s">
        <v>175</v>
      </c>
      <c r="I19" s="39" t="s">
        <v>38</v>
      </c>
      <c r="J19" s="142">
        <v>46249.708333333336</v>
      </c>
      <c r="K19" s="39" t="s">
        <v>94</v>
      </c>
      <c r="L19" s="39" t="s">
        <v>38</v>
      </c>
      <c r="M19" s="142">
        <v>46253.708333333336</v>
      </c>
      <c r="N19" s="39" t="s">
        <v>94</v>
      </c>
      <c r="O19" s="39"/>
      <c r="P19" s="40"/>
      <c r="R19" s="41"/>
    </row>
    <row r="20" spans="1:18" ht="37.5" outlineLevel="1">
      <c r="A20" s="39" t="s">
        <v>716</v>
      </c>
      <c r="B20" s="39" t="s">
        <v>717</v>
      </c>
      <c r="C20" s="39" t="s">
        <v>718</v>
      </c>
      <c r="D20" s="39" t="s">
        <v>719</v>
      </c>
      <c r="E20" s="39" t="s">
        <v>720</v>
      </c>
      <c r="F20" s="39" t="s">
        <v>38</v>
      </c>
      <c r="G20" s="142">
        <v>46251.708333333336</v>
      </c>
      <c r="H20" s="39" t="s">
        <v>175</v>
      </c>
      <c r="I20" s="39" t="s">
        <v>38</v>
      </c>
      <c r="J20" s="142">
        <v>46249.708333333336</v>
      </c>
      <c r="K20" s="39" t="s">
        <v>94</v>
      </c>
      <c r="L20" s="39" t="s">
        <v>38</v>
      </c>
      <c r="M20" s="142">
        <v>46253.708333333336</v>
      </c>
      <c r="N20" s="39" t="s">
        <v>94</v>
      </c>
      <c r="O20" s="39"/>
      <c r="P20" s="40"/>
      <c r="R20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5D5F7AA0-36F3-4746-AF17-23D5348FB4CF}"/>
    <dataValidation type="list" allowBlank="1" showErrorMessage="1" sqref="G2:G3 G9 G21:G148 J2:J3 J9 J21:J148 M2:M3 M9 M21:M148 I12:I20 L12:L20 F12:F20" xr:uid="{CF354158-F986-4723-943D-8FC2D348E800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A3C6-7D40-48EF-9B3D-7576D9104415}">
  <sheetPr>
    <outlinePr summaryBelow="0" summaryRight="0"/>
  </sheetPr>
  <dimension ref="A1:S20"/>
  <sheetViews>
    <sheetView tabSelected="1" zoomScale="70" zoomScaleNormal="70" workbookViewId="0">
      <pane ySplit="10" topLeftCell="A11" activePane="bottomLeft" state="frozen"/>
      <selection pane="bottomLeft" activeCell="A18" sqref="A18:XFD18"/>
    </sheetView>
  </sheetViews>
  <sheetFormatPr defaultColWidth="9" defaultRowHeight="12.5" outlineLevelRow="1" outlineLevelCol="1"/>
  <cols>
    <col min="1" max="1" width="17" style="1" customWidth="1"/>
    <col min="2" max="2" width="34.453125" style="1" customWidth="1"/>
    <col min="3" max="3" width="34.08984375" style="1" customWidth="1"/>
    <col min="4" max="4" width="34.6328125" style="1" customWidth="1"/>
    <col min="5" max="5" width="28.36328125" style="1" customWidth="1"/>
    <col min="6" max="6" width="9.36328125" style="1" customWidth="1" collapsed="1"/>
    <col min="7" max="7" width="10.6328125" style="1" hidden="1" customWidth="1" outlineLevel="1"/>
    <col min="8" max="8" width="7" style="1" hidden="1" customWidth="1" outlineLevel="1"/>
    <col min="9" max="9" width="9.36328125" style="1" customWidth="1" collapsed="1"/>
    <col min="10" max="10" width="10.6328125" style="1" hidden="1" customWidth="1" outlineLevel="1"/>
    <col min="11" max="11" width="7" style="1" hidden="1" customWidth="1" outlineLevel="1"/>
    <col min="12" max="12" width="9.36328125" style="1" customWidth="1" collapsed="1"/>
    <col min="13" max="13" width="10.6328125" style="1" hidden="1" customWidth="1" outlineLevel="1"/>
    <col min="14" max="14" width="7" style="1" hidden="1" customWidth="1" outlineLevel="1"/>
    <col min="15" max="15" width="16.6328125" style="1" customWidth="1"/>
    <col min="16" max="16" width="28.6328125" style="1" customWidth="1"/>
    <col min="17" max="17" width="10.08984375" style="1" customWidth="1"/>
    <col min="18" max="18" width="8.08984375" style="28" customWidth="1"/>
    <col min="19" max="19" width="7.6328125" style="1" hidden="1" customWidth="1"/>
    <col min="20" max="16384" width="9" style="1"/>
  </cols>
  <sheetData>
    <row r="1" spans="1:19" ht="13" thickBot="1"/>
    <row r="2" spans="1:19" s="30" customFormat="1" ht="15" customHeight="1">
      <c r="A2" s="88" t="s">
        <v>36</v>
      </c>
      <c r="B2" s="138" t="s">
        <v>721</v>
      </c>
      <c r="C2" s="138"/>
      <c r="D2" s="138"/>
      <c r="E2" s="139"/>
      <c r="F2" s="78"/>
      <c r="G2" s="72"/>
      <c r="H2" s="9"/>
      <c r="I2" s="78"/>
      <c r="J2" s="72"/>
      <c r="K2" s="9"/>
      <c r="L2" s="78"/>
      <c r="M2" s="72"/>
      <c r="N2" s="9"/>
      <c r="O2" s="9"/>
      <c r="P2" s="9"/>
      <c r="Q2" s="9"/>
      <c r="R2" s="29"/>
      <c r="S2" s="30" t="s">
        <v>38</v>
      </c>
    </row>
    <row r="3" spans="1:19" s="30" customFormat="1" ht="25">
      <c r="A3" s="89" t="s">
        <v>21</v>
      </c>
      <c r="B3" s="140" t="s">
        <v>722</v>
      </c>
      <c r="C3" s="140"/>
      <c r="D3" s="140"/>
      <c r="E3" s="141"/>
      <c r="F3" s="78"/>
      <c r="G3" s="72"/>
      <c r="H3" s="9"/>
      <c r="I3" s="78"/>
      <c r="J3" s="72"/>
      <c r="K3" s="9"/>
      <c r="L3" s="78"/>
      <c r="M3" s="72"/>
      <c r="N3" s="9"/>
      <c r="O3" s="9"/>
      <c r="P3" s="9"/>
      <c r="Q3" s="9"/>
      <c r="R3" s="29"/>
      <c r="S3" s="30" t="s">
        <v>39</v>
      </c>
    </row>
    <row r="4" spans="1:19" s="30" customFormat="1" ht="18" customHeight="1">
      <c r="A4" s="89" t="s">
        <v>46</v>
      </c>
      <c r="B4" s="140">
        <f>COUNTIF($A$12:$A$1000,"TC-*")</f>
        <v>7</v>
      </c>
      <c r="C4" s="140"/>
      <c r="D4" s="140"/>
      <c r="E4" s="141"/>
      <c r="F4" s="78"/>
      <c r="G4" s="72"/>
      <c r="H4" s="9"/>
      <c r="I4" s="78"/>
      <c r="J4" s="72"/>
      <c r="K4" s="9"/>
      <c r="L4" s="78"/>
      <c r="M4" s="72"/>
      <c r="N4" s="9"/>
      <c r="O4" s="9"/>
      <c r="P4" s="9"/>
      <c r="Q4" s="9"/>
      <c r="R4" s="29"/>
      <c r="S4" s="30" t="s">
        <v>37</v>
      </c>
    </row>
    <row r="5" spans="1:19" s="30" customFormat="1" ht="19.5" customHeight="1">
      <c r="A5" s="82" t="s">
        <v>40</v>
      </c>
      <c r="B5" s="80" t="s">
        <v>38</v>
      </c>
      <c r="C5" s="80" t="s">
        <v>39</v>
      </c>
      <c r="D5" s="80" t="s">
        <v>37</v>
      </c>
      <c r="E5" s="83" t="s">
        <v>23</v>
      </c>
      <c r="F5" s="73"/>
      <c r="G5" s="73"/>
      <c r="H5" s="31"/>
      <c r="I5" s="73"/>
      <c r="J5" s="73"/>
      <c r="K5" s="31"/>
      <c r="L5" s="73"/>
      <c r="M5" s="73"/>
      <c r="N5" s="31"/>
      <c r="O5" s="31"/>
      <c r="P5" s="31"/>
      <c r="Q5" s="31"/>
      <c r="R5" s="32"/>
      <c r="S5" s="30" t="s">
        <v>23</v>
      </c>
    </row>
    <row r="6" spans="1:19" s="30" customFormat="1" ht="15" customHeight="1">
      <c r="A6" s="82" t="s">
        <v>41</v>
      </c>
      <c r="B6" s="81">
        <f>COUNTIF($F10:$F999,B5)</f>
        <v>6</v>
      </c>
      <c r="C6" s="81">
        <f>COUNTIF($F10:$F999,C5)</f>
        <v>1</v>
      </c>
      <c r="D6" s="81">
        <f>COUNTIF($F10:$F999,D5)</f>
        <v>0</v>
      </c>
      <c r="E6" s="87">
        <f>COUNTIF($F10:$F999,E5)</f>
        <v>0</v>
      </c>
      <c r="F6" s="74"/>
      <c r="G6" s="74"/>
      <c r="H6" s="31"/>
      <c r="I6" s="74"/>
      <c r="J6" s="74"/>
      <c r="K6" s="31"/>
      <c r="L6" s="74"/>
      <c r="M6" s="74"/>
      <c r="N6" s="31"/>
      <c r="O6" s="31"/>
      <c r="P6" s="31"/>
      <c r="Q6" s="31"/>
      <c r="R6" s="32"/>
    </row>
    <row r="7" spans="1:19" s="30" customFormat="1" ht="15" customHeight="1">
      <c r="A7" s="82" t="s">
        <v>43</v>
      </c>
      <c r="B7" s="81">
        <f>COUNTIF($I10:$I998,B5)</f>
        <v>7</v>
      </c>
      <c r="C7" s="81">
        <f>COUNTIF($I10:$I998,C5)</f>
        <v>0</v>
      </c>
      <c r="D7" s="81">
        <f>COUNTIF($I10:$I998,D5)</f>
        <v>0</v>
      </c>
      <c r="E7" s="87">
        <f>COUNTIF($I10:$I998,E5)</f>
        <v>0</v>
      </c>
      <c r="F7" s="74"/>
      <c r="G7" s="74"/>
      <c r="H7" s="31"/>
      <c r="I7" s="74"/>
      <c r="J7" s="74"/>
      <c r="K7" s="31"/>
      <c r="L7" s="74"/>
      <c r="M7" s="74"/>
      <c r="N7" s="31"/>
      <c r="O7" s="31"/>
      <c r="P7" s="31"/>
      <c r="Q7" s="31"/>
      <c r="R7" s="32"/>
    </row>
    <row r="8" spans="1:19" s="30" customFormat="1" ht="15" customHeight="1" thickBot="1">
      <c r="A8" s="84" t="s">
        <v>44</v>
      </c>
      <c r="B8" s="85">
        <f>COUNTIF($L10:$L998,B5)</f>
        <v>7</v>
      </c>
      <c r="C8" s="85">
        <f>COUNTIF($L10:$L998,C5)</f>
        <v>0</v>
      </c>
      <c r="D8" s="85">
        <f>COUNTIF($L10:$L998,D5)</f>
        <v>0</v>
      </c>
      <c r="E8" s="86">
        <f>COUNTIF($L10:$L998,E5)</f>
        <v>0</v>
      </c>
      <c r="F8" s="74"/>
      <c r="G8" s="74"/>
      <c r="H8" s="31"/>
      <c r="I8" s="74"/>
      <c r="J8" s="74"/>
      <c r="K8" s="31"/>
      <c r="L8" s="74"/>
      <c r="M8" s="74"/>
      <c r="N8" s="31"/>
      <c r="O8" s="31"/>
      <c r="P8" s="31"/>
      <c r="Q8" s="31"/>
      <c r="R8" s="32"/>
    </row>
    <row r="9" spans="1:19" s="30" customFormat="1" ht="15" customHeight="1">
      <c r="A9" s="31"/>
      <c r="B9" s="31"/>
      <c r="C9" s="31"/>
      <c r="D9" s="31"/>
      <c r="E9" s="31"/>
      <c r="F9" s="33"/>
      <c r="G9" s="31"/>
      <c r="H9" s="31"/>
      <c r="I9" s="33"/>
      <c r="J9" s="31"/>
      <c r="K9" s="31"/>
      <c r="L9" s="33"/>
      <c r="M9" s="31"/>
      <c r="N9" s="31"/>
      <c r="O9" s="31"/>
      <c r="P9" s="31"/>
      <c r="Q9" s="31"/>
      <c r="R9" s="32"/>
    </row>
    <row r="10" spans="1:19" s="30" customFormat="1" ht="25.5" customHeight="1">
      <c r="A10" s="79" t="s">
        <v>45</v>
      </c>
      <c r="B10" s="79" t="s">
        <v>24</v>
      </c>
      <c r="C10" s="79" t="s">
        <v>35</v>
      </c>
      <c r="D10" s="79" t="s">
        <v>34</v>
      </c>
      <c r="E10" s="79" t="s">
        <v>42</v>
      </c>
      <c r="F10" s="79" t="s">
        <v>41</v>
      </c>
      <c r="G10" s="79" t="s">
        <v>25</v>
      </c>
      <c r="H10" s="79" t="s">
        <v>22</v>
      </c>
      <c r="I10" s="79" t="s">
        <v>43</v>
      </c>
      <c r="J10" s="79" t="s">
        <v>25</v>
      </c>
      <c r="K10" s="79" t="s">
        <v>22</v>
      </c>
      <c r="L10" s="79" t="s">
        <v>44</v>
      </c>
      <c r="M10" s="79" t="s">
        <v>25</v>
      </c>
      <c r="N10" s="79" t="s">
        <v>22</v>
      </c>
      <c r="O10" s="79" t="s">
        <v>47</v>
      </c>
      <c r="P10" s="79" t="s">
        <v>26</v>
      </c>
      <c r="R10" s="34"/>
    </row>
    <row r="11" spans="1:19" s="30" customFormat="1" ht="15.75" customHeight="1">
      <c r="A11" s="75" t="s">
        <v>20</v>
      </c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7"/>
      <c r="R11" s="38"/>
    </row>
    <row r="12" spans="1:19" s="30" customFormat="1" ht="15.75" customHeight="1">
      <c r="A12" s="75" t="s">
        <v>723</v>
      </c>
      <c r="B12" s="35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7"/>
      <c r="R12" s="38"/>
    </row>
    <row r="13" spans="1:19" ht="50" outlineLevel="1">
      <c r="A13" s="39" t="s">
        <v>724</v>
      </c>
      <c r="B13" s="39" t="s">
        <v>725</v>
      </c>
      <c r="C13" s="39" t="s">
        <v>726</v>
      </c>
      <c r="D13" s="42" t="s">
        <v>727</v>
      </c>
      <c r="E13" s="42" t="s">
        <v>728</v>
      </c>
      <c r="F13" s="39" t="s">
        <v>38</v>
      </c>
      <c r="G13" s="142">
        <v>46246.708333333336</v>
      </c>
      <c r="H13" s="39" t="s">
        <v>94</v>
      </c>
      <c r="I13" s="39" t="s">
        <v>38</v>
      </c>
      <c r="J13" s="142">
        <v>46249.708333333336</v>
      </c>
      <c r="K13" s="39" t="s">
        <v>94</v>
      </c>
      <c r="L13" s="39" t="s">
        <v>38</v>
      </c>
      <c r="M13" s="142">
        <v>46253.708333333336</v>
      </c>
      <c r="N13" s="39" t="s">
        <v>94</v>
      </c>
      <c r="O13" s="39"/>
      <c r="P13" s="40"/>
      <c r="R13" s="41"/>
    </row>
    <row r="14" spans="1:19" ht="50" outlineLevel="1">
      <c r="A14" s="39" t="s">
        <v>729</v>
      </c>
      <c r="B14" s="39" t="s">
        <v>730</v>
      </c>
      <c r="C14" s="39" t="s">
        <v>731</v>
      </c>
      <c r="D14" s="42" t="s">
        <v>732</v>
      </c>
      <c r="E14" s="42" t="s">
        <v>733</v>
      </c>
      <c r="F14" s="39" t="s">
        <v>38</v>
      </c>
      <c r="G14" s="142">
        <v>46246.708333333336</v>
      </c>
      <c r="H14" s="39" t="s">
        <v>94</v>
      </c>
      <c r="I14" s="39" t="s">
        <v>38</v>
      </c>
      <c r="J14" s="142">
        <v>46249.708333333336</v>
      </c>
      <c r="K14" s="39" t="s">
        <v>94</v>
      </c>
      <c r="L14" s="39" t="s">
        <v>38</v>
      </c>
      <c r="M14" s="142">
        <v>46253.708333333336</v>
      </c>
      <c r="N14" s="39" t="s">
        <v>94</v>
      </c>
      <c r="O14" s="39"/>
      <c r="P14" s="40"/>
      <c r="R14" s="41"/>
    </row>
    <row r="15" spans="1:19" ht="12.5" customHeight="1" outlineLevel="1">
      <c r="A15" s="39" t="s">
        <v>734</v>
      </c>
      <c r="B15" s="39" t="s">
        <v>735</v>
      </c>
      <c r="C15" s="39" t="s">
        <v>736</v>
      </c>
      <c r="D15" s="39" t="s">
        <v>737</v>
      </c>
      <c r="E15" s="39" t="s">
        <v>738</v>
      </c>
      <c r="F15" s="39" t="s">
        <v>38</v>
      </c>
      <c r="G15" s="142">
        <v>46247.708333333336</v>
      </c>
      <c r="H15" s="39" t="s">
        <v>94</v>
      </c>
      <c r="I15" s="39" t="s">
        <v>38</v>
      </c>
      <c r="J15" s="142">
        <v>46249.708333333336</v>
      </c>
      <c r="K15" s="39" t="s">
        <v>94</v>
      </c>
      <c r="L15" s="39" t="s">
        <v>38</v>
      </c>
      <c r="M15" s="142">
        <v>46253.708333333336</v>
      </c>
      <c r="N15" s="39" t="s">
        <v>94</v>
      </c>
      <c r="O15" s="39"/>
      <c r="P15" s="40"/>
      <c r="R15" s="41"/>
    </row>
    <row r="16" spans="1:19" s="30" customFormat="1" ht="15.75" customHeight="1">
      <c r="A16" s="75" t="s">
        <v>739</v>
      </c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R16" s="38"/>
    </row>
    <row r="17" spans="1:18" ht="25" outlineLevel="1">
      <c r="A17" s="39" t="s">
        <v>740</v>
      </c>
      <c r="B17" s="39" t="s">
        <v>741</v>
      </c>
      <c r="C17" s="39" t="s">
        <v>742</v>
      </c>
      <c r="D17" s="39" t="s">
        <v>743</v>
      </c>
      <c r="E17" s="39" t="s">
        <v>744</v>
      </c>
      <c r="F17" s="39" t="s">
        <v>38</v>
      </c>
      <c r="G17" s="143">
        <v>46247.708333333336</v>
      </c>
      <c r="H17" s="43" t="s">
        <v>94</v>
      </c>
      <c r="I17" s="39" t="s">
        <v>38</v>
      </c>
      <c r="J17" s="143">
        <v>46249.708333333336</v>
      </c>
      <c r="K17" s="43" t="s">
        <v>94</v>
      </c>
      <c r="L17" s="39" t="s">
        <v>38</v>
      </c>
      <c r="M17" s="143">
        <v>46253.708333333336</v>
      </c>
      <c r="N17" s="43" t="s">
        <v>94</v>
      </c>
      <c r="O17" s="43"/>
      <c r="P17" s="43"/>
    </row>
    <row r="18" spans="1:18" ht="12.5" customHeight="1" outlineLevel="1">
      <c r="A18" s="39" t="s">
        <v>745</v>
      </c>
      <c r="B18" s="39" t="s">
        <v>746</v>
      </c>
      <c r="C18" s="39" t="s">
        <v>747</v>
      </c>
      <c r="D18" s="39" t="s">
        <v>748</v>
      </c>
      <c r="E18" s="39" t="s">
        <v>749</v>
      </c>
      <c r="F18" s="39" t="s">
        <v>38</v>
      </c>
      <c r="G18" s="142">
        <v>46248.708333333336</v>
      </c>
      <c r="H18" s="39" t="s">
        <v>94</v>
      </c>
      <c r="I18" s="39" t="s">
        <v>38</v>
      </c>
      <c r="J18" s="142">
        <v>46249.708333333336</v>
      </c>
      <c r="K18" s="39" t="s">
        <v>94</v>
      </c>
      <c r="L18" s="39" t="s">
        <v>38</v>
      </c>
      <c r="M18" s="142">
        <v>46253.708333333336</v>
      </c>
      <c r="N18" s="39" t="s">
        <v>94</v>
      </c>
      <c r="O18" s="39"/>
      <c r="P18" s="40"/>
      <c r="R18" s="41"/>
    </row>
    <row r="19" spans="1:18" ht="37.5" outlineLevel="1">
      <c r="A19" s="39" t="s">
        <v>750</v>
      </c>
      <c r="B19" s="39" t="s">
        <v>751</v>
      </c>
      <c r="C19" s="39" t="s">
        <v>752</v>
      </c>
      <c r="D19" s="39" t="s">
        <v>753</v>
      </c>
      <c r="E19" s="39" t="s">
        <v>754</v>
      </c>
      <c r="F19" s="39" t="s">
        <v>38</v>
      </c>
      <c r="G19" s="142">
        <v>46249.708333333336</v>
      </c>
      <c r="H19" s="39" t="s">
        <v>94</v>
      </c>
      <c r="I19" s="39" t="s">
        <v>38</v>
      </c>
      <c r="J19" s="142">
        <v>46249.708333333336</v>
      </c>
      <c r="K19" s="39" t="s">
        <v>94</v>
      </c>
      <c r="L19" s="39" t="s">
        <v>38</v>
      </c>
      <c r="M19" s="142">
        <v>46253.708333333336</v>
      </c>
      <c r="N19" s="39" t="s">
        <v>94</v>
      </c>
      <c r="O19" s="39"/>
      <c r="P19" s="40"/>
      <c r="R19" s="41"/>
    </row>
    <row r="20" spans="1:18" ht="62.5" outlineLevel="1">
      <c r="A20" s="39" t="s">
        <v>755</v>
      </c>
      <c r="B20" s="39" t="s">
        <v>756</v>
      </c>
      <c r="C20" s="39" t="s">
        <v>757</v>
      </c>
      <c r="D20" s="39" t="s">
        <v>758</v>
      </c>
      <c r="E20" s="39" t="s">
        <v>759</v>
      </c>
      <c r="F20" s="39" t="s">
        <v>39</v>
      </c>
      <c r="G20" s="142">
        <v>46249.708333333336</v>
      </c>
      <c r="H20" s="39" t="s">
        <v>94</v>
      </c>
      <c r="I20" s="39" t="s">
        <v>38</v>
      </c>
      <c r="J20" s="142">
        <v>46250.708333333336</v>
      </c>
      <c r="K20" s="39" t="s">
        <v>94</v>
      </c>
      <c r="L20" s="39" t="s">
        <v>38</v>
      </c>
      <c r="M20" s="142">
        <v>46253.708333333336</v>
      </c>
      <c r="N20" s="39" t="s">
        <v>94</v>
      </c>
      <c r="O20" s="39" t="s">
        <v>760</v>
      </c>
      <c r="P20" s="40" t="s">
        <v>761</v>
      </c>
      <c r="R20" s="41"/>
    </row>
  </sheetData>
  <mergeCells count="3">
    <mergeCell ref="B2:E2"/>
    <mergeCell ref="B3:E3"/>
    <mergeCell ref="B4:E4"/>
  </mergeCells>
  <dataValidations count="2">
    <dataValidation allowBlank="1" showErrorMessage="1" sqref="F10 I10 L10" xr:uid="{6F9E833C-D3B6-4497-AF87-4D180C73EB58}"/>
    <dataValidation type="list" allowBlank="1" showErrorMessage="1" sqref="G2:G3 G9 G21:G148 J2:J3 J9 J21:J148 M2:M3 M9 M21:M148 I12:I20 L12:L20 F12:F20" xr:uid="{45524690-B389-456A-A8E8-533D9E132EA8}">
      <formula1>$S$2:$S$5</formula1>
      <formula2>0</formula2>
    </dataValidation>
  </dataValidations>
  <pageMargins left="0.74791666666666667" right="0.25" top="0.75" bottom="0.98402777777777772" header="0.5" footer="0.5"/>
  <pageSetup paperSize="9" firstPageNumber="0" orientation="landscape" horizontalDpi="300" verticalDpi="300" r:id="rId1"/>
  <headerFooter alignWithMargins="0">
    <oddHeader>&amp;LFacilitate_Test Case\Company&amp;Rv1.0</oddHeader>
    <oddFooter>&amp;L&amp;"Tahoma,Regular"&amp;8 02ae-BM/PM/HDCV/FSOFT v2/0&amp;C&amp;"Tahoma,Regular"&amp;10Internal use&amp;R&amp;"Tahoma,Regular"&amp;8&amp;P/&amp;N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CA979-4522-40CE-BB00-8A9AA8803D97}">
  <dimension ref="A1:J20"/>
  <sheetViews>
    <sheetView zoomScale="70" zoomScaleNormal="70" workbookViewId="0">
      <pane ySplit="1" topLeftCell="A2" activePane="bottomLeft" state="frozen"/>
      <selection pane="bottomLeft" activeCell="F8" sqref="F8"/>
    </sheetView>
  </sheetViews>
  <sheetFormatPr defaultColWidth="9.08984375" defaultRowHeight="14.5"/>
  <cols>
    <col min="1" max="1" width="14" style="121" customWidth="1"/>
    <col min="2" max="2" width="28" style="121" customWidth="1"/>
    <col min="3" max="4" width="18" style="121" customWidth="1"/>
    <col min="5" max="5" width="26.6328125" style="121" customWidth="1"/>
    <col min="6" max="6" width="26" style="121" customWidth="1"/>
    <col min="7" max="7" width="32" style="121" customWidth="1"/>
    <col min="8" max="8" width="10" style="121" customWidth="1"/>
    <col min="9" max="9" width="12" style="121" customWidth="1"/>
    <col min="10" max="10" width="22" style="121" customWidth="1"/>
    <col min="11" max="16384" width="9.08984375" style="121"/>
  </cols>
  <sheetData>
    <row r="1" spans="1:10" ht="26">
      <c r="A1" s="124" t="s">
        <v>45</v>
      </c>
      <c r="B1" s="124" t="s">
        <v>50</v>
      </c>
      <c r="C1" s="124" t="s">
        <v>51</v>
      </c>
      <c r="D1" s="124" t="s">
        <v>52</v>
      </c>
      <c r="E1" s="124" t="s">
        <v>53</v>
      </c>
      <c r="F1" s="124" t="s">
        <v>54</v>
      </c>
      <c r="G1" s="124" t="s">
        <v>55</v>
      </c>
      <c r="H1" s="124" t="s">
        <v>56</v>
      </c>
      <c r="I1" s="124" t="s">
        <v>57</v>
      </c>
      <c r="J1" s="124" t="s">
        <v>27</v>
      </c>
    </row>
    <row r="2" spans="1:10" ht="33" customHeight="1">
      <c r="A2" s="125" t="s">
        <v>58</v>
      </c>
      <c r="B2" s="125" t="s">
        <v>59</v>
      </c>
      <c r="C2" s="125" t="s">
        <v>60</v>
      </c>
      <c r="D2" s="125" t="s">
        <v>61</v>
      </c>
      <c r="E2" s="125" t="s">
        <v>62</v>
      </c>
      <c r="F2" s="125" t="s">
        <v>63</v>
      </c>
      <c r="G2" s="125" t="s">
        <v>64</v>
      </c>
      <c r="H2" s="125" t="s">
        <v>65</v>
      </c>
      <c r="I2" s="125"/>
      <c r="J2" s="125"/>
    </row>
    <row r="3" spans="1:10" ht="25">
      <c r="A3" s="125" t="s">
        <v>66</v>
      </c>
      <c r="B3" s="125" t="s">
        <v>67</v>
      </c>
      <c r="C3" s="125" t="s">
        <v>68</v>
      </c>
      <c r="D3" s="125" t="s">
        <v>61</v>
      </c>
      <c r="E3" s="125" t="s">
        <v>69</v>
      </c>
      <c r="F3" s="125" t="s">
        <v>70</v>
      </c>
      <c r="G3" s="125" t="s">
        <v>71</v>
      </c>
      <c r="H3" s="125" t="s">
        <v>65</v>
      </c>
      <c r="I3" s="125"/>
      <c r="J3" s="125"/>
    </row>
    <row r="4" spans="1:10" ht="25">
      <c r="A4" s="125" t="s">
        <v>72</v>
      </c>
      <c r="B4" s="125" t="s">
        <v>73</v>
      </c>
      <c r="C4" s="125" t="s">
        <v>74</v>
      </c>
      <c r="D4" s="125" t="s">
        <v>75</v>
      </c>
      <c r="E4" s="125" t="s">
        <v>76</v>
      </c>
      <c r="F4" s="125" t="s">
        <v>77</v>
      </c>
      <c r="G4" s="125" t="s">
        <v>78</v>
      </c>
      <c r="H4" s="125" t="s">
        <v>65</v>
      </c>
      <c r="I4" s="125"/>
      <c r="J4" s="125"/>
    </row>
    <row r="5" spans="1:10" ht="37.5">
      <c r="A5" s="125" t="s">
        <v>79</v>
      </c>
      <c r="B5" s="125" t="s">
        <v>80</v>
      </c>
      <c r="C5" s="125" t="s">
        <v>81</v>
      </c>
      <c r="D5" s="125" t="s">
        <v>82</v>
      </c>
      <c r="E5" s="125" t="s">
        <v>83</v>
      </c>
      <c r="F5" s="125" t="s">
        <v>84</v>
      </c>
      <c r="G5" s="125" t="s">
        <v>85</v>
      </c>
      <c r="H5" s="125" t="s">
        <v>65</v>
      </c>
      <c r="I5" s="125"/>
      <c r="J5" s="125"/>
    </row>
    <row r="6" spans="1:10">
      <c r="A6" s="123"/>
      <c r="B6" s="123"/>
      <c r="C6" s="123"/>
      <c r="D6" s="123"/>
      <c r="E6" s="123"/>
      <c r="F6" s="123"/>
      <c r="G6" s="123"/>
      <c r="H6" s="123"/>
      <c r="I6" s="123"/>
      <c r="J6" s="123"/>
    </row>
    <row r="7" spans="1:10">
      <c r="A7" s="122"/>
      <c r="B7" s="122"/>
      <c r="C7" s="122"/>
      <c r="D7" s="122"/>
      <c r="E7" s="122"/>
      <c r="F7" s="122"/>
      <c r="G7" s="122"/>
      <c r="H7" s="122"/>
      <c r="I7" s="122"/>
      <c r="J7" s="122"/>
    </row>
    <row r="8" spans="1:10">
      <c r="A8" s="122"/>
      <c r="B8" s="122"/>
      <c r="C8" s="122"/>
      <c r="D8" s="122"/>
      <c r="E8" s="122"/>
      <c r="F8" s="122"/>
      <c r="G8" s="122"/>
      <c r="H8" s="122"/>
      <c r="I8" s="122"/>
      <c r="J8" s="122"/>
    </row>
    <row r="9" spans="1:10">
      <c r="A9" s="122"/>
      <c r="B9" s="122"/>
      <c r="C9" s="122"/>
      <c r="D9" s="122"/>
      <c r="E9" s="122"/>
      <c r="F9" s="122"/>
      <c r="G9" s="122"/>
      <c r="H9" s="122"/>
      <c r="I9" s="122"/>
      <c r="J9" s="122"/>
    </row>
    <row r="10" spans="1:10">
      <c r="A10" s="122"/>
      <c r="B10" s="122"/>
      <c r="C10" s="122"/>
      <c r="D10" s="122"/>
      <c r="E10" s="122"/>
      <c r="F10" s="122"/>
      <c r="G10" s="122"/>
      <c r="H10" s="122"/>
      <c r="I10" s="122"/>
      <c r="J10" s="122"/>
    </row>
    <row r="11" spans="1:10">
      <c r="A11" s="122"/>
      <c r="B11" s="122"/>
      <c r="C11" s="122"/>
      <c r="D11" s="122"/>
      <c r="E11" s="122"/>
      <c r="F11" s="122"/>
      <c r="G11" s="122"/>
      <c r="H11" s="122"/>
      <c r="I11" s="122"/>
      <c r="J11" s="122"/>
    </row>
    <row r="12" spans="1:10">
      <c r="A12" s="122"/>
      <c r="B12" s="122"/>
      <c r="C12" s="122"/>
      <c r="D12" s="122"/>
      <c r="E12" s="122"/>
      <c r="F12" s="122"/>
      <c r="G12" s="122"/>
      <c r="H12" s="122"/>
      <c r="I12" s="122"/>
      <c r="J12" s="122"/>
    </row>
    <row r="13" spans="1:10">
      <c r="A13" s="122"/>
      <c r="B13" s="122"/>
      <c r="C13" s="122"/>
      <c r="D13" s="122"/>
      <c r="E13" s="122"/>
      <c r="F13" s="122"/>
      <c r="G13" s="122"/>
      <c r="H13" s="122"/>
      <c r="I13" s="122"/>
      <c r="J13" s="122"/>
    </row>
    <row r="14" spans="1:10">
      <c r="A14" s="122"/>
      <c r="B14" s="122"/>
      <c r="C14" s="122"/>
      <c r="D14" s="122"/>
      <c r="E14" s="122"/>
      <c r="F14" s="122"/>
      <c r="G14" s="122"/>
      <c r="H14" s="122"/>
      <c r="I14" s="122"/>
      <c r="J14" s="122"/>
    </row>
    <row r="15" spans="1:10">
      <c r="A15" s="122"/>
      <c r="B15" s="122"/>
      <c r="C15" s="122"/>
      <c r="D15" s="122"/>
      <c r="E15" s="122"/>
      <c r="F15" s="122"/>
      <c r="G15" s="122"/>
      <c r="H15" s="122"/>
      <c r="I15" s="122"/>
      <c r="J15" s="122"/>
    </row>
    <row r="16" spans="1:10">
      <c r="A16" s="122"/>
      <c r="B16" s="122"/>
      <c r="C16" s="122"/>
      <c r="D16" s="122"/>
      <c r="E16" s="122"/>
      <c r="F16" s="122"/>
      <c r="G16" s="122"/>
      <c r="H16" s="122"/>
      <c r="I16" s="122"/>
      <c r="J16" s="122"/>
    </row>
    <row r="17" spans="1:10">
      <c r="A17" s="122"/>
      <c r="B17" s="122"/>
      <c r="C17" s="122"/>
      <c r="D17" s="122"/>
      <c r="E17" s="122"/>
      <c r="F17" s="122"/>
      <c r="G17" s="122"/>
      <c r="H17" s="122"/>
      <c r="I17" s="122"/>
      <c r="J17" s="122"/>
    </row>
    <row r="18" spans="1:10">
      <c r="A18" s="122"/>
      <c r="B18" s="122"/>
      <c r="C18" s="122"/>
      <c r="D18" s="122"/>
      <c r="E18" s="122"/>
      <c r="F18" s="122"/>
      <c r="G18" s="122"/>
      <c r="H18" s="122"/>
      <c r="I18" s="122"/>
      <c r="J18" s="122"/>
    </row>
    <row r="19" spans="1:10">
      <c r="A19" s="122"/>
      <c r="B19" s="122"/>
      <c r="C19" s="122"/>
      <c r="D19" s="122"/>
      <c r="E19" s="122"/>
      <c r="F19" s="122"/>
      <c r="G19" s="122"/>
      <c r="H19" s="122"/>
      <c r="I19" s="122"/>
      <c r="J19" s="122"/>
    </row>
    <row r="20" spans="1:10">
      <c r="A20" s="122"/>
      <c r="B20" s="122"/>
      <c r="C20" s="122"/>
      <c r="D20" s="122"/>
      <c r="E20" s="122"/>
      <c r="F20" s="122"/>
      <c r="G20" s="122"/>
      <c r="H20" s="122"/>
      <c r="I20" s="122"/>
      <c r="J20" s="122"/>
    </row>
  </sheetData>
  <dataValidations count="2">
    <dataValidation type="list" allowBlank="1" sqref="H2:H300" xr:uid="{ED1C6EC7-B3EA-4836-8453-9C83BC0E5AC4}">
      <formula1>"Not Run,Pass,Fail,Blocked,Skip"</formula1>
    </dataValidation>
    <dataValidation type="list" allowBlank="1" sqref="D2:D300" xr:uid="{1ACE628A-050A-4F6B-9CF4-CBB12AB35C70}">
      <formula1>"Equivalence Partitioning (EP),Boundary Value Analysis (BVA),Decision Table Testing,State Transition Testing,Use Case Testing,Error Guessing,Branch / Condition Coverage,Input Domain Partitioning"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</vt:lpstr>
      <vt:lpstr>Test Cases</vt:lpstr>
      <vt:lpstr>Test Statistics</vt:lpstr>
      <vt:lpstr>Login &amp; Authentication</vt:lpstr>
      <vt:lpstr>Omnichannel Inbox</vt:lpstr>
      <vt:lpstr>Knowledge Base</vt:lpstr>
      <vt:lpstr>Lead Management</vt:lpstr>
      <vt:lpstr>Content Pipeline</vt:lpstr>
      <vt:lpstr>Agent Orchestration</vt:lpstr>
      <vt:lpstr>Documents &amp; Reports</vt:lpstr>
      <vt:lpstr>Admin &amp; RBAC</vt:lpstr>
      <vt:lpstr>Notifications &amp; Labels</vt:lpstr>
      <vt:lpstr>Sale Assist &amp; Prompts</vt:lpstr>
      <vt:lpstr>Channel Integrations</vt:lpstr>
      <vt:lpstr>SecurityTest</vt:lpstr>
    </vt:vector>
  </TitlesOfParts>
  <Company>FSOFT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</dc:title>
  <dc:subject>v1/0</dc:subject>
  <dc:creator>Kien Nguyen</dc:creator>
  <dc:description>Updates sheet Cover: Add logo, document code, creator, reviewer/approver._x000d_
Add sheet Test Case List._x000d_
Change Sheet Company, User, Provider to Modules. Add column Inter-test case dependent. Update these sheets._x000d_
Update Test Report</dc:description>
  <cp:lastModifiedBy>Võ Thành Đạt</cp:lastModifiedBy>
  <cp:lastPrinted>2010-11-12T10:33:20Z</cp:lastPrinted>
  <dcterms:created xsi:type="dcterms:W3CDTF">2020-03-17T17:34:29Z</dcterms:created>
  <dcterms:modified xsi:type="dcterms:W3CDTF">2026-08-21T07:25:19Z</dcterms:modified>
  <cp:category>BM</cp:category>
</cp:coreProperties>
</file>