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24226"/>
  <mc:AlternateContent xmlns:mc="http://schemas.openxmlformats.org/markup-compatibility/2006">
    <mc:Choice Requires="x15">
      <x15ac:absPath xmlns:x15ac="http://schemas.microsoft.com/office/spreadsheetml/2010/11/ac" url="D:\Clawbot\docs\test\generated\"/>
    </mc:Choice>
  </mc:AlternateContent>
  <xr:revisionPtr revIDLastSave="0" documentId="13_ncr:1_{C6DAA104-4DD4-4D4D-95D8-B7D17F1775EC}" xr6:coauthVersionLast="47" xr6:coauthVersionMax="47" xr10:uidLastSave="{00000000-0000-0000-0000-000000000000}"/>
  <bookViews>
    <workbookView xWindow="2240" yWindow="2240" windowWidth="14400" windowHeight="7350" tabRatio="641" firstSheet="12" activeTab="17" xr2:uid="{00000000-000D-0000-FFFF-FFFF00000000}"/>
  </bookViews>
  <sheets>
    <sheet name="Guideline" sheetId="1" r:id="rId1"/>
    <sheet name="Cover" sheetId="4" r:id="rId2"/>
    <sheet name="MethodList" sheetId="5" r:id="rId3"/>
    <sheet name="Statistics" sheetId="6" r:id="rId4"/>
    <sheet name="IsAllowedBaseUrl" sheetId="13" r:id="rId5"/>
    <sheet name="NormalizeApiKey" sheetId="14" r:id="rId6"/>
    <sheet name="ContentLintCheck" sheetId="15" r:id="rId7"/>
    <sheet name="ScenarioMatcher" sheetId="16" r:id="rId8"/>
    <sheet name="GoldenHourResolve" sheetId="17" r:id="rId9"/>
    <sheet name="RecurrenceCalc" sheetId="18" r:id="rId10"/>
    <sheet name="KbSuggestionApprove" sheetId="19" r:id="rId11"/>
    <sheet name="ConversationResume" sheetId="20" r:id="rId12"/>
    <sheet name="PlanValidator" sheetId="21" r:id="rId13"/>
    <sheet name="CostGuard" sheetId="22" r:id="rId14"/>
    <sheet name="PublicUrlSafety" sheetId="23" r:id="rId15"/>
    <sheet name="ReviewOutcomeParse" sheetId="24" r:id="rId16"/>
    <sheet name="LeadScoringWeights" sheetId="25" r:id="rId17"/>
    <sheet name="AuthPolicyConstants" sheetId="26" r:id="rId18"/>
  </sheets>
  <definedNames>
    <definedName name="ACTION">#REF!</definedName>
    <definedName name="_xlnm.Print_Area" localSheetId="17">AuthPolicyConstants!$A$1:$T$45</definedName>
    <definedName name="_xlnm.Print_Area" localSheetId="6">ContentLintCheck!$A$1:$T$41</definedName>
    <definedName name="_xlnm.Print_Area" localSheetId="11">ConversationResume!$A$1:$T$39</definedName>
    <definedName name="_xlnm.Print_Area" localSheetId="13">CostGuard!$A$1:$T$55</definedName>
    <definedName name="_xlnm.Print_Area" localSheetId="8">GoldenHourResolve!$A$1:$T$37</definedName>
    <definedName name="_xlnm.Print_Area" localSheetId="0">Guideline!$A$1:$A$47</definedName>
    <definedName name="_xlnm.Print_Area" localSheetId="4">IsAllowedBaseUrl!$A$1:$T$45</definedName>
    <definedName name="_xlnm.Print_Area" localSheetId="10">KbSuggestionApprove!$A$1:$T$44</definedName>
    <definedName name="_xlnm.Print_Area" localSheetId="16">LeadScoringWeights!$A$1:$T$47</definedName>
    <definedName name="_xlnm.Print_Area" localSheetId="2">MethodList!$A$1:$F$48</definedName>
    <definedName name="_xlnm.Print_Area" localSheetId="5">NormalizeApiKey!$A$1:$T$32</definedName>
    <definedName name="_xlnm.Print_Area" localSheetId="12">PlanValidator!$A$1:$U$55</definedName>
    <definedName name="_xlnm.Print_Area" localSheetId="14">PublicUrlSafety!$A$1:$Z$54</definedName>
    <definedName name="_xlnm.Print_Area" localSheetId="9">RecurrenceCalc!$A$1:$T$43</definedName>
    <definedName name="_xlnm.Print_Area" localSheetId="15">ReviewOutcomeParse!$A$1:$AD$66</definedName>
    <definedName name="_xlnm.Print_Area" localSheetId="7">ScenarioMatcher!$A$1:$T$40</definedName>
    <definedName name="_xlnm.Print_Area" localSheetId="3">Statistics!$A$1:$I$52</definedName>
    <definedName name="Z_2C0D9096_8D85_462A_A9B5_0B488ADB4269_.wvu.Cols" localSheetId="17" hidden="1">AuthPolicyConstants!$E:$E</definedName>
    <definedName name="Z_2C0D9096_8D85_462A_A9B5_0B488ADB4269_.wvu.Cols" localSheetId="6" hidden="1">ContentLintCheck!$E:$E</definedName>
    <definedName name="Z_2C0D9096_8D85_462A_A9B5_0B488ADB4269_.wvu.Cols" localSheetId="11" hidden="1">ConversationResume!$E:$E</definedName>
    <definedName name="Z_2C0D9096_8D85_462A_A9B5_0B488ADB4269_.wvu.Cols" localSheetId="13" hidden="1">CostGuard!$E:$E</definedName>
    <definedName name="Z_2C0D9096_8D85_462A_A9B5_0B488ADB4269_.wvu.Cols" localSheetId="8" hidden="1">GoldenHourResolve!$E:$E</definedName>
    <definedName name="Z_2C0D9096_8D85_462A_A9B5_0B488ADB4269_.wvu.Cols" localSheetId="4" hidden="1">IsAllowedBaseUrl!$E:$E</definedName>
    <definedName name="Z_2C0D9096_8D85_462A_A9B5_0B488ADB4269_.wvu.Cols" localSheetId="10" hidden="1">KbSuggestionApprove!$E:$E</definedName>
    <definedName name="Z_2C0D9096_8D85_462A_A9B5_0B488ADB4269_.wvu.Cols" localSheetId="16" hidden="1">LeadScoringWeights!$E:$E</definedName>
    <definedName name="Z_2C0D9096_8D85_462A_A9B5_0B488ADB4269_.wvu.Cols" localSheetId="5" hidden="1">NormalizeApiKey!$E:$E</definedName>
    <definedName name="Z_2C0D9096_8D85_462A_A9B5_0B488ADB4269_.wvu.Cols" localSheetId="12" hidden="1">PlanValidator!$E:$E</definedName>
    <definedName name="Z_2C0D9096_8D85_462A_A9B5_0B488ADB4269_.wvu.Cols" localSheetId="14" hidden="1">PublicUrlSafety!$E:$E</definedName>
    <definedName name="Z_2C0D9096_8D85_462A_A9B5_0B488ADB4269_.wvu.Cols" localSheetId="9" hidden="1">RecurrenceCalc!$E:$E</definedName>
    <definedName name="Z_2C0D9096_8D85_462A_A9B5_0B488ADB4269_.wvu.Cols" localSheetId="15" hidden="1">ReviewOutcomeParse!$E:$E</definedName>
    <definedName name="Z_2C0D9096_8D85_462A_A9B5_0B488ADB4269_.wvu.Cols" localSheetId="7" hidden="1">ScenarioMatcher!$E:$E</definedName>
    <definedName name="Z_2C0D9096_8D85_462A_A9B5_0B488ADB4269_.wvu.PrintArea" localSheetId="3" hidden="1">Statistics!$A:$I</definedName>
    <definedName name="Z_6F1DCD5D_5DAC_4817_BF40_2B66F6F593E6_.wvu.Cols" localSheetId="17" hidden="1">AuthPolicyConstants!$E:$E</definedName>
    <definedName name="Z_6F1DCD5D_5DAC_4817_BF40_2B66F6F593E6_.wvu.Cols" localSheetId="6" hidden="1">ContentLintCheck!$E:$E</definedName>
    <definedName name="Z_6F1DCD5D_5DAC_4817_BF40_2B66F6F593E6_.wvu.Cols" localSheetId="11" hidden="1">ConversationResume!$E:$E</definedName>
    <definedName name="Z_6F1DCD5D_5DAC_4817_BF40_2B66F6F593E6_.wvu.Cols" localSheetId="13" hidden="1">CostGuard!$E:$E</definedName>
    <definedName name="Z_6F1DCD5D_5DAC_4817_BF40_2B66F6F593E6_.wvu.Cols" localSheetId="8" hidden="1">GoldenHourResolve!$E:$E</definedName>
    <definedName name="Z_6F1DCD5D_5DAC_4817_BF40_2B66F6F593E6_.wvu.Cols" localSheetId="4" hidden="1">IsAllowedBaseUrl!$E:$E</definedName>
    <definedName name="Z_6F1DCD5D_5DAC_4817_BF40_2B66F6F593E6_.wvu.Cols" localSheetId="10" hidden="1">KbSuggestionApprove!$E:$E</definedName>
    <definedName name="Z_6F1DCD5D_5DAC_4817_BF40_2B66F6F593E6_.wvu.Cols" localSheetId="16" hidden="1">LeadScoringWeights!$E:$E</definedName>
    <definedName name="Z_6F1DCD5D_5DAC_4817_BF40_2B66F6F593E6_.wvu.Cols" localSheetId="5" hidden="1">NormalizeApiKey!$E:$E</definedName>
    <definedName name="Z_6F1DCD5D_5DAC_4817_BF40_2B66F6F593E6_.wvu.Cols" localSheetId="12" hidden="1">PlanValidator!$E:$E</definedName>
    <definedName name="Z_6F1DCD5D_5DAC_4817_BF40_2B66F6F593E6_.wvu.Cols" localSheetId="14" hidden="1">PublicUrlSafety!$E:$E</definedName>
    <definedName name="Z_6F1DCD5D_5DAC_4817_BF40_2B66F6F593E6_.wvu.Cols" localSheetId="9" hidden="1">RecurrenceCalc!$E:$E</definedName>
    <definedName name="Z_6F1DCD5D_5DAC_4817_BF40_2B66F6F593E6_.wvu.Cols" localSheetId="15" hidden="1">ReviewOutcomeParse!$E:$E</definedName>
    <definedName name="Z_6F1DCD5D_5DAC_4817_BF40_2B66F6F593E6_.wvu.Cols" localSheetId="7" hidden="1">ScenarioMatcher!$E:$E</definedName>
    <definedName name="Z_6F1DCD5D_5DAC_4817_BF40_2B66F6F593E6_.wvu.PrintArea" localSheetId="3" hidden="1">Statistics!$A:$I</definedName>
    <definedName name="Z_BE54E0AD_3725_4423_92D7_4F1C045BE1BC_.wvu.Cols" localSheetId="17" hidden="1">AuthPolicyConstants!$E:$E</definedName>
    <definedName name="Z_BE54E0AD_3725_4423_92D7_4F1C045BE1BC_.wvu.Cols" localSheetId="6" hidden="1">ContentLintCheck!$E:$E</definedName>
    <definedName name="Z_BE54E0AD_3725_4423_92D7_4F1C045BE1BC_.wvu.Cols" localSheetId="11" hidden="1">ConversationResume!$E:$E</definedName>
    <definedName name="Z_BE54E0AD_3725_4423_92D7_4F1C045BE1BC_.wvu.Cols" localSheetId="13" hidden="1">CostGuard!$E:$E</definedName>
    <definedName name="Z_BE54E0AD_3725_4423_92D7_4F1C045BE1BC_.wvu.Cols" localSheetId="8" hidden="1">GoldenHourResolve!$E:$E</definedName>
    <definedName name="Z_BE54E0AD_3725_4423_92D7_4F1C045BE1BC_.wvu.Cols" localSheetId="4" hidden="1">IsAllowedBaseUrl!$E:$E</definedName>
    <definedName name="Z_BE54E0AD_3725_4423_92D7_4F1C045BE1BC_.wvu.Cols" localSheetId="10" hidden="1">KbSuggestionApprove!$E:$E</definedName>
    <definedName name="Z_BE54E0AD_3725_4423_92D7_4F1C045BE1BC_.wvu.Cols" localSheetId="16" hidden="1">LeadScoringWeights!$E:$E</definedName>
    <definedName name="Z_BE54E0AD_3725_4423_92D7_4F1C045BE1BC_.wvu.Cols" localSheetId="5" hidden="1">NormalizeApiKey!$E:$E</definedName>
    <definedName name="Z_BE54E0AD_3725_4423_92D7_4F1C045BE1BC_.wvu.Cols" localSheetId="12" hidden="1">PlanValidator!$E:$E</definedName>
    <definedName name="Z_BE54E0AD_3725_4423_92D7_4F1C045BE1BC_.wvu.Cols" localSheetId="14" hidden="1">PublicUrlSafety!$E:$E</definedName>
    <definedName name="Z_BE54E0AD_3725_4423_92D7_4F1C045BE1BC_.wvu.Cols" localSheetId="9" hidden="1">RecurrenceCalc!$E:$E</definedName>
    <definedName name="Z_BE54E0AD_3725_4423_92D7_4F1C045BE1BC_.wvu.Cols" localSheetId="15" hidden="1">ReviewOutcomeParse!$E:$E</definedName>
    <definedName name="Z_BE54E0AD_3725_4423_92D7_4F1C045BE1BC_.wvu.Cols" localSheetId="7" hidden="1">ScenarioMatcher!$E:$E</definedName>
    <definedName name="Z_BE54E0AD_3725_4423_92D7_4F1C045BE1BC_.wvu.PrintArea" localSheetId="3" hidden="1">Statistics!$A:$I</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6" l="1"/>
  <c r="F23" i="6"/>
  <c r="G22" i="6"/>
  <c r="H21" i="6"/>
  <c r="I20" i="6"/>
  <c r="C20" i="6"/>
  <c r="D19" i="6"/>
  <c r="F17" i="6"/>
  <c r="G16" i="6"/>
  <c r="H15" i="6"/>
  <c r="I14" i="6"/>
  <c r="C14" i="6"/>
  <c r="D13" i="6"/>
  <c r="O5" i="26"/>
  <c r="I25" i="6" s="1"/>
  <c r="N5" i="26"/>
  <c r="H25" i="6" s="1"/>
  <c r="M5" i="26"/>
  <c r="G25" i="6" s="1"/>
  <c r="L5" i="26"/>
  <c r="F25" i="6" s="1"/>
  <c r="C5" i="26"/>
  <c r="A5" i="26"/>
  <c r="C25" i="6" s="1"/>
  <c r="O5" i="25"/>
  <c r="I24" i="6" s="1"/>
  <c r="N5" i="25"/>
  <c r="H24" i="6" s="1"/>
  <c r="M5" i="25"/>
  <c r="G24" i="6" s="1"/>
  <c r="L5" i="25"/>
  <c r="F24" i="6" s="1"/>
  <c r="C5" i="25"/>
  <c r="D24" i="6" s="1"/>
  <c r="A5" i="25"/>
  <c r="C24" i="6" s="1"/>
  <c r="O5" i="24"/>
  <c r="I23" i="6" s="1"/>
  <c r="N5" i="24"/>
  <c r="H23" i="6" s="1"/>
  <c r="M5" i="24"/>
  <c r="G23" i="6" s="1"/>
  <c r="L5" i="24"/>
  <c r="C5" i="24"/>
  <c r="D23" i="6" s="1"/>
  <c r="A5" i="24"/>
  <c r="C23" i="6" s="1"/>
  <c r="O5" i="23"/>
  <c r="I22" i="6" s="1"/>
  <c r="N5" i="23"/>
  <c r="H22" i="6" s="1"/>
  <c r="M5" i="23"/>
  <c r="L5" i="23"/>
  <c r="F22" i="6" s="1"/>
  <c r="C5" i="23"/>
  <c r="D22" i="6" s="1"/>
  <c r="A5" i="23"/>
  <c r="C22" i="6" s="1"/>
  <c r="O5" i="22"/>
  <c r="I21" i="6" s="1"/>
  <c r="N5" i="22"/>
  <c r="M5" i="22"/>
  <c r="G21" i="6" s="1"/>
  <c r="L5" i="22"/>
  <c r="F21" i="6" s="1"/>
  <c r="C5" i="22"/>
  <c r="D21" i="6" s="1"/>
  <c r="A5" i="22"/>
  <c r="C21" i="6" s="1"/>
  <c r="O5" i="21"/>
  <c r="N5" i="21"/>
  <c r="H20" i="6" s="1"/>
  <c r="M5" i="21"/>
  <c r="G20" i="6" s="1"/>
  <c r="L5" i="21"/>
  <c r="F20" i="6" s="1"/>
  <c r="F5" i="21"/>
  <c r="E20" i="6" s="1"/>
  <c r="C5" i="21"/>
  <c r="D20" i="6" s="1"/>
  <c r="A5" i="21"/>
  <c r="O5" i="20"/>
  <c r="I19" i="6" s="1"/>
  <c r="N5" i="20"/>
  <c r="H19" i="6" s="1"/>
  <c r="M5" i="20"/>
  <c r="G19" i="6" s="1"/>
  <c r="L5" i="20"/>
  <c r="F19" i="6" s="1"/>
  <c r="F5" i="20"/>
  <c r="E19" i="6" s="1"/>
  <c r="C5" i="20"/>
  <c r="A5" i="20"/>
  <c r="C19" i="6" s="1"/>
  <c r="O5" i="19"/>
  <c r="I18" i="6" s="1"/>
  <c r="N5" i="19"/>
  <c r="H18" i="6" s="1"/>
  <c r="M5" i="19"/>
  <c r="G18" i="6" s="1"/>
  <c r="L5" i="19"/>
  <c r="F18" i="6" s="1"/>
  <c r="C5" i="19"/>
  <c r="D18" i="6" s="1"/>
  <c r="A5" i="19"/>
  <c r="C18" i="6" s="1"/>
  <c r="O5" i="18"/>
  <c r="I17" i="6" s="1"/>
  <c r="N5" i="18"/>
  <c r="H17" i="6" s="1"/>
  <c r="M5" i="18"/>
  <c r="G17" i="6" s="1"/>
  <c r="L5" i="18"/>
  <c r="C5" i="18"/>
  <c r="D17" i="6" s="1"/>
  <c r="A5" i="18"/>
  <c r="C17" i="6" s="1"/>
  <c r="O5" i="17"/>
  <c r="I16" i="6" s="1"/>
  <c r="N5" i="17"/>
  <c r="H16" i="6" s="1"/>
  <c r="M5" i="17"/>
  <c r="L5" i="17"/>
  <c r="F16" i="6" s="1"/>
  <c r="C5" i="17"/>
  <c r="D16" i="6" s="1"/>
  <c r="A5" i="17"/>
  <c r="C16" i="6" s="1"/>
  <c r="O5" i="16"/>
  <c r="I15" i="6" s="1"/>
  <c r="N5" i="16"/>
  <c r="M5" i="16"/>
  <c r="G15" i="6" s="1"/>
  <c r="L5" i="16"/>
  <c r="F15" i="6" s="1"/>
  <c r="C5" i="16"/>
  <c r="D15" i="6" s="1"/>
  <c r="A5" i="16"/>
  <c r="C15" i="6" s="1"/>
  <c r="O5" i="15"/>
  <c r="N5" i="15"/>
  <c r="H14" i="6" s="1"/>
  <c r="M5" i="15"/>
  <c r="G14" i="6" s="1"/>
  <c r="L5" i="15"/>
  <c r="F14" i="6" s="1"/>
  <c r="F5" i="15"/>
  <c r="E14" i="6" s="1"/>
  <c r="C5" i="15"/>
  <c r="D14" i="6" s="1"/>
  <c r="A5" i="15"/>
  <c r="O5" i="14"/>
  <c r="I13" i="6" s="1"/>
  <c r="N5" i="14"/>
  <c r="H13" i="6" s="1"/>
  <c r="M5" i="14"/>
  <c r="G13" i="6" s="1"/>
  <c r="L5" i="14"/>
  <c r="F13" i="6" s="1"/>
  <c r="F5" i="14"/>
  <c r="E13" i="6" s="1"/>
  <c r="C5" i="14"/>
  <c r="A5" i="14"/>
  <c r="C13" i="6" s="1"/>
  <c r="O5" i="13"/>
  <c r="I12" i="6" s="1"/>
  <c r="I28" i="6" s="1"/>
  <c r="N5" i="13"/>
  <c r="H12" i="6" s="1"/>
  <c r="M5" i="13"/>
  <c r="G12" i="6" s="1"/>
  <c r="L5" i="13"/>
  <c r="F12" i="6" s="1"/>
  <c r="C5" i="13"/>
  <c r="D12" i="6" s="1"/>
  <c r="A5" i="13"/>
  <c r="C12" i="6" s="1"/>
  <c r="C28" i="6" s="1"/>
  <c r="B6" i="4"/>
  <c r="C4" i="5"/>
  <c r="C5" i="5"/>
  <c r="B4" i="6"/>
  <c r="B5" i="6"/>
  <c r="B6" i="6" s="1"/>
  <c r="D31" i="6" l="1"/>
  <c r="D30" i="6"/>
  <c r="D28" i="6"/>
  <c r="G28" i="6"/>
  <c r="D33" i="6" s="1"/>
  <c r="F28" i="6"/>
  <c r="D32" i="6" s="1"/>
  <c r="H28" i="6"/>
  <c r="D34" i="6" s="1"/>
  <c r="F5" i="16"/>
  <c r="E15" i="6" s="1"/>
  <c r="F5" i="22"/>
  <c r="E21" i="6" s="1"/>
  <c r="F5" i="17"/>
  <c r="E16" i="6" s="1"/>
  <c r="F5" i="23"/>
  <c r="E22" i="6" s="1"/>
  <c r="F5" i="18"/>
  <c r="E17" i="6" s="1"/>
  <c r="F5" i="24"/>
  <c r="E23" i="6" s="1"/>
  <c r="F5" i="13"/>
  <c r="E12" i="6" s="1"/>
  <c r="F5" i="19"/>
  <c r="E18" i="6" s="1"/>
  <c r="F5" i="25"/>
  <c r="E24" i="6" s="1"/>
  <c r="F5" i="26"/>
  <c r="E25" i="6" s="1"/>
  <c r="E28"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 authorId="0" shapeId="0" xr:uid="{00000000-0006-0000-0100-000001000000}">
      <text>
        <r>
          <rPr>
            <b/>
            <sz val="8"/>
            <color indexed="81"/>
            <rFont val="Tahoma"/>
            <family val="2"/>
          </rPr>
          <t>*A</t>
        </r>
        <r>
          <rPr>
            <sz val="8"/>
            <color indexed="81"/>
            <rFont val="Tahoma"/>
            <family val="2"/>
          </rPr>
          <t xml:space="preserve">: Add
  </t>
        </r>
        <r>
          <rPr>
            <b/>
            <sz val="8"/>
            <color indexed="81"/>
            <rFont val="Tahoma"/>
            <family val="2"/>
          </rPr>
          <t>M</t>
        </r>
        <r>
          <rPr>
            <sz val="8"/>
            <color indexed="81"/>
            <rFont val="Tahoma"/>
            <family val="2"/>
          </rPr>
          <t xml:space="preserve">: Modify
  </t>
        </r>
        <r>
          <rPr>
            <b/>
            <sz val="8"/>
            <color indexed="81"/>
            <rFont val="Tahoma"/>
            <family val="2"/>
          </rPr>
          <t>D</t>
        </r>
        <r>
          <rPr>
            <sz val="8"/>
            <color indexed="81"/>
            <rFont val="Tahoma"/>
            <family val="2"/>
          </rPr>
          <t xml:space="preserve">: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43335095-4E09-45FA-978F-D291DAD71F55}">
      <text>
        <r>
          <rPr>
            <sz val="8"/>
            <color indexed="81"/>
            <rFont val="Tahoma"/>
            <family val="2"/>
          </rPr>
          <t xml:space="preserve">Not mandatory
</t>
        </r>
      </text>
    </comment>
    <comment ref="C8" authorId="1" shapeId="0" xr:uid="{1D419407-962A-4AEA-898D-0B871621D9A2}">
      <text>
        <r>
          <rPr>
            <sz val="8"/>
            <color indexed="81"/>
            <rFont val="Tahoma"/>
            <family val="2"/>
          </rPr>
          <t>Not mandatory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8D53328C-56E6-4FE2-88FD-AF590447CC20}">
      <text>
        <r>
          <rPr>
            <sz val="8"/>
            <color indexed="81"/>
            <rFont val="Tahoma"/>
            <family val="2"/>
          </rPr>
          <t xml:space="preserve">Not mandatory
</t>
        </r>
      </text>
    </comment>
    <comment ref="C8" authorId="1" shapeId="0" xr:uid="{E4318D23-8EE2-4076-85B5-3EC3EA64820C}">
      <text>
        <r>
          <rPr>
            <sz val="8"/>
            <color indexed="81"/>
            <rFont val="Tahoma"/>
            <family val="2"/>
          </rPr>
          <t>Not mandatory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2651E0A1-5EBA-4208-A618-5E087A69E1EB}">
      <text>
        <r>
          <rPr>
            <sz val="8"/>
            <color indexed="81"/>
            <rFont val="Tahoma"/>
            <family val="2"/>
          </rPr>
          <t xml:space="preserve">Not mandatory
</t>
        </r>
      </text>
    </comment>
    <comment ref="C8" authorId="1" shapeId="0" xr:uid="{18565CA5-6127-428C-B2EA-A798DEF39D28}">
      <text>
        <r>
          <rPr>
            <sz val="8"/>
            <color indexed="81"/>
            <rFont val="Tahoma"/>
            <family val="2"/>
          </rPr>
          <t>Not mandatory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481683E2-3488-4544-B544-92219EE62A18}">
      <text>
        <r>
          <rPr>
            <sz val="8"/>
            <color indexed="81"/>
            <rFont val="Tahoma"/>
            <family val="2"/>
          </rPr>
          <t xml:space="preserve">Not mandatory
</t>
        </r>
      </text>
    </comment>
    <comment ref="C8" authorId="1" shapeId="0" xr:uid="{AC26DB58-8DED-4FC3-BF21-E9D735B52E27}">
      <text>
        <r>
          <rPr>
            <sz val="8"/>
            <color indexed="81"/>
            <rFont val="Tahoma"/>
            <family val="2"/>
          </rPr>
          <t>Not mandatory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F242CC97-DDE5-47B2-B829-0D7307FC7DDB}">
      <text>
        <r>
          <rPr>
            <sz val="8"/>
            <color indexed="81"/>
            <rFont val="Tahoma"/>
            <family val="2"/>
          </rPr>
          <t xml:space="preserve">Not mandatory
</t>
        </r>
      </text>
    </comment>
    <comment ref="C8" authorId="1" shapeId="0" xr:uid="{2B601E3C-6867-4C6F-9C6E-25E112932084}">
      <text>
        <r>
          <rPr>
            <sz val="8"/>
            <color indexed="81"/>
            <rFont val="Tahoma"/>
            <family val="2"/>
          </rPr>
          <t>Not mandatory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EEDE119D-6805-42FB-A6CF-33E4E3941E41}">
      <text>
        <r>
          <rPr>
            <sz val="8"/>
            <color indexed="81"/>
            <rFont val="Tahoma"/>
            <family val="2"/>
          </rPr>
          <t xml:space="preserve">Not mandatory
</t>
        </r>
      </text>
    </comment>
    <comment ref="C8" authorId="1" shapeId="0" xr:uid="{DCFCA7E2-66E1-4E08-BA8E-CF4030EC3438}">
      <text>
        <r>
          <rPr>
            <sz val="8"/>
            <color indexed="81"/>
            <rFont val="Tahoma"/>
            <family val="2"/>
          </rPr>
          <t>Not mandatory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F9FC215F-0ABF-4C43-A0D7-CD9BE4DACAFE}">
      <text>
        <r>
          <rPr>
            <sz val="8"/>
            <color indexed="81"/>
            <rFont val="Tahoma"/>
            <family val="2"/>
          </rPr>
          <t xml:space="preserve">Not mandatory
</t>
        </r>
      </text>
    </comment>
    <comment ref="C8" authorId="1" shapeId="0" xr:uid="{527E8C8F-8FEE-472C-B69F-5F61FC43D506}">
      <text>
        <r>
          <rPr>
            <sz val="8"/>
            <color indexed="81"/>
            <rFont val="Tahoma"/>
            <family val="2"/>
          </rPr>
          <t>Not mandatory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D03ADB77-5C0F-44A7-B2E8-0D9F56EF25E6}">
      <text>
        <r>
          <rPr>
            <sz val="8"/>
            <color indexed="81"/>
            <rFont val="Tahoma"/>
            <family val="2"/>
          </rPr>
          <t xml:space="preserve">Not mandatory
</t>
        </r>
      </text>
    </comment>
    <comment ref="C8" authorId="1" shapeId="0" xr:uid="{32887A61-7031-441A-AE26-B257654A1A8A}">
      <text>
        <r>
          <rPr>
            <sz val="8"/>
            <color indexed="81"/>
            <rFont val="Tahoma"/>
            <family val="2"/>
          </rPr>
          <t>Not mandatory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68D732F6-24E1-4787-9FA8-BA0281FA8B79}">
      <text>
        <r>
          <rPr>
            <sz val="8"/>
            <color indexed="81"/>
            <rFont val="Tahoma"/>
            <family val="2"/>
          </rPr>
          <t xml:space="preserve">Not mandatory
</t>
        </r>
      </text>
    </comment>
    <comment ref="C8" authorId="1" shapeId="0" xr:uid="{A41AEB47-4436-4D9C-BD58-879822133BED}">
      <text>
        <r>
          <rPr>
            <sz val="8"/>
            <color indexed="81"/>
            <rFont val="Tahoma"/>
            <family val="2"/>
          </rPr>
          <t>Not mandatory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34FE4908-0DF6-4F33-80B8-BCEE0D509C66}">
      <text>
        <r>
          <rPr>
            <sz val="8"/>
            <color indexed="81"/>
            <rFont val="Tahoma"/>
            <family val="2"/>
          </rPr>
          <t xml:space="preserve">Not mandatory
</t>
        </r>
      </text>
    </comment>
    <comment ref="C8" authorId="1" shapeId="0" xr:uid="{976E3C94-70CB-4208-A837-79E8BC0F4F47}">
      <text>
        <r>
          <rPr>
            <sz val="8"/>
            <color indexed="81"/>
            <rFont val="Tahoma"/>
            <family val="2"/>
          </rPr>
          <t>Not mandatory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205D694F-C39E-4898-8D61-E5AA11D5BF41}">
      <text>
        <r>
          <rPr>
            <sz val="8"/>
            <color indexed="81"/>
            <rFont val="Tahoma"/>
            <family val="2"/>
          </rPr>
          <t xml:space="preserve">Not mandatory
</t>
        </r>
      </text>
    </comment>
    <comment ref="C8" authorId="1" shapeId="0" xr:uid="{F13C481D-9BC7-4FB3-AFEF-DB15AC5FB316}">
      <text>
        <r>
          <rPr>
            <sz val="8"/>
            <color indexed="81"/>
            <rFont val="Tahoma"/>
            <family val="2"/>
          </rPr>
          <t>Not mandatory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1555038E-14AE-40B7-9ECB-0F5C50310E55}">
      <text>
        <r>
          <rPr>
            <sz val="8"/>
            <color indexed="81"/>
            <rFont val="Tahoma"/>
            <family val="2"/>
          </rPr>
          <t xml:space="preserve">Not mandatory
</t>
        </r>
      </text>
    </comment>
    <comment ref="C8" authorId="1" shapeId="0" xr:uid="{1742E111-D05F-4973-A441-CC3A800A1716}">
      <text>
        <r>
          <rPr>
            <sz val="8"/>
            <color indexed="81"/>
            <rFont val="Tahoma"/>
            <family val="2"/>
          </rPr>
          <t>Not mandatory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03D464CA-12F8-4CAC-97E2-8FB786F8E36E}">
      <text>
        <r>
          <rPr>
            <sz val="8"/>
            <color indexed="81"/>
            <rFont val="Tahoma"/>
            <family val="2"/>
          </rPr>
          <t xml:space="preserve">Not mandatory
</t>
        </r>
      </text>
    </comment>
    <comment ref="C8" authorId="1" shapeId="0" xr:uid="{3E246852-59FC-4530-B44D-1F7AF7870EA2}">
      <text>
        <r>
          <rPr>
            <sz val="8"/>
            <color indexed="81"/>
            <rFont val="Tahoma"/>
            <family val="2"/>
          </rPr>
          <t>Not mandatory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Nguyen Hoang Anh</author>
    <author>ANa</author>
  </authors>
  <commentList>
    <comment ref="A3" authorId="0" shapeId="0" xr:uid="{A60C2BD7-1188-4036-AB79-1E41898E3083}">
      <text>
        <r>
          <rPr>
            <sz val="8"/>
            <color indexed="81"/>
            <rFont val="Tahoma"/>
            <family val="2"/>
          </rPr>
          <t xml:space="preserve">Not mandatory
</t>
        </r>
      </text>
    </comment>
    <comment ref="C8" authorId="1" shapeId="0" xr:uid="{47C81452-A173-4A1F-B24B-C6C5C350740D}">
      <text>
        <r>
          <rPr>
            <sz val="8"/>
            <color indexed="81"/>
            <rFont val="Tahoma"/>
            <family val="2"/>
          </rPr>
          <t>Not mandatory</t>
        </r>
      </text>
    </comment>
  </commentList>
</comments>
</file>

<file path=xl/sharedStrings.xml><?xml version="1.0" encoding="utf-8"?>
<sst xmlns="http://schemas.openxmlformats.org/spreadsheetml/2006/main" count="1996" uniqueCount="526">
  <si>
    <t>Project Name</t>
  </si>
  <si>
    <t>Creator</t>
  </si>
  <si>
    <t>Project Code</t>
  </si>
  <si>
    <t>Reviewer/Approver</t>
  </si>
  <si>
    <t>Document Code</t>
  </si>
  <si>
    <t>Issue Date</t>
  </si>
  <si>
    <t>Version</t>
  </si>
  <si>
    <t>Record of change</t>
  </si>
  <si>
    <t>Effective Date</t>
  </si>
  <si>
    <t>Change Item</t>
  </si>
  <si>
    <t>*A,D,M</t>
  </si>
  <si>
    <t>Change description</t>
  </si>
  <si>
    <t>Reference</t>
  </si>
  <si>
    <t>Test Environment Setup Description</t>
  </si>
  <si>
    <t>No</t>
  </si>
  <si>
    <t>Sheet Name</t>
  </si>
  <si>
    <t>Description</t>
  </si>
  <si>
    <t>Pre-Condition</t>
  </si>
  <si>
    <t>UNIT TEST REPORT</t>
  </si>
  <si>
    <t>Notes</t>
  </si>
  <si>
    <t>Passed</t>
  </si>
  <si>
    <t>Failed</t>
  </si>
  <si>
    <t>Untested</t>
  </si>
  <si>
    <t>Total Test Cases</t>
  </si>
  <si>
    <t>Sub total</t>
  </si>
  <si>
    <t>Test coverage</t>
  </si>
  <si>
    <t>%</t>
  </si>
  <si>
    <t>Test successful coverage</t>
  </si>
  <si>
    <t>Normal case</t>
  </si>
  <si>
    <t>Abnormal case</t>
  </si>
  <si>
    <t>Boundary case</t>
  </si>
  <si>
    <t>&lt;Developer Name&gt;</t>
  </si>
  <si>
    <t>UTCID01</t>
  </si>
  <si>
    <t>UTCID02</t>
  </si>
  <si>
    <t>UTCID03</t>
  </si>
  <si>
    <t>UTCID04</t>
  </si>
  <si>
    <t>UTCID05</t>
  </si>
  <si>
    <t>UTCID06</t>
  </si>
  <si>
    <t>UTCID07</t>
  </si>
  <si>
    <t>UTCID08</t>
  </si>
  <si>
    <t>UTCID09</t>
  </si>
  <si>
    <t>UTCID10</t>
  </si>
  <si>
    <t>UTCID11</t>
  </si>
  <si>
    <t>UTCID12</t>
  </si>
  <si>
    <t>UTCID13</t>
  </si>
  <si>
    <t>UTCID14</t>
  </si>
  <si>
    <t>UTCID15</t>
  </si>
  <si>
    <t>null</t>
  </si>
  <si>
    <t>Result</t>
  </si>
  <si>
    <t>Type(N : Normal, A : Abnormal, B : Boundary)</t>
  </si>
  <si>
    <t>N</t>
  </si>
  <si>
    <t>B</t>
  </si>
  <si>
    <t>A</t>
  </si>
  <si>
    <t>Passed/Failed</t>
  </si>
  <si>
    <t>P</t>
  </si>
  <si>
    <t>Executed Date</t>
  </si>
  <si>
    <t>Defect ID</t>
  </si>
  <si>
    <t xml:space="preserve"> </t>
  </si>
  <si>
    <t xml:space="preserve">        - For examples:</t>
  </si>
  <si>
    <t xml:space="preserve">        - Confirmation can include:</t>
  </si>
  <si>
    <t xml:space="preserve">         </t>
  </si>
  <si>
    <t>2.1 Combination of test cases.</t>
  </si>
  <si>
    <t>Created By</t>
  </si>
  <si>
    <t>Executed By</t>
  </si>
  <si>
    <t>Test requirement</t>
  </si>
  <si>
    <t>N/A/B</t>
  </si>
  <si>
    <t>Condition</t>
  </si>
  <si>
    <t>Confirm</t>
  </si>
  <si>
    <t>Return</t>
  </si>
  <si>
    <t>Exception</t>
  </si>
  <si>
    <t xml:space="preserve"> - In the template, Unit test cases are based on functions. Each sheet presents test cases for one function.</t>
  </si>
  <si>
    <t>2. Content in Test function sheet</t>
  </si>
  <si>
    <t>Guideline to make and understand Unit Test Case</t>
  </si>
  <si>
    <t xml:space="preserve"> 2.2 Condition and confirmation of Test cases.</t>
  </si>
  <si>
    <t xml:space="preserve"> Each test case is the combination of condition and confirmation.</t>
  </si>
  <si>
    <t xml:space="preserve">        - Condition is combination of precondition and values of inputs.</t>
  </si>
  <si>
    <t xml:space="preserve">        - Precondition: it is setting condition that must exist before execution of the test case. 
                    Example: file A is precondition for the test case that needs to access file A.</t>
  </si>
  <si>
    <t xml:space="preserve">        - Values of inputs: it includes 3 types of values: normal, boundary and abnormal.</t>
  </si>
  <si>
    <t xml:space="preserve">                . Normal values are values of inputs used mainly and usually to ensure the function works.</t>
  </si>
  <si>
    <t xml:space="preserve">                . Abnormal values are non-expected values. And normally it processes exception cases.   </t>
  </si>
  <si>
    <t xml:space="preserve">        - It is combination of expected result to check output of each function. 
          If the results are the same with confirmation, the test case is passed, other case it is failed. </t>
  </si>
  <si>
    <t xml:space="preserve">                + Output result of the function.</t>
  </si>
  <si>
    <t xml:space="preserve">                + Output log messages in log file.</t>
  </si>
  <si>
    <t xml:space="preserve">                + Output screen message...</t>
  </si>
  <si>
    <t xml:space="preserve">        - Type of test case: It includes normal, boundary and abnormal test cases. User selects the type based on the type of input data.</t>
  </si>
  <si>
    <t xml:space="preserve"> 2.3. Other items:</t>
  </si>
  <si>
    <t>O</t>
  </si>
  <si>
    <t>1. Overview</t>
  </si>
  <si>
    <t xml:space="preserve">            Input value belongs to 5&lt;= input &lt;=10.</t>
  </si>
  <si>
    <t xml:space="preserve">               . 6,7,8,9 are normal values.</t>
  </si>
  <si>
    <t xml:space="preserve">               . 5, 10 are boundary values.</t>
  </si>
  <si>
    <t xml:space="preserve">               . -1, 11,... are abnormal values.   </t>
  </si>
  <si>
    <r>
      <t xml:space="preserve"> - </t>
    </r>
    <r>
      <rPr>
        <b/>
        <sz val="10"/>
        <rFont val="Tahoma"/>
        <family val="2"/>
      </rPr>
      <t>Cover</t>
    </r>
    <r>
      <rPr>
        <sz val="10"/>
        <rFont val="Tahoma"/>
        <family val="2"/>
      </rPr>
      <t>: General information of the project and Unit Test cases</t>
    </r>
  </si>
  <si>
    <r>
      <t xml:space="preserve">        - Test case result: the actual output results comparing with the Confirmation.
                 </t>
    </r>
    <r>
      <rPr>
        <b/>
        <sz val="10"/>
        <rFont val="Tahoma"/>
        <family val="2"/>
      </rPr>
      <t>P</t>
    </r>
    <r>
      <rPr>
        <sz val="10"/>
        <rFont val="Tahoma"/>
        <family val="2"/>
      </rPr>
      <t xml:space="preserve"> for Passed and </t>
    </r>
    <r>
      <rPr>
        <b/>
        <sz val="10"/>
        <rFont val="Tahoma"/>
        <family val="2"/>
      </rPr>
      <t>F</t>
    </r>
    <r>
      <rPr>
        <sz val="10"/>
        <rFont val="Tahoma"/>
        <family val="2"/>
      </rPr>
      <t xml:space="preserve"> for Failed cases.
          It can 'OK' or 'NG' (it depends on habit of the teams or customers)</t>
    </r>
  </si>
  <si>
    <r>
      <t xml:space="preserve"> - </t>
    </r>
    <r>
      <rPr>
        <b/>
        <sz val="10"/>
        <rFont val="Tahoma"/>
        <family val="2"/>
      </rPr>
      <t>Test Report</t>
    </r>
    <r>
      <rPr>
        <sz val="10"/>
        <rFont val="Tahoma"/>
        <family val="2"/>
      </rPr>
      <t>: provive the overview results of Functions Unit test: Test coverage, Test successful coverage 
    (Summary, for normal/abnormal/boundary cases)</t>
    </r>
  </si>
  <si>
    <t xml:space="preserve"> - To verify that number of Unit TC meets customer's requirement or not. User has to fill number LOC of tested function and fill value of 'Normal number test cases/KLOC' item in FunctionList sheet, which is required by customer or normal value. The number of lacked TC is shown in 'Lack of test cases' item.</t>
  </si>
  <si>
    <t xml:space="preserve"> - If the number of Unit TC does not meet the requirement, creator should explain the reasons.</t>
  </si>
  <si>
    <t xml:space="preserve"> - If the number of  'Normal number test cases/KLOC' item in FunctionList sheet is not recorded, the number in 'Lack of test cases' is not calculated.</t>
  </si>
  <si>
    <t>a. Condition:</t>
  </si>
  <si>
    <t xml:space="preserve">b. Confirmation: </t>
  </si>
  <si>
    <t>c. Type of test cases and result:</t>
  </si>
  <si>
    <t xml:space="preserve"> - Created By: Name of creator.</t>
  </si>
  <si>
    <t xml:space="preserve"> - Executed By: Name of person who executes the unit test</t>
  </si>
  <si>
    <t xml:space="preserve"> - Test requirement: Brief description about requirements which are tested in this function, it is not mandatory.</t>
  </si>
  <si>
    <r>
      <t xml:space="preserve"> - </t>
    </r>
    <r>
      <rPr>
        <b/>
        <sz val="10"/>
        <rFont val="Tahoma"/>
        <family val="2"/>
      </rPr>
      <t>FunctionList</t>
    </r>
    <r>
      <rPr>
        <sz val="10"/>
        <rFont val="Tahoma"/>
        <family val="2"/>
      </rPr>
      <t xml:space="preserve">: The list of Classes and Functions in the document. 
     + To control that the number of Unit TC meets customer's requirement or the norm, user should fill value for  
     'Normal number of Test cases/KLOC'. </t>
    </r>
  </si>
  <si>
    <t xml:space="preserve">     Note:  Should check the formula of "Sub Total" if you add more functions</t>
  </si>
  <si>
    <t>Function code</t>
  </si>
  <si>
    <r>
      <t xml:space="preserve">     + Click on Function link to open the related Test cases of the function.  
     </t>
    </r>
    <r>
      <rPr>
        <i/>
        <sz val="10"/>
        <rFont val="Tahoma"/>
        <family val="2"/>
      </rPr>
      <t>Note:</t>
    </r>
    <r>
      <rPr>
        <sz val="10"/>
        <rFont val="Tahoma"/>
        <family val="2"/>
      </rPr>
      <t xml:space="preserve"> You should create new Function sheet before creating the link</t>
    </r>
  </si>
  <si>
    <t xml:space="preserve">                . Boundary values are limited values that contain upper and lower values.</t>
  </si>
  <si>
    <t>UNIT TEST DOCUMENT</t>
  </si>
  <si>
    <t>Code Module</t>
  </si>
  <si>
    <t>Method</t>
  </si>
  <si>
    <t>Module Name</t>
  </si>
  <si>
    <t>Method Name</t>
  </si>
  <si>
    <t xml:space="preserve"> - Method: it is name  of the code method/component and updated automatically according to FunctionList sheet.</t>
  </si>
  <si>
    <t xml:space="preserve"> - Code Module: name of the code module and updated automatically according to FunctionList sheet.</t>
  </si>
  <si>
    <t>Method List</t>
  </si>
  <si>
    <t>Clawbot.Agents.Core.Chat</t>
  </si>
  <si>
    <t>LlmBaseUrlGuard.IsAllowedBaseUrl</t>
  </si>
  <si>
    <t>&lt;Tester Name&gt;</t>
  </si>
  <si>
    <t>Guard outbound LLM provider URLs against SSRF: reject non-http/https schemes, embedded credentials, public cleartext HTTP, and private hosts without explicit operator grant. Fail closed when DNS resolves to a mix of public and private addresses or when resolution fails.</t>
  </si>
  <si>
    <t>baseUrl</t>
  </si>
  <si>
    <t>"not-a-uri" (malformed, no scheme)</t>
  </si>
  <si>
    <t>"ftp://api.example.com" (unsupported scheme)</t>
  </si>
  <si>
    <t>"https://user:pass@api.example.com" (userInfo present)</t>
  </si>
  <si>
    <t>"http://api.openai.com" (HTTP + public host)</t>
  </si>
  <si>
    <t>"http://10.0.0.5:8080" (HTTP + private RFC-1918 host)</t>
  </si>
  <si>
    <t>"https://api.openai.com" (HTTPS + public host)</t>
  </si>
  <si>
    <t>"https://localhost:11434" (HTTPS + loopback)</t>
  </si>
  <si>
    <t>"https://10.0.0.5:8080" (HTTPS + private RFC-1918)</t>
  </si>
  <si>
    <t>allowPrivateHosts</t>
  </si>
  <si>
    <t>false (default)</t>
  </si>
  <si>
    <t>true (operator grant)</t>
  </si>
  <si>
    <t>allowedPrivateOrigins</t>
  </si>
  <si>
    <t>empty list</t>
  </si>
  <si>
    <t>list containing "http://10.0.0.5:8080"</t>
  </si>
  <si>
    <t>DNS stub</t>
  </si>
  <si>
    <t>returns public IPv4 only (e.g. 1.2.3.4)</t>
  </si>
  <si>
    <t>returns private IPv4 only (e.g. 10.0.0.5)</t>
  </si>
  <si>
    <t>returns mix: one public + one private address</t>
  </si>
  <si>
    <t>throws SocketException (DNS resolution failure)</t>
  </si>
  <si>
    <t>true  (URL is allowed)</t>
  </si>
  <si>
    <t>false (URL is blocked)</t>
  </si>
  <si>
    <t>Clawbot.Infrastructure.Security</t>
  </si>
  <si>
    <t>AesEncryptor.ParseKey (constructor validation)</t>
  </si>
  <si>
    <t>The AesEncryptor constructor must reject missing, malformed, or wrong-length base64 keys with a clear InvalidOperationException before any encryption call can be made.</t>
  </si>
  <si>
    <t>Base64Key option</t>
  </si>
  <si>
    <t>null or empty string</t>
  </si>
  <si>
    <t>whitespace-only string</t>
  </si>
  <si>
    <t>valid base64 but decodes to 16 bytes (wrong length)</t>
  </si>
  <si>
    <t>valid base64 but decodes to 64 bytes (wrong length)</t>
  </si>
  <si>
    <t xml:space="preserve">non-base64 characters (e.g. "!!invalid!!") </t>
  </si>
  <si>
    <t>valid base64 that decodes to exactly 32 bytes</t>
  </si>
  <si>
    <t>Outcome</t>
  </si>
  <si>
    <t>Constructor succeeds; Encrypt returns a non-empty base64 string</t>
  </si>
  <si>
    <t>InvalidOperationException is thrown with a descriptive message</t>
  </si>
  <si>
    <t>Clawbot.Agents.Core.Content</t>
  </si>
  <si>
    <t>ContentLint.Check</t>
  </si>
  <si>
    <t>Deterministic pre-LLM lint: reject content bodies that contain absolute outcome guarantees, external links or junk encoding characters. Pass empty/whitespace bodies and clean bodies unchanged.</t>
  </si>
  <si>
    <t>body</t>
  </si>
  <si>
    <t>clean body text (no violations)</t>
  </si>
  <si>
    <t>body with tab and newline only (allowed control chars)</t>
  </si>
  <si>
    <t>body containing an absolute-guarantee phrase (prohibited commitment)</t>
  </si>
  <si>
    <t>body containing "100% do" (absolute guarantee phrase, uppercase variant)</t>
  </si>
  <si>
    <t>body containing "https://example.com" (external link)</t>
  </si>
  <si>
    <t>body containing "www.example.com" (www link)</t>
  </si>
  <si>
    <t>body containing U+FFFD replacement character (mojibake)</t>
  </si>
  <si>
    <t>body containing C0 control char 0x01 (junk)</t>
  </si>
  <si>
    <t>Succeeded</t>
  </si>
  <si>
    <t>ErrorCode</t>
  </si>
  <si>
    <t>(empty string)</t>
  </si>
  <si>
    <t>lint_absolute_guarantee</t>
  </si>
  <si>
    <t>lint_external_link</t>
  </si>
  <si>
    <t>lint_junk_chars</t>
  </si>
  <si>
    <t>Clawbot.Domain.ChatScenarios</t>
  </si>
  <si>
    <t>ChatScenarioMatcher.Match</t>
  </si>
  <si>
    <t>Return the best-matching ChatScenario for an inbound text. Regex trigger scores 1000 + match.Length; substring scores trigger.Length. Tiebreak: higher SuccessRate then lower Code. Platform CSV filter: empty or 'all' matches any platform.</t>
  </si>
  <si>
    <t>text</t>
  </si>
  <si>
    <t>text matching one scenario via regex</t>
  </si>
  <si>
    <t>text matching two scenarios; one has longer regex match (more specific)</t>
  </si>
  <si>
    <t>text matching two scenarios; equal score; one has higher SuccessRate</t>
  </si>
  <si>
    <t>text matching two scenarios; equal score and rate; one has lower Code (ordinal)</t>
  </si>
  <si>
    <t>candidates</t>
  </si>
  <si>
    <t>single scenario, no platform filter (platforms empty)</t>
  </si>
  <si>
    <t>scenarios with platform = "facebook"</t>
  </si>
  <si>
    <t>scenarios with platform = "all"</t>
  </si>
  <si>
    <t>platform arg</t>
  </si>
  <si>
    <t>"facebook"</t>
  </si>
  <si>
    <t>"zalo"</t>
  </si>
  <si>
    <t>null (no match)</t>
  </si>
  <si>
    <t>the expected scenario</t>
  </si>
  <si>
    <t>Clawbot.SharedKernel.Content</t>
  </si>
  <si>
    <t>DefaultGoldenHourResolver.ResolveNext</t>
  </si>
  <si>
    <t>Return the next golden-hour slot in UTC+7 for a given platform. Known platforms: facebook=20:30, tiktok=20:00, instagram=19:30, youtube=18:00, zalo=08:00. Unknown platform defaults to 19:00. If the candidate slot has already passed today, return the same slot tomorrow.</t>
  </si>
  <si>
    <t>platform</t>
  </si>
  <si>
    <t>"tiktok"</t>
  </si>
  <si>
    <t>"instagram"</t>
  </si>
  <si>
    <t>"youtube"</t>
  </si>
  <si>
    <t>"unknown_platform" (not in the map)</t>
  </si>
  <si>
    <t>"FACEBOOK" (uppercase — case-insensitive check)</t>
  </si>
  <si>
    <t>utcNow (Vietnam time context)</t>
  </si>
  <si>
    <t>before the platform golden hour today (e.g. 10:00 VN for facebook 20:30)</t>
  </si>
  <si>
    <t>after the platform golden hour today (e.g. 21:00 VN for facebook 20:30)</t>
  </si>
  <si>
    <t>exactly at the platform golden hour (boundary)</t>
  </si>
  <si>
    <t>today's golden hour in UTC+7 (converted to UTC)</t>
  </si>
  <si>
    <t>tomorrow's golden hour in UTC+7 (converted to UTC)</t>
  </si>
  <si>
    <t>Clawbot.Agents.Core.Orchestrator</t>
  </si>
  <si>
    <t>RecurrenceCalculator.NextRunUtc + WindowKey</t>
  </si>
  <si>
    <t>NextRunUtc advances a UTC timestamp by one cadence unit in the given timezone. WindowKey returns a deterministic string key for the cadence window (e.g. weekly:2026-W33, quarterly:2026-Q3). Month-end dates are clamped to the last valid day of the target month.</t>
  </si>
  <si>
    <t>method</t>
  </si>
  <si>
    <t>NextRunUtc</t>
  </si>
  <si>
    <t>WindowKey</t>
  </si>
  <si>
    <t>cadence</t>
  </si>
  <si>
    <t>"daily"</t>
  </si>
  <si>
    <t>"weekly"</t>
  </si>
  <si>
    <t>"monthly"</t>
  </si>
  <si>
    <t>"quarterly"</t>
  </si>
  <si>
    <t>"biennial" (unsupported)</t>
  </si>
  <si>
    <t>fromUtc / dueAtUtc</t>
  </si>
  <si>
    <t>normal date (e.g. 2026-08-11 10:00 UTC)</t>
  </si>
  <si>
    <t>Jan 31 (month end, +1 month → Feb should clamp to Feb 28)</t>
  </si>
  <si>
    <t>last day of a quarter (e.g. Sep 30 for Q3)</t>
  </si>
  <si>
    <t>next daily timestamp (+1 day)</t>
  </si>
  <si>
    <t>next weekly timestamp (+7 days)</t>
  </si>
  <si>
    <t>next monthly timestamp (+1 month, clamped)</t>
  </si>
  <si>
    <t>next quarterly timestamp (+3 months, clamped)</t>
  </si>
  <si>
    <t>window key string matching expected format</t>
  </si>
  <si>
    <t>ArgumentOutOfRangeException</t>
  </si>
  <si>
    <t>Clawbot.Domain.KnowledgeBase</t>
  </si>
  <si>
    <t>KbSuggestion.IsAutoApprovable + Approve</t>
  </si>
  <si>
    <t>IsAutoApprovable returns true only when: Status=pending, Verdict=approve, both accuracy values present, accuracy_after &gt;= accuracy_before. Approve(auto) requires IsAutoApprovable=true and no decidedBy. Approve(human) requires a decidedBy userId. Reject requires a non-empty reason string.</t>
  </si>
  <si>
    <t>Status</t>
  </si>
  <si>
    <t>pending</t>
  </si>
  <si>
    <t>approved (already processed)</t>
  </si>
  <si>
    <t>rejected (already processed)</t>
  </si>
  <si>
    <t>Verdict</t>
  </si>
  <si>
    <t>approve</t>
  </si>
  <si>
    <t>reject</t>
  </si>
  <si>
    <t>accuracy_after vs accuracy_before</t>
  </si>
  <si>
    <t>after &gt; before (improved)</t>
  </si>
  <si>
    <t>after == before (unchanged)</t>
  </si>
  <si>
    <t>after &lt; before (degraded)</t>
  </si>
  <si>
    <t>either value is null</t>
  </si>
  <si>
    <t>decidedBy</t>
  </si>
  <si>
    <t>null (auto path)</t>
  </si>
  <si>
    <t>valid userId (human path)</t>
  </si>
  <si>
    <t>IsAutoApprovable</t>
  </si>
  <si>
    <t>Approve outcome</t>
  </si>
  <si>
    <t>auto-approved (ApprovalMode=automatic)</t>
  </si>
  <si>
    <t>human-approved (ApprovalMode=human)</t>
  </si>
  <si>
    <t>InvalidOperationException</t>
  </si>
  <si>
    <t>Clawbot.Domain.Conversations</t>
  </si>
  <si>
    <t>Conversation.TryResumeAiAutoReply + PauseAiAutoReplyUntil</t>
  </si>
  <si>
    <t>PauseAiAutoReplyUntil sets enabled=false and records resumeAt. TryResumeAiAutoReply returns true and clears resumeAt only when enabled=false AND resumeAt &lt;= now. SetAiAutoReply(false) is a permanent toggle (clears resumeAt). Escalate sets enabled=false with resumeAt=null permanently.</t>
  </si>
  <si>
    <t>method called</t>
  </si>
  <si>
    <t>PauseAiAutoReplyUntil(resumeAt)</t>
  </si>
  <si>
    <t>TryResumeAiAutoReply(now)</t>
  </si>
  <si>
    <t>SetAiAutoReply(false)</t>
  </si>
  <si>
    <t>Escalate()</t>
  </si>
  <si>
    <t>enabled state before call</t>
  </si>
  <si>
    <t>resumeAt vs now</t>
  </si>
  <si>
    <t>resumeAt &lt;= now (window elapsed)</t>
  </si>
  <si>
    <t>resumeAt &gt; now (still in window)</t>
  </si>
  <si>
    <t>resumeAt is null</t>
  </si>
  <si>
    <t>Return / side-effect</t>
  </si>
  <si>
    <t>TryResume returns true; enabled=true; resumeAt=null</t>
  </si>
  <si>
    <t>TryResume returns false; state unchanged</t>
  </si>
  <si>
    <t>enabled=false; resumeAt set to the given future time</t>
  </si>
  <si>
    <t>enabled=false; resumeAt=null (permanent disable)</t>
  </si>
  <si>
    <t>OrchestrationPlanValidator.Validate</t>
  </si>
  <si>
    <t>Reject an orchestration plan before any agent runs: empty plan, task count above MaxTaskCount (50), missing or duplicate task id, task input above MaxTaskInputChars (8192), agent not present in the orchestratable catalog, dangling dependency, and dependency cycle. Fail closed with a machine-readable error code.</t>
  </si>
  <si>
    <t>plan.Tasks</t>
  </si>
  <si>
    <t>null (property not set)</t>
  </si>
  <si>
    <t>empty collection</t>
  </si>
  <si>
    <t>51 tasks (above MaxTaskCount)</t>
  </si>
  <si>
    <t>one task, null element</t>
  </si>
  <si>
    <t>one task, Id is whitespace</t>
  </si>
  <si>
    <t>two tasks with the same Id (different casing)</t>
  </si>
  <si>
    <t>one task, input total length 8193 chars</t>
  </si>
  <si>
    <t>one valid task</t>
  </si>
  <si>
    <t>two tasks, second DependsOn an unknown id</t>
  </si>
  <si>
    <t>two tasks forming a dependency cycle</t>
  </si>
  <si>
    <t>three tasks in a valid dependency chain</t>
  </si>
  <si>
    <t>task.Agent</t>
  </si>
  <si>
    <t>matches catalog Code exactly</t>
  </si>
  <si>
    <t>matches catalog ShortName (different casing)</t>
  </si>
  <si>
    <t>matches catalog AgentType</t>
  </si>
  <si>
    <t>not present in the catalog</t>
  </si>
  <si>
    <t>catalog entry Orchestratable</t>
  </si>
  <si>
    <t>true (agent is bound and orchestratable)</t>
  </si>
  <si>
    <t>false (agent exists but is not orchestratable)</t>
  </si>
  <si>
    <t>Valid (IsValid is true)</t>
  </si>
  <si>
    <t>Invalid "empty_plan"</t>
  </si>
  <si>
    <t>Invalid "too_many_tasks:51:50"</t>
  </si>
  <si>
    <t>Invalid "task_required"</t>
  </si>
  <si>
    <t>Invalid "task_id_required"</t>
  </si>
  <si>
    <t>Invalid "duplicate_task:..."</t>
  </si>
  <si>
    <t>Invalid "input_too_large:..."</t>
  </si>
  <si>
    <t>Invalid "unknown_agent:..." listing allowed codes</t>
  </si>
  <si>
    <t>Invalid "dangling_dependency:..."</t>
  </si>
  <si>
    <t>Invalid "cycle_detected"</t>
  </si>
  <si>
    <t>ArgumentNullException (plan or catalog is null)</t>
  </si>
  <si>
    <t>UTCID16</t>
  </si>
  <si>
    <t>OrchestratorCostGuard.CanStartAsync / TryReserveAsync / RecordAsync</t>
  </si>
  <si>
    <t>Block an orchestration run when the month-to-date spend plus the estimate would exceed the tenant cap. Treat a negative estimate as zero. Prefer the reservation store when the tracker implements it. Always write a ledger entry when there are tokens, even when the computed cost is zero, so the monthly cap cannot silently lose data.</t>
  </si>
  <si>
    <t>method under test</t>
  </si>
  <si>
    <t>CanStartAsync (preflight)</t>
  </si>
  <si>
    <t>TryReserveAsync (mid-run)</t>
  </si>
  <si>
    <t>RecordAsync (ledger write)</t>
  </si>
  <si>
    <t>ReleaseReservationAsync</t>
  </si>
  <si>
    <t>summary MonthToDate vs Cap</t>
  </si>
  <si>
    <t>MonthToDate 10 + estimate 5, Cap 200 (well under)</t>
  </si>
  <si>
    <t>MonthToDate 195 + estimate 5, Cap 200 (exactly at cap)</t>
  </si>
  <si>
    <t>MonthToDate 199 + estimate 5, Cap 200 (over cap)</t>
  </si>
  <si>
    <t>estimatedUsd</t>
  </si>
  <si>
    <t>positive value</t>
  </si>
  <si>
    <t>zero</t>
  </si>
  <si>
    <t>negative value (clamped to zero)</t>
  </si>
  <si>
    <t>tracker implements reservation store</t>
  </si>
  <si>
    <t>no (plain tracker)</t>
  </si>
  <si>
    <t>yes, store allows the reservation</t>
  </si>
  <si>
    <t>yes, store denies the reservation</t>
  </si>
  <si>
    <t>reply tokens / cost</t>
  </si>
  <si>
    <t>cost 0, input 0, output 0 (nothing to record)</t>
  </si>
  <si>
    <t>cost 0 but input tokens above zero (provider returned no usage rate)</t>
  </si>
  <si>
    <t>cost above zero with tokens</t>
  </si>
  <si>
    <t>reservationId</t>
  </si>
  <si>
    <t>a valid Guid</t>
  </si>
  <si>
    <t>Allowed is true, Reason is null</t>
  </si>
  <si>
    <t>Denied "cost_cap_preflight"</t>
  </si>
  <si>
    <t>Denied "cost_cap_midrun"</t>
  </si>
  <si>
    <t>Allowed is true with the store ReservationId propagated</t>
  </si>
  <si>
    <t>RecordAsync writes one CostEntry to the tracker</t>
  </si>
  <si>
    <t>RecordAsync writes nothing (short-circuit)</t>
  </si>
  <si>
    <t>ReleaseReservationAsync forwards to the store</t>
  </si>
  <si>
    <t>ReleaseReservationAsync is a no-op</t>
  </si>
  <si>
    <t>Clawbot.Infrastructure.Content.Publishing</t>
  </si>
  <si>
    <t>DnsPublicUrlSafetyValidator.IsSafeAsync</t>
  </si>
  <si>
    <t>Only allow HTTPS URLs that resolve exclusively to public addresses before media is handed to a social platform. Reject non-HTTPS schemes, embedded credentials, loopback and .local or .localhost names, RFC-1918 and shared-address ranges, IPv4-mapped IPv6 loopback, link-local and site-local IPv6, documentation prefixes, DNS failures and resolution timeouts.</t>
  </si>
  <si>
    <t>uri</t>
  </si>
  <si>
    <t>relative URI (not absolute)</t>
  </si>
  <si>
    <t>"http://cdn.example.com/a.jpg" (HTTPS required)</t>
  </si>
  <si>
    <t>"https://user:pass@cdn.example.com/a.jpg" (userInfo present)</t>
  </si>
  <si>
    <t>"https://localhost/a.jpg"</t>
  </si>
  <si>
    <t>"https://svc.local/a.jpg" (mDNS suffix)</t>
  </si>
  <si>
    <t>"https://cdn/a.jpg" (single label, no dot)</t>
  </si>
  <si>
    <t>"https://127.0.0.1/a.jpg" (loopback literal)</t>
  </si>
  <si>
    <t>"https://10.1.2.3/a.jpg" (RFC-1918 literal)</t>
  </si>
  <si>
    <t>"https://100.64.0.1/a.jpg" (shared address space)</t>
  </si>
  <si>
    <t>"https://169.254.1.1/a.jpg" (link-local literal)</t>
  </si>
  <si>
    <t>"https://[::1]/a.jpg" (IPv6 loopback in brackets)</t>
  </si>
  <si>
    <t>"https://[2001:db8::1]/a.jpg" (IPv6 documentation prefix)</t>
  </si>
  <si>
    <t>"https://8.8.8.8/a.jpg" (public IPv4 literal)</t>
  </si>
  <si>
    <t>"https://cdn.example.com/a.jpg" (public DNS name)</t>
  </si>
  <si>
    <t>resolver stub</t>
  </si>
  <si>
    <t>not called (literal or early reject)</t>
  </si>
  <si>
    <t>returns one public IPv4</t>
  </si>
  <si>
    <t>returns one private IPv4</t>
  </si>
  <si>
    <t>returns public and private together</t>
  </si>
  <si>
    <t>returns an empty array</t>
  </si>
  <si>
    <t>throws SocketException</t>
  </si>
  <si>
    <t>never completes (forces the resolution timeout)</t>
  </si>
  <si>
    <t>cancellationToken</t>
  </si>
  <si>
    <t>None</t>
  </si>
  <si>
    <t>already cancelled</t>
  </si>
  <si>
    <t>true  (URL is safe to publish)</t>
  </si>
  <si>
    <t>false (URL is rejected)</t>
  </si>
  <si>
    <t>OperationCanceledException (caller cancelled)</t>
  </si>
  <si>
    <t>ArgumentNullException (uri is null)</t>
  </si>
  <si>
    <t>UTCID17</t>
  </si>
  <si>
    <t>UTCID18</t>
  </si>
  <si>
    <t>UTCID19</t>
  </si>
  <si>
    <t>UTCID20</t>
  </si>
  <si>
    <t>UTCID21</t>
  </si>
  <si>
    <t>StrictContentReviewOutcomeParser.Parse / ParseVision</t>
  </si>
  <si>
    <t>Fail closed when parsing a reviewer verdict. Check the completion envelope first (terminal success, refusal, content filter, truncation, finish reason), then require the whole trimmed output to be exactly one closed-schema JSON object. Reject prose, code fences, trailing tokens, unknown fields, duplicate keys, an unknown verdict and a reason exceeding the length limit. The vision path additionally requires reviewedPartIds to match the requested and sent part ids exactly.</t>
  </si>
  <si>
    <t>envelope flags</t>
  </si>
  <si>
    <t>ObservedTerminalSuccess is false</t>
  </si>
  <si>
    <t>IsRefused is true</t>
  </si>
  <si>
    <t>IsContentFiltered is true</t>
  </si>
  <si>
    <t>IsTruncated is true</t>
  </si>
  <si>
    <t>all clear (terminal success, nothing set)</t>
  </si>
  <si>
    <t>FinishReason</t>
  </si>
  <si>
    <t>"end_turn" (allowed)</t>
  </si>
  <si>
    <t>"stop" (allowed)</t>
  </si>
  <si>
    <t>whitespace only</t>
  </si>
  <si>
    <t>"max_tokens"</t>
  </si>
  <si>
    <t>"length"</t>
  </si>
  <si>
    <t>"tool_use" (not allowed)</t>
  </si>
  <si>
    <t>RawText</t>
  </si>
  <si>
    <t>empty after trim</t>
  </si>
  <si>
    <t>{"verdict":"approve","reason":"ok"}</t>
  </si>
  <si>
    <t>{"verdict":"reject","reason":"off brand"}</t>
  </si>
  <si>
    <t>{"verdict":"needs_human","reason":"unclear"}</t>
  </si>
  <si>
    <t>prose wrapping a JSON object</t>
  </si>
  <si>
    <t>a fenced code block containing JSON</t>
  </si>
  <si>
    <t>a valid object followed by a trailing token</t>
  </si>
  <si>
    <t>an object with an unknown extra field</t>
  </si>
  <si>
    <t>an object with verdict repeated twice</t>
  </si>
  <si>
    <t>{"verdict":"maybe"} (unknown verdict)</t>
  </si>
  <si>
    <t>a valid object with a reason above the length limit</t>
  </si>
  <si>
    <t>{"verdict":"approve","reason":"ok","reviewedPartIds":["p1"]}</t>
  </si>
  <si>
    <t>part ids (vision path)</t>
  </si>
  <si>
    <t>requested, sent and reviewed all match</t>
  </si>
  <si>
    <t>reviewed misses one requested id</t>
  </si>
  <si>
    <t>requested and sent differ</t>
  </si>
  <si>
    <t>all three are empty</t>
  </si>
  <si>
    <t>Accepted, ReviewStatus "passed"</t>
  </si>
  <si>
    <t>Accepted, ReviewStatus "rejected"</t>
  </si>
  <si>
    <t>Accepted, ReviewStatus "needs_human"</t>
  </si>
  <si>
    <t>Rejected "review_terminal_incomplete"</t>
  </si>
  <si>
    <t>Rejected "review_refused"</t>
  </si>
  <si>
    <t>Rejected "review_content_filtered"</t>
  </si>
  <si>
    <t>Rejected "review_truncated"</t>
  </si>
  <si>
    <t>Rejected "review_finish_reason_missing"</t>
  </si>
  <si>
    <t>Rejected "review_finish_reason_disallowed"</t>
  </si>
  <si>
    <t>Rejected "review_empty_output"</t>
  </si>
  <si>
    <t>Rejected "review_parse_failed"</t>
  </si>
  <si>
    <t>Rejected "review_part_ids_incomplete"</t>
  </si>
  <si>
    <t>UTCID22</t>
  </si>
  <si>
    <t>UTCID23</t>
  </si>
  <si>
    <t>UTCID24</t>
  </si>
  <si>
    <t>UTCID25</t>
  </si>
  <si>
    <t>Clawbot.Domain.Leads</t>
  </si>
  <si>
    <t>LeadScoringDefaults.Rules</t>
  </si>
  <si>
    <t>The default rule set is the contract between the seed-defaults endpoint and the message classifier event codes. Every event code emitted by the classifier must have exactly one rule, weights must match the agreed values, and no code may be duplicated. purchase_intent must outweigh every other single signal.</t>
  </si>
  <si>
    <t>assertion target</t>
  </si>
  <si>
    <t>rule count</t>
  </si>
  <si>
    <t>asked_substantive_question weight</t>
  </si>
  <si>
    <t>asked_class_size weight</t>
  </si>
  <si>
    <t>asked_schedule weight</t>
  </si>
  <si>
    <t>asked_teacher weight</t>
  </si>
  <si>
    <t>asked_commitment weight</t>
  </si>
  <si>
    <t>asked_price weight</t>
  </si>
  <si>
    <t>purchase_intent weight</t>
  </si>
  <si>
    <t>fast_reply weight</t>
  </si>
  <si>
    <t>event code uniqueness</t>
  </si>
  <si>
    <t>purchase_intent is the highest weight</t>
  </si>
  <si>
    <t>every rule has a non-empty description</t>
  </si>
  <si>
    <t>Expected</t>
  </si>
  <si>
    <t>8 rules</t>
  </si>
  <si>
    <t>weight is 8</t>
  </si>
  <si>
    <t>weight is 12</t>
  </si>
  <si>
    <t>weight is 10</t>
  </si>
  <si>
    <t>weight is 15</t>
  </si>
  <si>
    <t>weight is 9</t>
  </si>
  <si>
    <t>weight is 20</t>
  </si>
  <si>
    <t>weight is 5</t>
  </si>
  <si>
    <t>no duplicate event code</t>
  </si>
  <si>
    <t>purchase_intent weight is strictly greater than all others</t>
  </si>
  <si>
    <t>description length is above zero for every rule</t>
  </si>
  <si>
    <t>Clawbot.SharedKernel.Security</t>
  </si>
  <si>
    <t>AuthPolicy (SPEC-11 timing constants)</t>
  </si>
  <si>
    <t>Code is the single source of truth for auth timing. The API JwtOptions and the Infrastructure RefreshTokenOptions and Identity lockout all PostConfigure from these constants, so a stray appsettings value cannot drift the access-token lifetime, clock skew, refresh window or lockout out of sync. The Gateway is isolated by ADR-007 and must carry an identical ClockSkewSeconds in its own configuration.</t>
  </si>
  <si>
    <t>constant / bound option</t>
  </si>
  <si>
    <t>AccessTokenMinutes</t>
  </si>
  <si>
    <t>ClockSkewSeconds</t>
  </si>
  <si>
    <t>RefreshTokenDays</t>
  </si>
  <si>
    <t>RefreshGraceSeconds</t>
  </si>
  <si>
    <t>MaxFailedAccessAttempts</t>
  </si>
  <si>
    <t>LockoutMinutes</t>
  </si>
  <si>
    <t>JwtOptions after PostConfigure</t>
  </si>
  <si>
    <t>RefreshTokenOptions after PostConfigure</t>
  </si>
  <si>
    <t>Identity lockout options after PostConfigure</t>
  </si>
  <si>
    <t>Gateway configuration ClockSkewSeconds</t>
  </si>
  <si>
    <t>appsettings value</t>
  </si>
  <si>
    <t>absent</t>
  </si>
  <si>
    <t>matches the constant</t>
  </si>
  <si>
    <t>deliberately different from the constant</t>
  </si>
  <si>
    <t>value is 15</t>
  </si>
  <si>
    <t>value is 30</t>
  </si>
  <si>
    <t>value is 7</t>
  </si>
  <si>
    <t>value is 10</t>
  </si>
  <si>
    <t>value is 5</t>
  </si>
  <si>
    <t>bound option equals the constant, appsettings is ignored</t>
  </si>
  <si>
    <t>Gateway value equals AuthPolicy.ClockSkewSeconds</t>
  </si>
  <si>
    <t>Clawbot</t>
  </si>
  <si>
    <t>&lt;Creator&gt;</t>
  </si>
  <si>
    <t>CLAWBOT</t>
  </si>
  <si>
    <t>v1.0</t>
  </si>
  <si>
    <t>Unit Test Report</t>
  </si>
  <si>
    <t>Initial version</t>
  </si>
  <si>
    <t>1. Windows 11 + .NET 8 SDK
2. SQL Server 2022 (Docker :1433)
3. Redis 7 (Docker :6379)
4. xUnit + FluentAssertions
5. Moq (DNS stub via LlmBaseUrlGuard.ResolveHostAddresses test seam)</t>
  </si>
  <si>
    <t>IsAllowedBaseUrl</t>
  </si>
  <si>
    <t>Validate a base URL before an outbound HttpClient is created for an LLM provider</t>
  </si>
  <si>
    <t>The DNS test seam (LlmBaseUrlGuard.ResolveHostAddresses) is replaced with a stub in test setup</t>
  </si>
  <si>
    <t>NormalizeApiKey</t>
  </si>
  <si>
    <t>Validate the Encryption:Base64Key option when AesEncryptor is constructed via DI</t>
  </si>
  <si>
    <t>AesEncryptor is constructed directly using OptionsWrapper&lt;EncryptionOptions&gt;</t>
  </si>
  <si>
    <t>ContentLintCheck</t>
  </si>
  <si>
    <t>Static content lint that runs before the LLM reviewer gate</t>
  </si>
  <si>
    <t>No external dependencies; pure function</t>
  </si>
  <si>
    <t>ScenarioMatcher</t>
  </si>
  <si>
    <t>Pure scenario selector used by the auto-reply pipeline to pick the correct response template</t>
  </si>
  <si>
    <t>No external dependencies; pure function with in-memory candidate list</t>
  </si>
  <si>
    <t>GoldenHourResolve</t>
  </si>
  <si>
    <t>Calculates the next optimal posting time per platform for the content scheduler</t>
  </si>
  <si>
    <t>RecurrenceCalc</t>
  </si>
  <si>
    <t>Recurrence engine used by AgentSchedules to compute the next run time and deduplicate runs within a window</t>
  </si>
  <si>
    <t>Timezone ID must be a valid IANA/Windows timezone (e.g. SE Asia Standard Time)</t>
  </si>
  <si>
    <t>KbSuggestionApprove</t>
  </si>
  <si>
    <t>Domain aggregate methods controlling the KB suggestion lifecycle</t>
  </si>
  <si>
    <t>KbSuggestion instance built via KbSuggestion.Create with valid parameters</t>
  </si>
  <si>
    <t>ConversationResume</t>
  </si>
  <si>
    <t>AI auto-reply state machine on the Conversation aggregate</t>
  </si>
  <si>
    <t>Conversation instance is in a valid state (not resolved/deleted)</t>
  </si>
  <si>
    <t>PlanValidator</t>
  </si>
  <si>
    <t>Validate a planner-produced plan document against the bound agent catalog</t>
  </si>
  <si>
    <t>A catalog is supplied with at least one entry where Orchestratable is true</t>
  </si>
  <si>
    <t>CostGuard</t>
  </si>
  <si>
    <t>Enforce the per-tenant monthly LLM cost cap before and during an orchestration run</t>
  </si>
  <si>
    <t>A fake ILlmCostTracker returns a controlled SummaryAsync result; a separate fake also implements ILlmCostReservationStore</t>
  </si>
  <si>
    <t>PublicUrlSafety</t>
  </si>
  <si>
    <t>Validate a public media URL before it is submitted to an external publishing API</t>
  </si>
  <si>
    <t>A stub IHostAddressResolver is injected; the resolution timeout is shortened for the timeout case</t>
  </si>
  <si>
    <t>ReviewOutcomeParse</t>
  </si>
  <si>
    <t>Parse a content reviewer completion into an accepted verdict or a machine-readable error code</t>
  </si>
  <si>
    <t>ReviewCompletionEnvelope is constructed directly in the test; no LLM call is made</t>
  </si>
  <si>
    <t>LeadScoringWeights</t>
  </si>
  <si>
    <t>Confirm the default lead-scoring rule table stays in sync with the classifier event codes</t>
  </si>
  <si>
    <t>None; the rule table is a static readonly collection</t>
  </si>
  <si>
    <t>AuthPolicyConstants</t>
  </si>
  <si>
    <t>Lock auth timing constants and confirm bound options match after PostConfigure</t>
  </si>
  <si>
    <t>A host is built with a deliberately wrong appsettings value for each option under test</t>
  </si>
  <si>
    <t>&lt;Reviewer/Approver&gt;</t>
  </si>
  <si>
    <t>Clawbot.Agents.Core.Chat, Clawbot.Agents.Core.Content, Clawbot.Domain.ChatScenarios, Clawbot.SharedKernel.Content, Clawbot.Agents.Core.Orchestrator, Clawbot.Domain.KnowledgeBase, Clawbot.Domain.Conversations, Clawbot.Infrastructure.Security, Clawbot.Infrastructure.Content.Publishing, Clawbot.Domain.Leads, Clawbot.SharedKernel.Security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</si>
</sst>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mm/dd"/>
  </numFmts>
  <fonts count="52">
    <font>
      <sz val="11"/>
      <name val="ＭＳ Ｐゴシック"/>
      <family val="3"/>
      <charset val="128"/>
    </font>
    <font>
      <sz val="11"/>
      <name val="ＭＳ Ｐゴシック"/>
      <family val="3"/>
      <charset val="128"/>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indexed="12"/>
      <name val="ＭＳ Ｐゴシック"/>
      <family val="3"/>
      <charset val="128"/>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name val="ＭＳ ゴシック"/>
      <family val="3"/>
      <charset val="128"/>
    </font>
    <font>
      <b/>
      <sz val="26"/>
      <color indexed="10"/>
      <name val="Tahoma"/>
      <family val="2"/>
    </font>
    <font>
      <b/>
      <sz val="20"/>
      <color indexed="8"/>
      <name val="Tahoma"/>
      <family val="2"/>
    </font>
    <font>
      <sz val="10"/>
      <name val="Tahoma"/>
      <family val="2"/>
    </font>
    <font>
      <b/>
      <sz val="10"/>
      <color indexed="60"/>
      <name val="Tahoma"/>
      <family val="2"/>
    </font>
    <font>
      <i/>
      <sz val="10"/>
      <color indexed="17"/>
      <name val="Tahoma"/>
      <family val="2"/>
    </font>
    <font>
      <b/>
      <sz val="10"/>
      <color indexed="9"/>
      <name val="Tahoma"/>
      <family val="2"/>
    </font>
    <font>
      <b/>
      <sz val="10"/>
      <color indexed="8"/>
      <name val="Tahoma"/>
      <family val="2"/>
    </font>
    <font>
      <b/>
      <sz val="10"/>
      <color indexed="10"/>
      <name val="Tahoma"/>
      <family val="2"/>
    </font>
    <font>
      <b/>
      <sz val="10"/>
      <name val="Tahoma"/>
      <family val="2"/>
    </font>
    <font>
      <u/>
      <sz val="10"/>
      <color indexed="12"/>
      <name val="Tahoma"/>
      <family val="2"/>
    </font>
    <font>
      <sz val="10"/>
      <color indexed="9"/>
      <name val="Tahoma"/>
      <family val="2"/>
    </font>
    <font>
      <sz val="10"/>
      <color indexed="8"/>
      <name val="Tahoma"/>
      <family val="2"/>
    </font>
    <font>
      <sz val="8"/>
      <name val="Tahoma"/>
      <family val="2"/>
    </font>
    <font>
      <b/>
      <sz val="8"/>
      <name val="Tahoma"/>
      <family val="2"/>
    </font>
    <font>
      <sz val="8"/>
      <color indexed="17"/>
      <name val="Tahoma"/>
      <family val="2"/>
    </font>
    <font>
      <i/>
      <sz val="8"/>
      <name val="Tahoma"/>
      <family val="2"/>
    </font>
    <font>
      <b/>
      <sz val="8"/>
      <color indexed="81"/>
      <name val="Tahoma"/>
      <family val="2"/>
    </font>
    <font>
      <sz val="8"/>
      <color indexed="81"/>
      <name val="Tahoma"/>
      <family val="2"/>
    </font>
    <font>
      <sz val="6"/>
      <name val="ＭＳ Ｐゴシック"/>
      <family val="3"/>
      <charset val="128"/>
    </font>
    <font>
      <i/>
      <sz val="10"/>
      <name val="Tahoma"/>
      <family val="2"/>
    </font>
    <font>
      <u/>
      <sz val="11"/>
      <color indexed="12"/>
      <name val="Tahoma"/>
      <family val="2"/>
    </font>
    <font>
      <b/>
      <sz val="18"/>
      <name val="Tahoma"/>
      <family val="2"/>
    </font>
    <font>
      <b/>
      <sz val="11"/>
      <name val="Tahoma"/>
      <family val="2"/>
    </font>
    <font>
      <b/>
      <sz val="14"/>
      <name val="Tahoma"/>
      <family val="2"/>
    </font>
    <font>
      <sz val="10.5"/>
      <name val="Tahoma"/>
      <family val="2"/>
    </font>
    <font>
      <sz val="11"/>
      <name val="Tahoma"/>
      <family val="2"/>
    </font>
    <font>
      <b/>
      <sz val="12"/>
      <name val="Tahoma"/>
      <family val="2"/>
    </font>
    <font>
      <i/>
      <sz val="11"/>
      <name val="Tahoma"/>
      <family val="2"/>
    </font>
    <font>
      <b/>
      <sz val="11"/>
      <color indexed="9"/>
      <name val="Tahoma"/>
      <family val="2"/>
    </font>
    <font>
      <b/>
      <sz val="8"/>
      <color indexed="9"/>
      <name val="Tahoma"/>
      <family val="2"/>
    </font>
    <font>
      <sz val="8"/>
      <color indexed="9"/>
      <name val="Tahoma"/>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9"/>
        <bgColor indexed="64"/>
      </patternFill>
    </fill>
    <fill>
      <patternFill patternType="solid">
        <fgColor indexed="52"/>
        <bgColor indexed="64"/>
      </patternFill>
    </fill>
    <fill>
      <patternFill patternType="solid">
        <fgColor indexed="42"/>
        <bgColor indexed="64"/>
      </patternFill>
    </fill>
    <fill>
      <patternFill patternType="solid">
        <fgColor indexed="18"/>
        <bgColor indexed="64"/>
      </patternFill>
    </fill>
  </fills>
  <borders count="8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right style="medium">
        <color indexed="8"/>
      </right>
      <top/>
      <bottom style="thin">
        <color indexed="8"/>
      </bottom>
      <diagonal/>
    </border>
    <border>
      <left style="thin">
        <color indexed="64"/>
      </left>
      <right/>
      <top style="thin">
        <color indexed="8"/>
      </top>
      <bottom style="medium">
        <color indexed="8"/>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medium">
        <color indexed="9"/>
      </top>
      <bottom/>
      <diagonal/>
    </border>
    <border>
      <left style="double">
        <color indexed="64"/>
      </left>
      <right style="thin">
        <color indexed="64"/>
      </right>
      <top/>
      <bottom style="double">
        <color indexed="64"/>
      </bottom>
      <diagonal/>
    </border>
    <border>
      <left style="double">
        <color indexed="64"/>
      </left>
      <right style="hair">
        <color indexed="8"/>
      </right>
      <top style="double">
        <color indexed="64"/>
      </top>
      <bottom style="medium">
        <color indexed="9"/>
      </bottom>
      <diagonal/>
    </border>
    <border>
      <left/>
      <right/>
      <top style="double">
        <color indexed="64"/>
      </top>
      <bottom style="medium">
        <color indexed="9"/>
      </bottom>
      <diagonal/>
    </border>
    <border>
      <left/>
      <right style="double">
        <color indexed="64"/>
      </right>
      <top style="double">
        <color indexed="64"/>
      </top>
      <bottom style="medium">
        <color indexed="9"/>
      </bottom>
      <diagonal/>
    </border>
    <border>
      <left/>
      <right/>
      <top style="thin">
        <color indexed="8"/>
      </top>
      <bottom style="thin">
        <color indexed="8"/>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right style="thin">
        <color indexed="64"/>
      </right>
      <top style="thin">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top style="thin">
        <color indexed="8"/>
      </top>
      <bottom style="thin">
        <color indexed="8"/>
      </bottom>
      <diagonal/>
    </border>
    <border>
      <left style="thin">
        <color indexed="8"/>
      </left>
      <right/>
      <top/>
      <bottom style="thin">
        <color indexed="8"/>
      </bottom>
      <diagonal/>
    </border>
    <border>
      <left/>
      <right style="thin">
        <color indexed="64"/>
      </right>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thin">
        <color indexed="8"/>
      </bottom>
      <diagonal/>
    </border>
    <border>
      <left/>
      <right style="medium">
        <color indexed="64"/>
      </right>
      <top style="thin">
        <color indexed="8"/>
      </top>
      <bottom style="medium">
        <color indexed="8"/>
      </bottom>
      <diagonal/>
    </border>
    <border>
      <left style="thin">
        <color indexed="64"/>
      </left>
      <right/>
      <top style="thin">
        <color indexed="8"/>
      </top>
      <bottom style="thin">
        <color indexed="8"/>
      </bottom>
      <diagonal/>
    </border>
    <border>
      <left/>
      <right style="medium">
        <color indexed="64"/>
      </right>
      <top style="thin">
        <color indexed="8"/>
      </top>
      <bottom style="thin">
        <color indexed="8"/>
      </bottom>
      <diagonal/>
    </border>
    <border>
      <left/>
      <right style="medium">
        <color indexed="8"/>
      </right>
      <top style="medium">
        <color indexed="64"/>
      </top>
      <bottom style="thin">
        <color indexed="64"/>
      </bottom>
      <diagonal/>
    </border>
    <border>
      <left/>
      <right style="thin">
        <color indexed="64"/>
      </right>
      <top style="thin">
        <color indexed="8"/>
      </top>
      <bottom style="thin">
        <color indexed="8"/>
      </bottom>
      <diagonal/>
    </border>
  </borders>
  <cellStyleXfs count="47">
    <xf numFmtId="0" fontId="0" fillId="0" borderId="0">
      <alignment vertical="center"/>
    </xf>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0" borderId="0"/>
    <xf numFmtId="0" fontId="1" fillId="0" borderId="0"/>
    <xf numFmtId="0" fontId="1" fillId="0" borderId="0"/>
    <xf numFmtId="0" fontId="1"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0" fillId="0" borderId="0"/>
  </cellStyleXfs>
  <cellXfs count="231">
    <xf numFmtId="0" fontId="0" fillId="0" borderId="0" xfId="0">
      <alignment vertical="center"/>
    </xf>
    <xf numFmtId="0" fontId="21" fillId="0" borderId="10" xfId="40" applyFont="1" applyBorder="1" applyAlignment="1">
      <alignment horizontal="center" vertical="center"/>
    </xf>
    <xf numFmtId="0" fontId="23" fillId="0" borderId="0" xfId="40" applyFont="1" applyAlignment="1">
      <alignment horizontal="center" vertical="center"/>
    </xf>
    <xf numFmtId="0" fontId="23" fillId="0" borderId="0" xfId="40" applyFont="1"/>
    <xf numFmtId="0" fontId="24" fillId="24" borderId="0" xfId="40" applyFont="1" applyFill="1" applyAlignment="1">
      <alignment horizontal="left" indent="1"/>
    </xf>
    <xf numFmtId="0" fontId="25" fillId="0" borderId="0" xfId="40" applyFont="1" applyAlignment="1">
      <alignment horizontal="left" indent="1"/>
    </xf>
    <xf numFmtId="0" fontId="23" fillId="24" borderId="0" xfId="40" applyFont="1" applyFill="1"/>
    <xf numFmtId="0" fontId="23" fillId="0" borderId="11" xfId="40" applyFont="1" applyBorder="1"/>
    <xf numFmtId="0" fontId="25" fillId="0" borderId="0" xfId="40" applyFont="1" applyAlignment="1">
      <alignment horizontal="left"/>
    </xf>
    <xf numFmtId="0" fontId="24" fillId="0" borderId="0" xfId="40" applyFont="1" applyAlignment="1">
      <alignment horizontal="left" indent="1"/>
    </xf>
    <xf numFmtId="0" fontId="23" fillId="0" borderId="0" xfId="40" applyFont="1" applyAlignment="1">
      <alignment vertical="center"/>
    </xf>
    <xf numFmtId="164" fontId="26" fillId="25" borderId="12" xfId="40" applyNumberFormat="1" applyFont="1" applyFill="1" applyBorder="1" applyAlignment="1">
      <alignment horizontal="center" vertical="center"/>
    </xf>
    <xf numFmtId="0" fontId="26" fillId="25" borderId="13" xfId="40" applyFont="1" applyFill="1" applyBorder="1" applyAlignment="1">
      <alignment horizontal="center" vertical="center"/>
    </xf>
    <xf numFmtId="0" fontId="26" fillId="25" borderId="14" xfId="40" applyFont="1" applyFill="1" applyBorder="1" applyAlignment="1">
      <alignment horizontal="center" vertical="center"/>
    </xf>
    <xf numFmtId="0" fontId="23" fillId="0" borderId="0" xfId="40" applyFont="1" applyAlignment="1">
      <alignment vertical="top"/>
    </xf>
    <xf numFmtId="49" fontId="23" fillId="0" borderId="15" xfId="40" applyNumberFormat="1" applyFont="1" applyBorder="1" applyAlignment="1">
      <alignment vertical="top"/>
    </xf>
    <xf numFmtId="0" fontId="23" fillId="0" borderId="15" xfId="40" applyFont="1" applyBorder="1" applyAlignment="1">
      <alignment vertical="top"/>
    </xf>
    <xf numFmtId="15" fontId="23" fillId="0" borderId="15" xfId="40" applyNumberFormat="1" applyFont="1" applyBorder="1" applyAlignment="1">
      <alignment vertical="top"/>
    </xf>
    <xf numFmtId="164" fontId="23" fillId="0" borderId="16" xfId="40" applyNumberFormat="1" applyFont="1" applyBorder="1" applyAlignment="1">
      <alignment vertical="top"/>
    </xf>
    <xf numFmtId="0" fontId="23" fillId="0" borderId="17" xfId="40" applyFont="1" applyBorder="1" applyAlignment="1">
      <alignment vertical="top"/>
    </xf>
    <xf numFmtId="164" fontId="23" fillId="0" borderId="18" xfId="40" applyNumberFormat="1" applyFont="1" applyBorder="1" applyAlignment="1">
      <alignment vertical="top"/>
    </xf>
    <xf numFmtId="49" fontId="23" fillId="0" borderId="19" xfId="40" applyNumberFormat="1" applyFont="1" applyBorder="1" applyAlignment="1">
      <alignment vertical="top"/>
    </xf>
    <xf numFmtId="0" fontId="23" fillId="0" borderId="19" xfId="40" applyFont="1" applyBorder="1" applyAlignment="1">
      <alignment vertical="top"/>
    </xf>
    <xf numFmtId="0" fontId="23" fillId="0" borderId="20" xfId="40" applyFont="1" applyBorder="1" applyAlignment="1">
      <alignment vertical="top"/>
    </xf>
    <xf numFmtId="0" fontId="23" fillId="0" borderId="0" xfId="40" applyFont="1" applyAlignment="1">
      <alignment horizontal="left" indent="1"/>
    </xf>
    <xf numFmtId="1" fontId="23" fillId="24" borderId="0" xfId="40" applyNumberFormat="1" applyFont="1" applyFill="1" applyProtection="1">
      <protection hidden="1"/>
    </xf>
    <xf numFmtId="0" fontId="23" fillId="24" borderId="0" xfId="40" applyFont="1" applyFill="1" applyAlignment="1">
      <alignment horizontal="left"/>
    </xf>
    <xf numFmtId="0" fontId="23" fillId="24" borderId="0" xfId="40" applyFont="1" applyFill="1" applyAlignment="1">
      <alignment horizontal="left" wrapText="1"/>
    </xf>
    <xf numFmtId="0" fontId="22" fillId="24" borderId="0" xfId="40" applyFont="1" applyFill="1" applyAlignment="1">
      <alignment horizontal="left"/>
    </xf>
    <xf numFmtId="0" fontId="27" fillId="24" borderId="0" xfId="40" applyFont="1" applyFill="1" applyAlignment="1">
      <alignment horizontal="left"/>
    </xf>
    <xf numFmtId="0" fontId="28" fillId="24" borderId="0" xfId="40" applyFont="1" applyFill="1" applyAlignment="1">
      <alignment horizontal="left"/>
    </xf>
    <xf numFmtId="0" fontId="23" fillId="24" borderId="0" xfId="40" applyFont="1" applyFill="1" applyAlignment="1">
      <alignment wrapText="1"/>
    </xf>
    <xf numFmtId="1" fontId="24" fillId="24" borderId="0" xfId="40" applyNumberFormat="1" applyFont="1" applyFill="1"/>
    <xf numFmtId="1" fontId="26" fillId="26" borderId="12" xfId="40" applyNumberFormat="1" applyFont="1" applyFill="1" applyBorder="1" applyAlignment="1">
      <alignment horizontal="center" vertical="center"/>
    </xf>
    <xf numFmtId="1" fontId="26" fillId="26" borderId="21" xfId="40" applyNumberFormat="1" applyFont="1" applyFill="1" applyBorder="1" applyAlignment="1">
      <alignment horizontal="center" vertical="center"/>
    </xf>
    <xf numFmtId="0" fontId="26" fillId="26" borderId="13" xfId="40" applyFont="1" applyFill="1" applyBorder="1" applyAlignment="1">
      <alignment horizontal="center" vertical="center"/>
    </xf>
    <xf numFmtId="0" fontId="26" fillId="26" borderId="13" xfId="40" applyFont="1" applyFill="1" applyBorder="1" applyAlignment="1">
      <alignment horizontal="center" vertical="center" wrapText="1"/>
    </xf>
    <xf numFmtId="0" fontId="26" fillId="26" borderId="22" xfId="40" applyFont="1" applyFill="1" applyBorder="1" applyAlignment="1">
      <alignment horizontal="center" vertical="center"/>
    </xf>
    <xf numFmtId="0" fontId="26" fillId="26" borderId="14" xfId="40" applyFont="1" applyFill="1" applyBorder="1" applyAlignment="1">
      <alignment horizontal="center" vertical="center"/>
    </xf>
    <xf numFmtId="0" fontId="29" fillId="24" borderId="0" xfId="40" applyFont="1" applyFill="1" applyAlignment="1">
      <alignment horizontal="center"/>
    </xf>
    <xf numFmtId="1" fontId="23" fillId="24" borderId="23" xfId="40" applyNumberFormat="1" applyFont="1" applyFill="1" applyBorder="1" applyAlignment="1">
      <alignment vertical="center"/>
    </xf>
    <xf numFmtId="49" fontId="23" fillId="24" borderId="15" xfId="40" applyNumberFormat="1" applyFont="1" applyFill="1" applyBorder="1" applyAlignment="1">
      <alignment horizontal="left" vertical="center" wrapText="1"/>
    </xf>
    <xf numFmtId="0" fontId="30" fillId="24" borderId="15" xfId="34" applyNumberFormat="1" applyFont="1" applyFill="1" applyBorder="1" applyAlignment="1" applyProtection="1">
      <alignment horizontal="left" vertical="center"/>
    </xf>
    <xf numFmtId="0" fontId="23" fillId="24" borderId="17" xfId="40" applyFont="1" applyFill="1" applyBorder="1" applyAlignment="1">
      <alignment horizontal="left" vertical="center"/>
    </xf>
    <xf numFmtId="0" fontId="23" fillId="24" borderId="15" xfId="40" applyFont="1" applyFill="1" applyBorder="1" applyAlignment="1">
      <alignment horizontal="left" vertical="center"/>
    </xf>
    <xf numFmtId="1" fontId="23" fillId="24" borderId="24" xfId="40" applyNumberFormat="1" applyFont="1" applyFill="1" applyBorder="1" applyAlignment="1">
      <alignment vertical="center"/>
    </xf>
    <xf numFmtId="49" fontId="23" fillId="24" borderId="19" xfId="40" applyNumberFormat="1" applyFont="1" applyFill="1" applyBorder="1" applyAlignment="1">
      <alignment horizontal="left" vertical="center" wrapText="1"/>
    </xf>
    <xf numFmtId="0" fontId="23" fillId="24" borderId="19" xfId="40" applyFont="1" applyFill="1" applyBorder="1" applyAlignment="1">
      <alignment horizontal="left" vertical="center"/>
    </xf>
    <xf numFmtId="0" fontId="23" fillId="24" borderId="20" xfId="40" applyFont="1" applyFill="1" applyBorder="1" applyAlignment="1">
      <alignment horizontal="left" vertical="center"/>
    </xf>
    <xf numFmtId="1" fontId="23" fillId="24" borderId="0" xfId="40" applyNumberFormat="1" applyFont="1" applyFill="1"/>
    <xf numFmtId="0" fontId="29" fillId="24" borderId="0" xfId="38" applyFont="1" applyFill="1"/>
    <xf numFmtId="0" fontId="23" fillId="24" borderId="0" xfId="38" applyFont="1" applyFill="1"/>
    <xf numFmtId="164" fontId="23" fillId="24" borderId="0" xfId="38" applyNumberFormat="1" applyFont="1" applyFill="1"/>
    <xf numFmtId="0" fontId="24" fillId="24" borderId="0" xfId="40" applyFont="1" applyFill="1"/>
    <xf numFmtId="0" fontId="25" fillId="24" borderId="0" xfId="38" applyFont="1" applyFill="1"/>
    <xf numFmtId="0" fontId="26" fillId="25" borderId="21" xfId="40" applyFont="1" applyFill="1" applyBorder="1" applyAlignment="1">
      <alignment horizontal="center"/>
    </xf>
    <xf numFmtId="0" fontId="26" fillId="25" borderId="13" xfId="40" applyFont="1" applyFill="1" applyBorder="1" applyAlignment="1">
      <alignment horizontal="center"/>
    </xf>
    <xf numFmtId="0" fontId="26" fillId="25" borderId="13" xfId="40" applyFont="1" applyFill="1" applyBorder="1" applyAlignment="1">
      <alignment horizontal="center" wrapText="1"/>
    </xf>
    <xf numFmtId="0" fontId="26" fillId="25" borderId="22" xfId="40" applyFont="1" applyFill="1" applyBorder="1" applyAlignment="1">
      <alignment horizontal="center"/>
    </xf>
    <xf numFmtId="0" fontId="26" fillId="25" borderId="25" xfId="40" applyFont="1" applyFill="1" applyBorder="1" applyAlignment="1">
      <alignment horizontal="center" wrapText="1"/>
    </xf>
    <xf numFmtId="0" fontId="23" fillId="24" borderId="23" xfId="40" applyFont="1" applyFill="1" applyBorder="1" applyAlignment="1">
      <alignment horizontal="center"/>
    </xf>
    <xf numFmtId="0" fontId="23" fillId="24" borderId="15" xfId="40" applyFont="1" applyFill="1" applyBorder="1" applyAlignment="1">
      <alignment horizontal="center"/>
    </xf>
    <xf numFmtId="0" fontId="23" fillId="24" borderId="26" xfId="40" applyFont="1" applyFill="1" applyBorder="1" applyAlignment="1">
      <alignment horizontal="center"/>
    </xf>
    <xf numFmtId="0" fontId="31" fillId="25" borderId="24" xfId="40" applyFont="1" applyFill="1" applyBorder="1" applyAlignment="1">
      <alignment horizontal="center"/>
    </xf>
    <xf numFmtId="0" fontId="31" fillId="25" borderId="19" xfId="40" applyFont="1" applyFill="1" applyBorder="1" applyAlignment="1">
      <alignment horizontal="center"/>
    </xf>
    <xf numFmtId="0" fontId="23" fillId="24" borderId="0" xfId="40" applyFont="1" applyFill="1" applyAlignment="1">
      <alignment horizontal="center"/>
    </xf>
    <xf numFmtId="10" fontId="23" fillId="24" borderId="0" xfId="40" applyNumberFormat="1" applyFont="1" applyFill="1" applyAlignment="1">
      <alignment horizontal="center"/>
    </xf>
    <xf numFmtId="9" fontId="23" fillId="24" borderId="0" xfId="40" applyNumberFormat="1" applyFont="1" applyFill="1" applyAlignment="1">
      <alignment horizontal="center"/>
    </xf>
    <xf numFmtId="0" fontId="32" fillId="24" borderId="0" xfId="40" applyFont="1" applyFill="1" applyAlignment="1">
      <alignment horizontal="center" wrapText="1"/>
    </xf>
    <xf numFmtId="0" fontId="33" fillId="0" borderId="0" xfId="40" applyFont="1"/>
    <xf numFmtId="0" fontId="33" fillId="0" borderId="0" xfId="40" applyFont="1" applyAlignment="1">
      <alignment horizontal="right"/>
    </xf>
    <xf numFmtId="49" fontId="33" fillId="0" borderId="0" xfId="40" applyNumberFormat="1" applyFont="1"/>
    <xf numFmtId="0" fontId="33" fillId="0" borderId="27" xfId="40" applyFont="1" applyBorder="1"/>
    <xf numFmtId="0" fontId="34" fillId="0" borderId="0" xfId="40" applyFont="1" applyAlignment="1">
      <alignment horizontal="left"/>
    </xf>
    <xf numFmtId="0" fontId="34" fillId="0" borderId="0" xfId="40" applyFont="1"/>
    <xf numFmtId="0" fontId="34" fillId="27" borderId="28" xfId="40" applyFont="1" applyFill="1" applyBorder="1" applyAlignment="1">
      <alignment horizontal="left" vertical="top"/>
    </xf>
    <xf numFmtId="0" fontId="33" fillId="27" borderId="29" xfId="40" applyFont="1" applyFill="1" applyBorder="1" applyAlignment="1">
      <alignment horizontal="center" vertical="top"/>
    </xf>
    <xf numFmtId="0" fontId="33" fillId="27" borderId="30" xfId="40" applyFont="1" applyFill="1" applyBorder="1" applyAlignment="1">
      <alignment horizontal="right" vertical="top"/>
    </xf>
    <xf numFmtId="0" fontId="36" fillId="28" borderId="0" xfId="40" applyFont="1" applyFill="1" applyAlignment="1">
      <alignment horizontal="right"/>
    </xf>
    <xf numFmtId="0" fontId="33" fillId="0" borderId="0" xfId="40" applyFont="1" applyAlignment="1">
      <alignment vertical="top"/>
    </xf>
    <xf numFmtId="0" fontId="33" fillId="28" borderId="0" xfId="40" applyFont="1" applyFill="1" applyAlignment="1">
      <alignment horizontal="right"/>
    </xf>
    <xf numFmtId="0" fontId="34" fillId="27" borderId="33" xfId="40" applyFont="1" applyFill="1" applyBorder="1" applyAlignment="1">
      <alignment horizontal="left" vertical="top"/>
    </xf>
    <xf numFmtId="0" fontId="33" fillId="27" borderId="34" xfId="40" applyFont="1" applyFill="1" applyBorder="1" applyAlignment="1">
      <alignment horizontal="center" vertical="top"/>
    </xf>
    <xf numFmtId="0" fontId="33" fillId="27" borderId="35" xfId="40" applyFont="1" applyFill="1" applyBorder="1" applyAlignment="1">
      <alignment horizontal="right" vertical="top"/>
    </xf>
    <xf numFmtId="0" fontId="33" fillId="28" borderId="36" xfId="40" applyFont="1" applyFill="1" applyBorder="1" applyAlignment="1">
      <alignment horizontal="right"/>
    </xf>
    <xf numFmtId="0" fontId="34" fillId="27" borderId="38" xfId="40" applyFont="1" applyFill="1" applyBorder="1"/>
    <xf numFmtId="0" fontId="34" fillId="27" borderId="39" xfId="40" applyFont="1" applyFill="1" applyBorder="1"/>
    <xf numFmtId="0" fontId="33" fillId="27" borderId="40" xfId="40" applyFont="1" applyFill="1" applyBorder="1" applyAlignment="1">
      <alignment horizontal="right"/>
    </xf>
    <xf numFmtId="0" fontId="33" fillId="28" borderId="41" xfId="40" applyFont="1" applyFill="1" applyBorder="1" applyAlignment="1">
      <alignment horizontal="left"/>
    </xf>
    <xf numFmtId="0" fontId="34" fillId="27" borderId="28" xfId="40" applyFont="1" applyFill="1" applyBorder="1"/>
    <xf numFmtId="0" fontId="33" fillId="27" borderId="29" xfId="40" applyFont="1" applyFill="1" applyBorder="1"/>
    <xf numFmtId="0" fontId="33" fillId="27" borderId="30" xfId="40" applyFont="1" applyFill="1" applyBorder="1" applyAlignment="1">
      <alignment horizontal="right"/>
    </xf>
    <xf numFmtId="0" fontId="33" fillId="28" borderId="32" xfId="40" applyFont="1" applyFill="1" applyBorder="1" applyAlignment="1">
      <alignment horizontal="left"/>
    </xf>
    <xf numFmtId="0" fontId="33" fillId="28" borderId="32" xfId="40" applyFont="1" applyFill="1" applyBorder="1"/>
    <xf numFmtId="0" fontId="35" fillId="0" borderId="32" xfId="40" applyFont="1" applyBorder="1" applyAlignment="1">
      <alignment horizontal="left"/>
    </xf>
    <xf numFmtId="0" fontId="33" fillId="0" borderId="32" xfId="40" applyFont="1" applyBorder="1"/>
    <xf numFmtId="165" fontId="33" fillId="0" borderId="32" xfId="40" applyNumberFormat="1" applyFont="1" applyBorder="1" applyAlignment="1">
      <alignment vertical="top" textRotation="255"/>
    </xf>
    <xf numFmtId="0" fontId="40" fillId="0" borderId="11" xfId="40" applyFont="1" applyBorder="1" applyAlignment="1">
      <alignment horizontal="left" indent="1"/>
    </xf>
    <xf numFmtId="0" fontId="40" fillId="0" borderId="17" xfId="40" applyFont="1" applyBorder="1" applyAlignment="1">
      <alignment vertical="top" wrapText="1"/>
    </xf>
    <xf numFmtId="1" fontId="23" fillId="24" borderId="16" xfId="40" applyNumberFormat="1" applyFont="1" applyFill="1" applyBorder="1" applyAlignment="1">
      <alignment horizontal="center" vertical="center"/>
    </xf>
    <xf numFmtId="1" fontId="23" fillId="24" borderId="18" xfId="40" applyNumberFormat="1" applyFont="1" applyFill="1" applyBorder="1" applyAlignment="1">
      <alignment horizontal="center" vertical="center"/>
    </xf>
    <xf numFmtId="0" fontId="42" fillId="29" borderId="0" xfId="0" applyFont="1" applyFill="1" applyAlignment="1">
      <alignment horizontal="center"/>
    </xf>
    <xf numFmtId="0" fontId="43" fillId="29" borderId="0" xfId="0" applyFont="1" applyFill="1">
      <alignment vertical="center"/>
    </xf>
    <xf numFmtId="0" fontId="44" fillId="29" borderId="0" xfId="0" applyFont="1" applyFill="1">
      <alignment vertical="center"/>
    </xf>
    <xf numFmtId="0" fontId="45" fillId="29" borderId="0" xfId="0" applyFont="1" applyFill="1" applyAlignment="1">
      <alignment horizontal="justify"/>
    </xf>
    <xf numFmtId="0" fontId="46" fillId="29" borderId="0" xfId="0" applyFont="1" applyFill="1">
      <alignment vertical="center"/>
    </xf>
    <xf numFmtId="0" fontId="47" fillId="29" borderId="0" xfId="0" applyFont="1" applyFill="1" applyAlignment="1">
      <alignment horizontal="justify"/>
    </xf>
    <xf numFmtId="0" fontId="47" fillId="29" borderId="0" xfId="0" applyFont="1" applyFill="1">
      <alignment vertical="center"/>
    </xf>
    <xf numFmtId="0" fontId="45" fillId="29" borderId="0" xfId="0" quotePrefix="1" applyFont="1" applyFill="1" applyAlignment="1">
      <alignment horizontal="justify"/>
    </xf>
    <xf numFmtId="0" fontId="23" fillId="29" borderId="0" xfId="0" applyFont="1" applyFill="1" applyAlignment="1">
      <alignment horizontal="justify"/>
    </xf>
    <xf numFmtId="0" fontId="23" fillId="29" borderId="0" xfId="0" applyFont="1" applyFill="1" applyAlignment="1">
      <alignment horizontal="justify" wrapText="1"/>
    </xf>
    <xf numFmtId="0" fontId="23" fillId="29" borderId="0" xfId="0" applyFont="1" applyFill="1" applyAlignment="1">
      <alignment horizontal="left" wrapText="1"/>
    </xf>
    <xf numFmtId="0" fontId="29" fillId="29" borderId="0" xfId="0" applyFont="1" applyFill="1" applyAlignment="1">
      <alignment horizontal="justify"/>
    </xf>
    <xf numFmtId="0" fontId="40" fillId="29" borderId="0" xfId="0" applyFont="1" applyFill="1" applyAlignment="1">
      <alignment horizontal="justify"/>
    </xf>
    <xf numFmtId="0" fontId="48" fillId="29" borderId="0" xfId="0" applyFont="1" applyFill="1">
      <alignment vertical="center"/>
    </xf>
    <xf numFmtId="0" fontId="29" fillId="24" borderId="42" xfId="40" applyFont="1" applyFill="1" applyBorder="1" applyAlignment="1">
      <alignment horizontal="left"/>
    </xf>
    <xf numFmtId="0" fontId="29" fillId="0" borderId="0" xfId="40" applyFont="1"/>
    <xf numFmtId="0" fontId="29" fillId="0" borderId="0" xfId="40" applyFont="1" applyAlignment="1">
      <alignment horizontal="left"/>
    </xf>
    <xf numFmtId="49" fontId="41" fillId="24" borderId="15" xfId="34" applyNumberFormat="1" applyFont="1" applyFill="1" applyBorder="1"/>
    <xf numFmtId="0" fontId="49" fillId="30" borderId="0" xfId="0" applyFont="1" applyFill="1">
      <alignment vertical="center"/>
    </xf>
    <xf numFmtId="0" fontId="47" fillId="0" borderId="32" xfId="40" applyFont="1" applyBorder="1" applyAlignment="1">
      <alignment horizontal="center"/>
    </xf>
    <xf numFmtId="0" fontId="34" fillId="0" borderId="0" xfId="40" applyFont="1" applyAlignment="1">
      <alignment horizontal="center"/>
    </xf>
    <xf numFmtId="0" fontId="47" fillId="0" borderId="37" xfId="40" applyFont="1" applyBorder="1" applyAlignment="1">
      <alignment horizontal="center"/>
    </xf>
    <xf numFmtId="0" fontId="47" fillId="0" borderId="41" xfId="40" applyFont="1" applyBorder="1" applyAlignment="1">
      <alignment horizontal="center"/>
    </xf>
    <xf numFmtId="0" fontId="46" fillId="27" borderId="29" xfId="40" applyFont="1" applyFill="1" applyBorder="1"/>
    <xf numFmtId="0" fontId="33" fillId="0" borderId="32" xfId="40" applyFont="1" applyBorder="1" applyAlignment="1">
      <alignment horizontal="center"/>
    </xf>
    <xf numFmtId="0" fontId="36" fillId="24" borderId="43" xfId="39" applyFont="1" applyFill="1" applyBorder="1" applyAlignment="1">
      <alignment wrapText="1"/>
    </xf>
    <xf numFmtId="0" fontId="36" fillId="24" borderId="44" xfId="39" applyFont="1" applyFill="1" applyBorder="1" applyAlignment="1">
      <alignment wrapText="1"/>
    </xf>
    <xf numFmtId="0" fontId="33" fillId="24" borderId="45" xfId="40" applyFont="1" applyFill="1" applyBorder="1" applyAlignment="1">
      <alignment horizontal="center" vertical="center"/>
    </xf>
    <xf numFmtId="0" fontId="29" fillId="24" borderId="42" xfId="40" applyFont="1" applyFill="1" applyBorder="1" applyAlignment="1">
      <alignment horizontal="left" vertical="center"/>
    </xf>
    <xf numFmtId="0" fontId="29" fillId="24" borderId="42" xfId="40" applyFont="1" applyFill="1" applyBorder="1" applyAlignment="1">
      <alignment vertical="center"/>
    </xf>
    <xf numFmtId="0" fontId="29" fillId="24" borderId="0" xfId="40" applyFont="1" applyFill="1" applyAlignment="1">
      <alignment horizontal="left"/>
    </xf>
    <xf numFmtId="2" fontId="29" fillId="24" borderId="0" xfId="40" applyNumberFormat="1" applyFont="1" applyFill="1" applyAlignment="1">
      <alignment horizontal="right" wrapText="1"/>
    </xf>
    <xf numFmtId="0" fontId="34" fillId="27" borderId="46" xfId="40" applyFont="1" applyFill="1" applyBorder="1"/>
    <xf numFmtId="0" fontId="33" fillId="27" borderId="31" xfId="40" applyFont="1" applyFill="1" applyBorder="1"/>
    <xf numFmtId="0" fontId="33" fillId="27" borderId="47" xfId="40" applyFont="1" applyFill="1" applyBorder="1" applyAlignment="1">
      <alignment horizontal="right"/>
    </xf>
    <xf numFmtId="0" fontId="33" fillId="28" borderId="48" xfId="40" applyFont="1" applyFill="1" applyBorder="1" applyAlignment="1">
      <alignment horizontal="left"/>
    </xf>
    <xf numFmtId="0" fontId="47" fillId="0" borderId="48" xfId="40" applyFont="1" applyBorder="1" applyAlignment="1">
      <alignment horizontal="center"/>
    </xf>
    <xf numFmtId="0" fontId="33" fillId="0" borderId="49" xfId="40" applyFont="1" applyBorder="1" applyAlignment="1">
      <alignment horizontal="left"/>
    </xf>
    <xf numFmtId="0" fontId="33" fillId="0" borderId="49" xfId="40" applyFont="1" applyBorder="1" applyAlignment="1">
      <alignment horizontal="center"/>
    </xf>
    <xf numFmtId="0" fontId="50" fillId="0" borderId="0" xfId="40" applyFont="1" applyAlignment="1">
      <alignment vertical="top"/>
    </xf>
    <xf numFmtId="0" fontId="47" fillId="0" borderId="50" xfId="40" applyFont="1" applyBorder="1" applyAlignment="1">
      <alignment horizontal="center"/>
    </xf>
    <xf numFmtId="0" fontId="50" fillId="30" borderId="51" xfId="40" applyFont="1" applyFill="1" applyBorder="1" applyAlignment="1">
      <alignment vertical="center"/>
    </xf>
    <xf numFmtId="0" fontId="47" fillId="0" borderId="52" xfId="40" applyFont="1" applyBorder="1" applyAlignment="1">
      <alignment horizontal="center"/>
    </xf>
    <xf numFmtId="0" fontId="47" fillId="0" borderId="53" xfId="40" applyFont="1" applyBorder="1" applyAlignment="1">
      <alignment horizontal="center"/>
    </xf>
    <xf numFmtId="0" fontId="47" fillId="0" borderId="54" xfId="40" applyFont="1" applyBorder="1" applyAlignment="1">
      <alignment horizontal="center"/>
    </xf>
    <xf numFmtId="0" fontId="33" fillId="0" borderId="55" xfId="40" applyFont="1" applyBorder="1" applyAlignment="1">
      <alignment horizontal="center"/>
    </xf>
    <xf numFmtId="0" fontId="33" fillId="0" borderId="50" xfId="40" applyFont="1" applyBorder="1" applyAlignment="1">
      <alignment horizontal="center"/>
    </xf>
    <xf numFmtId="165" fontId="33" fillId="0" borderId="50" xfId="40" applyNumberFormat="1" applyFont="1" applyBorder="1" applyAlignment="1">
      <alignment vertical="top" textRotation="255"/>
    </xf>
    <xf numFmtId="0" fontId="33" fillId="0" borderId="37" xfId="40" applyFont="1" applyBorder="1"/>
    <xf numFmtId="0" fontId="33" fillId="0" borderId="37" xfId="40" applyFont="1" applyBorder="1" applyAlignment="1">
      <alignment textRotation="255"/>
    </xf>
    <xf numFmtId="0" fontId="33" fillId="0" borderId="52" xfId="40" applyFont="1" applyBorder="1" applyAlignment="1">
      <alignment textRotation="255"/>
    </xf>
    <xf numFmtId="0" fontId="50" fillId="30" borderId="51" xfId="40" applyFont="1" applyFill="1" applyBorder="1" applyAlignment="1">
      <alignment vertical="top"/>
    </xf>
    <xf numFmtId="0" fontId="50" fillId="30" borderId="56" xfId="40" applyFont="1" applyFill="1" applyBorder="1" applyAlignment="1">
      <alignment vertical="top"/>
    </xf>
    <xf numFmtId="0" fontId="50" fillId="30" borderId="56" xfId="40" applyFont="1" applyFill="1" applyBorder="1" applyAlignment="1">
      <alignment vertical="center"/>
    </xf>
    <xf numFmtId="0" fontId="34" fillId="27" borderId="38" xfId="40" applyFont="1" applyFill="1" applyBorder="1" applyAlignment="1">
      <alignment horizontal="left" vertical="top"/>
    </xf>
    <xf numFmtId="0" fontId="33" fillId="27" borderId="39" xfId="40" applyFont="1" applyFill="1" applyBorder="1" applyAlignment="1">
      <alignment horizontal="center" vertical="top"/>
    </xf>
    <xf numFmtId="0" fontId="33" fillId="27" borderId="40" xfId="40" applyFont="1" applyFill="1" applyBorder="1" applyAlignment="1">
      <alignment horizontal="right" vertical="top"/>
    </xf>
    <xf numFmtId="0" fontId="50" fillId="30" borderId="57" xfId="40" applyFont="1" applyFill="1" applyBorder="1" applyAlignment="1">
      <alignment vertical="top"/>
    </xf>
    <xf numFmtId="164" fontId="26" fillId="25" borderId="58" xfId="40" applyNumberFormat="1" applyFont="1" applyFill="1" applyBorder="1" applyAlignment="1">
      <alignment horizontal="center" vertical="center"/>
    </xf>
    <xf numFmtId="0" fontId="50" fillId="30" borderId="59" xfId="40" applyFont="1" applyFill="1" applyBorder="1" applyAlignment="1">
      <alignment horizontal="left"/>
    </xf>
    <xf numFmtId="0" fontId="51" fillId="30" borderId="59" xfId="40" applyFont="1" applyFill="1" applyBorder="1"/>
    <xf numFmtId="0" fontId="51" fillId="30" borderId="59" xfId="40" applyFont="1" applyFill="1" applyBorder="1" applyAlignment="1">
      <alignment horizontal="right"/>
    </xf>
    <xf numFmtId="0" fontId="50" fillId="30" borderId="59" xfId="40" applyFont="1" applyFill="1" applyBorder="1" applyAlignment="1">
      <alignment vertical="top" textRotation="180"/>
    </xf>
    <xf numFmtId="0" fontId="50" fillId="30" borderId="60" xfId="40" applyFont="1" applyFill="1" applyBorder="1" applyAlignment="1">
      <alignment vertical="top" textRotation="180"/>
    </xf>
    <xf numFmtId="0" fontId="12" fillId="24" borderId="15" xfId="34" applyNumberFormat="1" applyFill="1" applyBorder="1" applyAlignment="1" applyProtection="1">
      <alignment horizontal="left" vertical="center"/>
    </xf>
    <xf numFmtId="0" fontId="22" fillId="0" borderId="42" xfId="40" applyFont="1" applyBorder="1" applyAlignment="1">
      <alignment horizontal="center" vertical="center"/>
    </xf>
    <xf numFmtId="0" fontId="40" fillId="0" borderId="42" xfId="40" applyFont="1" applyBorder="1" applyAlignment="1">
      <alignment horizontal="left"/>
    </xf>
    <xf numFmtId="0" fontId="40" fillId="0" borderId="10" xfId="40" applyFont="1" applyBorder="1" applyAlignment="1">
      <alignment horizontal="left" vertical="center"/>
    </xf>
    <xf numFmtId="0" fontId="40" fillId="0" borderId="61" xfId="40" applyFont="1" applyBorder="1" applyAlignment="1">
      <alignment horizontal="left" vertical="center"/>
    </xf>
    <xf numFmtId="0" fontId="40" fillId="0" borderId="11" xfId="40" applyFont="1" applyBorder="1" applyAlignment="1">
      <alignment horizontal="left" vertical="center"/>
    </xf>
    <xf numFmtId="1" fontId="29" fillId="24" borderId="42" xfId="40" applyNumberFormat="1" applyFont="1" applyFill="1" applyBorder="1" applyAlignment="1">
      <alignment vertical="center" wrapText="1"/>
    </xf>
    <xf numFmtId="1" fontId="29" fillId="24" borderId="10" xfId="40" applyNumberFormat="1" applyFont="1" applyFill="1" applyBorder="1"/>
    <xf numFmtId="0" fontId="40" fillId="24" borderId="10" xfId="40" applyFont="1" applyFill="1" applyBorder="1" applyAlignment="1">
      <alignment horizontal="left"/>
    </xf>
    <xf numFmtId="0" fontId="40" fillId="24" borderId="61" xfId="40" applyFont="1" applyFill="1" applyBorder="1" applyAlignment="1">
      <alignment horizontal="left"/>
    </xf>
    <xf numFmtId="0" fontId="40" fillId="24" borderId="11" xfId="40" applyFont="1" applyFill="1" applyBorder="1" applyAlignment="1">
      <alignment horizontal="left"/>
    </xf>
    <xf numFmtId="0" fontId="40" fillId="24" borderId="10" xfId="40" applyFont="1" applyFill="1" applyBorder="1" applyAlignment="1">
      <alignment horizontal="left" vertical="top" wrapText="1"/>
    </xf>
    <xf numFmtId="0" fontId="40" fillId="24" borderId="61" xfId="40" applyFont="1" applyFill="1" applyBorder="1" applyAlignment="1">
      <alignment horizontal="left" vertical="top" wrapText="1"/>
    </xf>
    <xf numFmtId="0" fontId="40" fillId="24" borderId="11" xfId="40" applyFont="1" applyFill="1" applyBorder="1" applyAlignment="1">
      <alignment horizontal="left" vertical="top" wrapText="1"/>
    </xf>
    <xf numFmtId="0" fontId="22" fillId="24" borderId="0" xfId="38" applyFont="1" applyFill="1" applyAlignment="1">
      <alignment horizontal="center"/>
    </xf>
    <xf numFmtId="0" fontId="40" fillId="24" borderId="42" xfId="40" applyFont="1" applyFill="1" applyBorder="1" applyAlignment="1">
      <alignment horizontal="left"/>
    </xf>
    <xf numFmtId="0" fontId="29" fillId="24" borderId="42" xfId="40" applyFont="1" applyFill="1" applyBorder="1" applyAlignment="1">
      <alignment horizontal="left"/>
    </xf>
    <xf numFmtId="0" fontId="29" fillId="24" borderId="10" xfId="40" applyFont="1" applyFill="1" applyBorder="1" applyAlignment="1">
      <alignment horizontal="center"/>
    </xf>
    <xf numFmtId="0" fontId="29" fillId="24" borderId="61" xfId="40" applyFont="1" applyFill="1" applyBorder="1" applyAlignment="1">
      <alignment horizontal="center"/>
    </xf>
    <xf numFmtId="0" fontId="29" fillId="24" borderId="11" xfId="40" applyFont="1" applyFill="1" applyBorder="1" applyAlignment="1">
      <alignment horizontal="center"/>
    </xf>
    <xf numFmtId="14" fontId="40" fillId="24" borderId="10" xfId="40" applyNumberFormat="1" applyFont="1" applyFill="1" applyBorder="1" applyAlignment="1">
      <alignment horizontal="left" vertical="top"/>
    </xf>
    <xf numFmtId="14" fontId="40" fillId="24" borderId="61" xfId="40" applyNumberFormat="1" applyFont="1" applyFill="1" applyBorder="1" applyAlignment="1">
      <alignment horizontal="left" vertical="top"/>
    </xf>
    <xf numFmtId="14" fontId="40" fillId="24" borderId="11" xfId="40" applyNumberFormat="1" applyFont="1" applyFill="1" applyBorder="1" applyAlignment="1">
      <alignment horizontal="left" vertical="top"/>
    </xf>
    <xf numFmtId="0" fontId="40" fillId="24" borderId="42" xfId="38" applyFont="1" applyFill="1" applyBorder="1" applyAlignment="1">
      <alignment vertical="top"/>
    </xf>
    <xf numFmtId="0" fontId="34" fillId="24" borderId="62" xfId="39" applyFont="1" applyFill="1" applyBorder="1" applyAlignment="1">
      <alignment horizontal="left" wrapText="1"/>
    </xf>
    <xf numFmtId="0" fontId="34" fillId="24" borderId="63" xfId="39" applyFont="1" applyFill="1" applyBorder="1" applyAlignment="1">
      <alignment horizontal="left" wrapText="1"/>
    </xf>
    <xf numFmtId="49" fontId="36" fillId="24" borderId="64" xfId="39" applyNumberFormat="1" applyFont="1" applyFill="1" applyBorder="1" applyAlignment="1">
      <alignment horizontal="left" wrapText="1"/>
    </xf>
    <xf numFmtId="0" fontId="36" fillId="24" borderId="63" xfId="39" applyFont="1" applyFill="1" applyBorder="1" applyAlignment="1">
      <alignment horizontal="left" wrapText="1"/>
    </xf>
    <xf numFmtId="0" fontId="36" fillId="24" borderId="65" xfId="39" applyFont="1" applyFill="1" applyBorder="1" applyAlignment="1">
      <alignment horizontal="left" wrapText="1"/>
    </xf>
    <xf numFmtId="0" fontId="34" fillId="24" borderId="66" xfId="39" applyFont="1" applyFill="1" applyBorder="1" applyAlignment="1">
      <alignment horizontal="left" wrapText="1"/>
    </xf>
    <xf numFmtId="0" fontId="34" fillId="24" borderId="67" xfId="39" applyFont="1" applyFill="1" applyBorder="1" applyAlignment="1">
      <alignment horizontal="left" wrapText="1"/>
    </xf>
    <xf numFmtId="0" fontId="33" fillId="0" borderId="32" xfId="40" applyFont="1" applyBorder="1" applyAlignment="1">
      <alignment horizontal="left"/>
    </xf>
    <xf numFmtId="0" fontId="33" fillId="24" borderId="68" xfId="40" applyFont="1" applyFill="1" applyBorder="1" applyAlignment="1">
      <alignment horizontal="center" vertical="center"/>
    </xf>
    <xf numFmtId="0" fontId="33" fillId="24" borderId="69" xfId="40" applyFont="1" applyFill="1" applyBorder="1" applyAlignment="1">
      <alignment horizontal="center" vertical="center"/>
    </xf>
    <xf numFmtId="0" fontId="33" fillId="24" borderId="70" xfId="40" applyFont="1" applyFill="1" applyBorder="1" applyAlignment="1">
      <alignment horizontal="center" vertical="center"/>
    </xf>
    <xf numFmtId="0" fontId="33" fillId="24" borderId="71" xfId="40" applyFont="1" applyFill="1" applyBorder="1" applyAlignment="1">
      <alignment horizontal="center" vertical="center"/>
    </xf>
    <xf numFmtId="0" fontId="33" fillId="24" borderId="72" xfId="40" applyFont="1" applyFill="1" applyBorder="1" applyAlignment="1">
      <alignment horizontal="center" vertical="center"/>
    </xf>
    <xf numFmtId="0" fontId="34" fillId="24" borderId="73" xfId="39" applyFont="1" applyFill="1" applyBorder="1" applyAlignment="1">
      <alignment horizontal="left" wrapText="1"/>
    </xf>
    <xf numFmtId="0" fontId="34" fillId="24" borderId="11" xfId="39" applyFont="1" applyFill="1" applyBorder="1" applyAlignment="1">
      <alignment horizontal="left" wrapText="1"/>
    </xf>
    <xf numFmtId="0" fontId="33" fillId="0" borderId="32" xfId="40" applyFont="1" applyBorder="1" applyAlignment="1">
      <alignment horizontal="left" vertical="top"/>
    </xf>
    <xf numFmtId="0" fontId="33" fillId="0" borderId="37" xfId="40" applyFont="1" applyBorder="1" applyAlignment="1">
      <alignment horizontal="left" vertical="top"/>
    </xf>
    <xf numFmtId="0" fontId="33" fillId="0" borderId="49" xfId="40" applyFont="1" applyBorder="1" applyAlignment="1">
      <alignment horizontal="left"/>
    </xf>
    <xf numFmtId="0" fontId="36" fillId="24" borderId="74" xfId="39" applyFont="1" applyFill="1" applyBorder="1" applyAlignment="1">
      <alignment horizontal="left" wrapText="1"/>
    </xf>
    <xf numFmtId="0" fontId="36" fillId="24" borderId="43" xfId="39" applyFont="1" applyFill="1" applyBorder="1" applyAlignment="1">
      <alignment horizontal="left" wrapText="1"/>
    </xf>
    <xf numFmtId="0" fontId="36" fillId="24" borderId="75" xfId="39" applyFont="1" applyFill="1" applyBorder="1" applyAlignment="1">
      <alignment horizontal="left" wrapText="1"/>
    </xf>
    <xf numFmtId="0" fontId="33" fillId="0" borderId="0" xfId="40" applyFont="1" applyAlignment="1">
      <alignment horizontal="right"/>
    </xf>
    <xf numFmtId="0" fontId="34" fillId="24" borderId="73" xfId="40" applyFont="1" applyFill="1" applyBorder="1" applyAlignment="1">
      <alignment horizontal="center" vertical="center"/>
    </xf>
    <xf numFmtId="0" fontId="34" fillId="24" borderId="11" xfId="40" applyFont="1" applyFill="1" applyBorder="1" applyAlignment="1">
      <alignment horizontal="center" vertical="center"/>
    </xf>
    <xf numFmtId="0" fontId="36" fillId="24" borderId="76" xfId="39" applyFont="1" applyFill="1" applyBorder="1" applyAlignment="1">
      <alignment horizontal="left" wrapText="1"/>
    </xf>
    <xf numFmtId="0" fontId="36" fillId="24" borderId="77" xfId="39" applyFont="1" applyFill="1" applyBorder="1" applyAlignment="1">
      <alignment horizontal="left" wrapText="1"/>
    </xf>
    <xf numFmtId="0" fontId="34" fillId="24" borderId="61" xfId="40" applyFont="1" applyFill="1" applyBorder="1" applyAlignment="1">
      <alignment horizontal="center" vertical="center" wrapText="1"/>
    </xf>
    <xf numFmtId="0" fontId="33" fillId="24" borderId="45" xfId="40" applyFont="1" applyFill="1" applyBorder="1" applyAlignment="1">
      <alignment horizontal="center" vertical="center"/>
    </xf>
    <xf numFmtId="0" fontId="33" fillId="24" borderId="78" xfId="40" applyFont="1" applyFill="1" applyBorder="1" applyAlignment="1">
      <alignment horizontal="center" vertical="center"/>
    </xf>
    <xf numFmtId="0" fontId="34" fillId="24" borderId="79" xfId="40" applyFont="1" applyFill="1" applyBorder="1" applyAlignment="1">
      <alignment horizontal="center" vertical="center" wrapText="1"/>
    </xf>
    <xf numFmtId="0" fontId="34" fillId="24" borderId="80" xfId="40" applyFont="1" applyFill="1" applyBorder="1" applyAlignment="1">
      <alignment horizontal="center" vertical="center" wrapText="1"/>
    </xf>
    <xf numFmtId="49" fontId="33" fillId="24" borderId="64" xfId="39" applyNumberFormat="1" applyFont="1" applyFill="1" applyBorder="1" applyAlignment="1">
      <alignment horizontal="center" wrapText="1"/>
    </xf>
    <xf numFmtId="0" fontId="33" fillId="24" borderId="63" xfId="39" applyFont="1" applyFill="1" applyBorder="1" applyAlignment="1">
      <alignment horizontal="center" wrapText="1"/>
    </xf>
    <xf numFmtId="0" fontId="33" fillId="24" borderId="81" xfId="39" applyFont="1" applyFill="1" applyBorder="1" applyAlignment="1">
      <alignment horizontal="center" wrapText="1"/>
    </xf>
    <xf numFmtId="0" fontId="34" fillId="24" borderId="10" xfId="40" applyFont="1" applyFill="1" applyBorder="1" applyAlignment="1">
      <alignment horizontal="center" vertical="center" wrapText="1"/>
    </xf>
    <xf numFmtId="0" fontId="34" fillId="24" borderId="11" xfId="40" applyFont="1" applyFill="1" applyBorder="1" applyAlignment="1">
      <alignment horizontal="center" vertical="center" wrapText="1"/>
    </xf>
    <xf numFmtId="0" fontId="34" fillId="24" borderId="28" xfId="39" applyFont="1" applyFill="1" applyBorder="1" applyAlignment="1">
      <alignment horizontal="left" wrapText="1"/>
    </xf>
    <xf numFmtId="0" fontId="34" fillId="24" borderId="29" xfId="39" applyFont="1" applyFill="1" applyBorder="1" applyAlignment="1">
      <alignment horizontal="left" wrapText="1"/>
    </xf>
    <xf numFmtId="0" fontId="34" fillId="24" borderId="30" xfId="39" applyFont="1" applyFill="1" applyBorder="1" applyAlignment="1">
      <alignment horizontal="left" wrapText="1"/>
    </xf>
    <xf numFmtId="0" fontId="34" fillId="24" borderId="82" xfId="40" applyFont="1" applyFill="1" applyBorder="1" applyAlignment="1">
      <alignment horizontal="center" vertical="center" wrapText="1"/>
    </xf>
    <xf numFmtId="14" fontId="40" fillId="0" borderId="11" xfId="40" applyNumberFormat="1" applyFont="1" applyBorder="1"/>
    <xf numFmtId="14" fontId="40" fillId="0" borderId="16" xfId="40" applyNumberFormat="1" applyFont="1" applyBorder="1" applyAlignment="1">
      <alignment vertical="top"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_Functional Test Case v1.0" xfId="38" xr:uid="{00000000-0005-0000-0000-000026000000}"/>
    <cellStyle name="Normal_Sheet1" xfId="39" xr:uid="{00000000-0005-0000-0000-000027000000}"/>
    <cellStyle name="Normal_Template_UnitTest Case_v0.9" xfId="40" xr:uid="{00000000-0005-0000-0000-000028000000}"/>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 name="標準_結合試験(AllOvertheWorld)" xfId="46" xr:uid="{00000000-0005-0000-0000-00002E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ＭＳ Ｐゴシック"/>
                <a:ea typeface="ＭＳ Ｐゴシック"/>
                <a:cs typeface="ＭＳ Ｐゴシック"/>
              </a:defRPr>
            </a:pPr>
            <a:r>
              <a:rPr lang="en-US"/>
              <a:t>Test Type</a:t>
            </a:r>
          </a:p>
        </c:rich>
      </c:tx>
      <c:layout>
        <c:manualLayout>
          <c:xMode val="edge"/>
          <c:yMode val="edge"/>
          <c:x val="0.41836752597706106"/>
          <c:y val="3.9062449035507166E-2"/>
        </c:manualLayout>
      </c:layout>
      <c:overlay val="0"/>
      <c:spPr>
        <a:noFill/>
        <a:ln w="25400">
          <a:noFill/>
        </a:ln>
      </c:spPr>
    </c:title>
    <c:autoTitleDeleted val="0"/>
    <c:plotArea>
      <c:layout>
        <c:manualLayout>
          <c:layoutTarget val="inner"/>
          <c:xMode val="edge"/>
          <c:yMode val="edge"/>
          <c:x val="0.20153061224489796"/>
          <c:y val="0.26562550664044693"/>
          <c:w val="0.39795918367346939"/>
          <c:h val="0.60937616229279001"/>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98E0-4F94-97A9-BF90AA0AB469}"/>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98E0-4F94-97A9-BF90AA0AB469}"/>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98E0-4F94-97A9-BF90AA0AB469}"/>
              </c:ext>
            </c:extLst>
          </c:dPt>
          <c:dLbls>
            <c:numFmt formatCode="0%" sourceLinked="0"/>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Statistics!$F$11:$H$11</c:f>
              <c:strCache>
                <c:ptCount val="3"/>
                <c:pt idx="0">
                  <c:v>N</c:v>
                </c:pt>
                <c:pt idx="1">
                  <c:v>A</c:v>
                </c:pt>
                <c:pt idx="2">
                  <c:v>B</c:v>
                </c:pt>
              </c:strCache>
            </c:strRef>
          </c:cat>
          <c:val>
            <c:numRef>
              <c:f>Statistics!$F$28:$H$28</c:f>
              <c:numCache>
                <c:formatCode>General</c:formatCode>
                <c:ptCount val="3"/>
                <c:pt idx="0">
                  <c:v>63</c:v>
                </c:pt>
                <c:pt idx="1">
                  <c:v>100</c:v>
                </c:pt>
                <c:pt idx="2">
                  <c:v>9</c:v>
                </c:pt>
              </c:numCache>
            </c:numRef>
          </c:val>
          <c:extLst>
            <c:ext xmlns:c16="http://schemas.microsoft.com/office/drawing/2014/chart" uri="{C3380CC4-5D6E-409C-BE32-E72D297353CC}">
              <c16:uniqueId val="{00000003-98E0-4F94-97A9-BF90AA0AB469}"/>
            </c:ext>
          </c:extLst>
        </c:ser>
        <c:ser>
          <c:idx val="1"/>
          <c:order val="1"/>
          <c:spPr>
            <a:solidFill>
              <a:srgbClr val="9933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4-98E0-4F94-97A9-BF90AA0AB469}"/>
              </c:ext>
            </c:extLst>
          </c:dPt>
          <c:dPt>
            <c:idx val="1"/>
            <c:bubble3D val="0"/>
            <c:extLst>
              <c:ext xmlns:c16="http://schemas.microsoft.com/office/drawing/2014/chart" uri="{C3380CC4-5D6E-409C-BE32-E72D297353CC}">
                <c16:uniqueId val="{00000005-98E0-4F94-97A9-BF90AA0AB469}"/>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6-98E0-4F94-97A9-BF90AA0AB469}"/>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Statistics!$F$11:$H$11</c:f>
              <c:strCache>
                <c:ptCount val="3"/>
                <c:pt idx="0">
                  <c:v>N</c:v>
                </c:pt>
                <c:pt idx="1">
                  <c:v>A</c:v>
                </c:pt>
                <c:pt idx="2">
                  <c:v>B</c:v>
                </c:pt>
              </c:strCache>
            </c:strRef>
          </c:cat>
          <c:val>
            <c:numRef>
              <c:f>Statistics!$F$27:$H$27</c:f>
              <c:numCache>
                <c:formatCode>General</c:formatCode>
                <c:ptCount val="3"/>
              </c:numCache>
            </c:numRef>
          </c:val>
          <c:extLst>
            <c:ext xmlns:c16="http://schemas.microsoft.com/office/drawing/2014/chart" uri="{C3380CC4-5D6E-409C-BE32-E72D297353CC}">
              <c16:uniqueId val="{00000007-98E0-4F94-97A9-BF90AA0AB469}"/>
            </c:ext>
          </c:extLst>
        </c:ser>
        <c:ser>
          <c:idx val="2"/>
          <c:order val="2"/>
          <c:spPr>
            <a:solidFill>
              <a:srgbClr val="FFFFCC"/>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8-98E0-4F94-97A9-BF90AA0AB469}"/>
              </c:ext>
            </c:extLst>
          </c:dPt>
          <c:dPt>
            <c:idx val="1"/>
            <c:bubble3D val="0"/>
            <c:extLst>
              <c:ext xmlns:c16="http://schemas.microsoft.com/office/drawing/2014/chart" uri="{C3380CC4-5D6E-409C-BE32-E72D297353CC}">
                <c16:uniqueId val="{00000009-98E0-4F94-97A9-BF90AA0AB469}"/>
              </c:ext>
            </c:extLst>
          </c:dPt>
          <c:dPt>
            <c:idx val="2"/>
            <c:bubble3D val="0"/>
            <c:extLst>
              <c:ext xmlns:c16="http://schemas.microsoft.com/office/drawing/2014/chart" uri="{C3380CC4-5D6E-409C-BE32-E72D297353CC}">
                <c16:uniqueId val="{0000000A-98E0-4F94-97A9-BF90AA0AB469}"/>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Statistics!$F$11:$H$11</c:f>
              <c:strCache>
                <c:ptCount val="3"/>
                <c:pt idx="0">
                  <c:v>N</c:v>
                </c:pt>
                <c:pt idx="1">
                  <c:v>A</c:v>
                </c:pt>
                <c:pt idx="2">
                  <c:v>B</c:v>
                </c:pt>
              </c:strCache>
            </c:strRef>
          </c:cat>
          <c:val>
            <c:numRef>
              <c:f>Statistics!#REF!</c:f>
              <c:numCache>
                <c:formatCode>General</c:formatCode>
                <c:ptCount val="1"/>
                <c:pt idx="0">
                  <c:v>1</c:v>
                </c:pt>
              </c:numCache>
            </c:numRef>
          </c:val>
          <c:extLst>
            <c:ext xmlns:c16="http://schemas.microsoft.com/office/drawing/2014/chart" uri="{C3380CC4-5D6E-409C-BE32-E72D297353CC}">
              <c16:uniqueId val="{0000000B-98E0-4F94-97A9-BF90AA0AB469}"/>
            </c:ext>
          </c:extLst>
        </c:ser>
        <c:ser>
          <c:idx val="3"/>
          <c:order val="3"/>
          <c:spPr>
            <a:solidFill>
              <a:srgbClr val="CCFFFF"/>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C-98E0-4F94-97A9-BF90AA0AB469}"/>
              </c:ext>
            </c:extLst>
          </c:dPt>
          <c:dPt>
            <c:idx val="1"/>
            <c:bubble3D val="0"/>
            <c:extLst>
              <c:ext xmlns:c16="http://schemas.microsoft.com/office/drawing/2014/chart" uri="{C3380CC4-5D6E-409C-BE32-E72D297353CC}">
                <c16:uniqueId val="{0000000D-98E0-4F94-97A9-BF90AA0AB469}"/>
              </c:ext>
            </c:extLst>
          </c:dPt>
          <c:dPt>
            <c:idx val="2"/>
            <c:bubble3D val="0"/>
            <c:extLst>
              <c:ext xmlns:c16="http://schemas.microsoft.com/office/drawing/2014/chart" uri="{C3380CC4-5D6E-409C-BE32-E72D297353CC}">
                <c16:uniqueId val="{0000000E-98E0-4F94-97A9-BF90AA0AB469}"/>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Statistics!$F$11:$H$11</c:f>
              <c:strCache>
                <c:ptCount val="3"/>
                <c:pt idx="0">
                  <c:v>N</c:v>
                </c:pt>
                <c:pt idx="1">
                  <c:v>A</c:v>
                </c:pt>
                <c:pt idx="2">
                  <c:v>B</c:v>
                </c:pt>
              </c:strCache>
            </c:strRef>
          </c:cat>
          <c:val>
            <c:numRef>
              <c:f>Statistics!#REF!</c:f>
              <c:numCache>
                <c:formatCode>General</c:formatCode>
                <c:ptCount val="1"/>
                <c:pt idx="0">
                  <c:v>1</c:v>
                </c:pt>
              </c:numCache>
            </c:numRef>
          </c:val>
          <c:extLst>
            <c:ext xmlns:c16="http://schemas.microsoft.com/office/drawing/2014/chart" uri="{C3380CC4-5D6E-409C-BE32-E72D297353CC}">
              <c16:uniqueId val="{0000000F-98E0-4F94-97A9-BF90AA0AB469}"/>
            </c:ext>
          </c:extLst>
        </c:ser>
        <c:ser>
          <c:idx val="4"/>
          <c:order val="4"/>
          <c:spPr>
            <a:solidFill>
              <a:srgbClr val="6600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10-98E0-4F94-97A9-BF90AA0AB469}"/>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11-98E0-4F94-97A9-BF90AA0AB469}"/>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12-98E0-4F94-97A9-BF90AA0AB469}"/>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Statistics!$F$11:$H$11</c:f>
              <c:strCache>
                <c:ptCount val="3"/>
                <c:pt idx="0">
                  <c:v>N</c:v>
                </c:pt>
                <c:pt idx="1">
                  <c:v>A</c:v>
                </c:pt>
                <c:pt idx="2">
                  <c:v>B</c:v>
                </c:pt>
              </c:strCache>
            </c:strRef>
          </c:cat>
          <c:val>
            <c:numRef>
              <c:f>Statistics!$F$28:$H$28</c:f>
              <c:numCache>
                <c:formatCode>General</c:formatCode>
                <c:ptCount val="3"/>
                <c:pt idx="0">
                  <c:v>63</c:v>
                </c:pt>
                <c:pt idx="1">
                  <c:v>100</c:v>
                </c:pt>
                <c:pt idx="2">
                  <c:v>9</c:v>
                </c:pt>
              </c:numCache>
            </c:numRef>
          </c:val>
          <c:extLst>
            <c:ext xmlns:c16="http://schemas.microsoft.com/office/drawing/2014/chart" uri="{C3380CC4-5D6E-409C-BE32-E72D297353CC}">
              <c16:uniqueId val="{00000013-98E0-4F94-97A9-BF90AA0AB469}"/>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9628875379315023"/>
          <c:y val="0.39258581488369226"/>
          <c:w val="9.3461121337224201E-2"/>
          <c:h val="0.32096542973599163"/>
        </c:manualLayout>
      </c:layout>
      <c:overlay val="0"/>
      <c:spPr>
        <a:solidFill>
          <a:srgbClr val="FFFFFF"/>
        </a:solidFill>
        <a:ln w="3175">
          <a:solidFill>
            <a:srgbClr val="000000"/>
          </a:solidFill>
          <a:prstDash val="solid"/>
        </a:ln>
      </c:spPr>
      <c:txPr>
        <a:bodyPr/>
        <a:lstStyle/>
        <a:p>
          <a:pPr>
            <a:defRPr sz="630" b="0" i="0" u="none" strike="noStrike" baseline="0">
              <a:solidFill>
                <a:srgbClr val="000000"/>
              </a:solidFill>
              <a:latin typeface="ＭＳ Ｐゴシック"/>
              <a:ea typeface="ＭＳ Ｐゴシック"/>
              <a:cs typeface="ＭＳ Ｐゴシック"/>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ＭＳ Ｐゴシック"/>
          <a:ea typeface="ＭＳ Ｐゴシック"/>
          <a:cs typeface="ＭＳ Ｐゴシック"/>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ＭＳ Ｐゴシック"/>
                <a:ea typeface="ＭＳ Ｐゴシック"/>
                <a:cs typeface="ＭＳ Ｐゴシック"/>
              </a:defRPr>
            </a:pPr>
            <a:r>
              <a:rPr lang="en-US"/>
              <a:t>Passed Percent</a:t>
            </a:r>
          </a:p>
        </c:rich>
      </c:tx>
      <c:layout>
        <c:manualLayout>
          <c:xMode val="edge"/>
          <c:yMode val="edge"/>
          <c:x val="0.36547093695193905"/>
          <c:y val="3.9525997809978348E-2"/>
        </c:manualLayout>
      </c:layout>
      <c:overlay val="0"/>
      <c:spPr>
        <a:noFill/>
        <a:ln w="25400">
          <a:noFill/>
        </a:ln>
      </c:spPr>
    </c:title>
    <c:autoTitleDeleted val="0"/>
    <c:plotArea>
      <c:layout>
        <c:manualLayout>
          <c:layoutTarget val="inner"/>
          <c:xMode val="edge"/>
          <c:yMode val="edge"/>
          <c:x val="0.23094170403587444"/>
          <c:y val="0.28063295267908667"/>
          <c:w val="0.33856502242152464"/>
          <c:h val="0.596839096542846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4175-42E3-9DD1-91E45CBDEC82}"/>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4175-42E3-9DD1-91E45CBDEC8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4175-42E3-9DD1-91E45CBDEC82}"/>
              </c:ext>
            </c:extLst>
          </c:dPt>
          <c:dLbls>
            <c:numFmt formatCode="0%" sourceLinked="0"/>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Statistics!$C$11:$E$11</c:f>
              <c:strCache>
                <c:ptCount val="3"/>
                <c:pt idx="0">
                  <c:v>Passed</c:v>
                </c:pt>
                <c:pt idx="1">
                  <c:v>Failed</c:v>
                </c:pt>
                <c:pt idx="2">
                  <c:v>Untested</c:v>
                </c:pt>
              </c:strCache>
            </c:strRef>
          </c:cat>
          <c:val>
            <c:numRef>
              <c:f>Statistics!$C$28:$E$28</c:f>
              <c:numCache>
                <c:formatCode>General</c:formatCode>
                <c:ptCount val="3"/>
                <c:pt idx="0">
                  <c:v>172</c:v>
                </c:pt>
                <c:pt idx="1">
                  <c:v>0</c:v>
                </c:pt>
                <c:pt idx="2">
                  <c:v>0</c:v>
                </c:pt>
              </c:numCache>
            </c:numRef>
          </c:val>
          <c:extLst>
            <c:ext xmlns:c16="http://schemas.microsoft.com/office/drawing/2014/chart" uri="{C3380CC4-5D6E-409C-BE32-E72D297353CC}">
              <c16:uniqueId val="{00000003-4175-42E3-9DD1-91E45CBDEC82}"/>
            </c:ext>
          </c:extLst>
        </c:ser>
        <c:ser>
          <c:idx val="1"/>
          <c:order val="1"/>
          <c:spPr>
            <a:solidFill>
              <a:srgbClr val="9933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4-4175-42E3-9DD1-91E45CBDEC82}"/>
              </c:ext>
            </c:extLst>
          </c:dPt>
          <c:dPt>
            <c:idx val="1"/>
            <c:bubble3D val="0"/>
            <c:extLst>
              <c:ext xmlns:c16="http://schemas.microsoft.com/office/drawing/2014/chart" uri="{C3380CC4-5D6E-409C-BE32-E72D297353CC}">
                <c16:uniqueId val="{00000005-4175-42E3-9DD1-91E45CBDEC8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6-4175-42E3-9DD1-91E45CBDEC82}"/>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Statistics!$C$11:$E$11</c:f>
              <c:strCache>
                <c:ptCount val="3"/>
                <c:pt idx="0">
                  <c:v>Passed</c:v>
                </c:pt>
                <c:pt idx="1">
                  <c:v>Failed</c:v>
                </c:pt>
                <c:pt idx="2">
                  <c:v>Untested</c:v>
                </c:pt>
              </c:strCache>
            </c:strRef>
          </c:cat>
          <c:val>
            <c:numRef>
              <c:f>Statistics!$C$27:$E$27</c:f>
              <c:numCache>
                <c:formatCode>General</c:formatCode>
                <c:ptCount val="3"/>
              </c:numCache>
            </c:numRef>
          </c:val>
          <c:extLst>
            <c:ext xmlns:c16="http://schemas.microsoft.com/office/drawing/2014/chart" uri="{C3380CC4-5D6E-409C-BE32-E72D297353CC}">
              <c16:uniqueId val="{00000007-4175-42E3-9DD1-91E45CBDEC82}"/>
            </c:ext>
          </c:extLst>
        </c:ser>
        <c:ser>
          <c:idx val="2"/>
          <c:order val="2"/>
          <c:spPr>
            <a:solidFill>
              <a:srgbClr val="FFFFCC"/>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8-4175-42E3-9DD1-91E45CBDEC82}"/>
              </c:ext>
            </c:extLst>
          </c:dPt>
          <c:dPt>
            <c:idx val="1"/>
            <c:bubble3D val="0"/>
            <c:extLst>
              <c:ext xmlns:c16="http://schemas.microsoft.com/office/drawing/2014/chart" uri="{C3380CC4-5D6E-409C-BE32-E72D297353CC}">
                <c16:uniqueId val="{00000009-4175-42E3-9DD1-91E45CBDEC82}"/>
              </c:ext>
            </c:extLst>
          </c:dPt>
          <c:dPt>
            <c:idx val="2"/>
            <c:bubble3D val="0"/>
            <c:extLst>
              <c:ext xmlns:c16="http://schemas.microsoft.com/office/drawing/2014/chart" uri="{C3380CC4-5D6E-409C-BE32-E72D297353CC}">
                <c16:uniqueId val="{0000000A-4175-42E3-9DD1-91E45CBDEC82}"/>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Statistics!$C$11:$E$11</c:f>
              <c:strCache>
                <c:ptCount val="3"/>
                <c:pt idx="0">
                  <c:v>Passed</c:v>
                </c:pt>
                <c:pt idx="1">
                  <c:v>Failed</c:v>
                </c:pt>
                <c:pt idx="2">
                  <c:v>Untested</c:v>
                </c:pt>
              </c:strCache>
            </c:strRef>
          </c:cat>
          <c:val>
            <c:numRef>
              <c:f>Statistics!#REF!</c:f>
              <c:numCache>
                <c:formatCode>General</c:formatCode>
                <c:ptCount val="1"/>
                <c:pt idx="0">
                  <c:v>1</c:v>
                </c:pt>
              </c:numCache>
            </c:numRef>
          </c:val>
          <c:extLst>
            <c:ext xmlns:c16="http://schemas.microsoft.com/office/drawing/2014/chart" uri="{C3380CC4-5D6E-409C-BE32-E72D297353CC}">
              <c16:uniqueId val="{0000000B-4175-42E3-9DD1-91E45CBDEC82}"/>
            </c:ext>
          </c:extLst>
        </c:ser>
        <c:ser>
          <c:idx val="3"/>
          <c:order val="3"/>
          <c:spPr>
            <a:solidFill>
              <a:srgbClr val="CCFFFF"/>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C-4175-42E3-9DD1-91E45CBDEC82}"/>
              </c:ext>
            </c:extLst>
          </c:dPt>
          <c:dPt>
            <c:idx val="1"/>
            <c:bubble3D val="0"/>
            <c:extLst>
              <c:ext xmlns:c16="http://schemas.microsoft.com/office/drawing/2014/chart" uri="{C3380CC4-5D6E-409C-BE32-E72D297353CC}">
                <c16:uniqueId val="{0000000D-4175-42E3-9DD1-91E45CBDEC82}"/>
              </c:ext>
            </c:extLst>
          </c:dPt>
          <c:dPt>
            <c:idx val="2"/>
            <c:bubble3D val="0"/>
            <c:extLst>
              <c:ext xmlns:c16="http://schemas.microsoft.com/office/drawing/2014/chart" uri="{C3380CC4-5D6E-409C-BE32-E72D297353CC}">
                <c16:uniqueId val="{0000000E-4175-42E3-9DD1-91E45CBDEC82}"/>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Statistics!$C$11:$E$11</c:f>
              <c:strCache>
                <c:ptCount val="3"/>
                <c:pt idx="0">
                  <c:v>Passed</c:v>
                </c:pt>
                <c:pt idx="1">
                  <c:v>Failed</c:v>
                </c:pt>
                <c:pt idx="2">
                  <c:v>Untested</c:v>
                </c:pt>
              </c:strCache>
            </c:strRef>
          </c:cat>
          <c:val>
            <c:numRef>
              <c:f>Statistics!#REF!</c:f>
              <c:numCache>
                <c:formatCode>General</c:formatCode>
                <c:ptCount val="1"/>
                <c:pt idx="0">
                  <c:v>1</c:v>
                </c:pt>
              </c:numCache>
            </c:numRef>
          </c:val>
          <c:extLst>
            <c:ext xmlns:c16="http://schemas.microsoft.com/office/drawing/2014/chart" uri="{C3380CC4-5D6E-409C-BE32-E72D297353CC}">
              <c16:uniqueId val="{0000000F-4175-42E3-9DD1-91E45CBDEC82}"/>
            </c:ext>
          </c:extLst>
        </c:ser>
        <c:ser>
          <c:idx val="4"/>
          <c:order val="4"/>
          <c:spPr>
            <a:solidFill>
              <a:srgbClr val="6600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10-4175-42E3-9DD1-91E45CBDEC82}"/>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11-4175-42E3-9DD1-91E45CBDEC8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12-4175-42E3-9DD1-91E45CBDEC82}"/>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Statistics!$C$11:$E$11</c:f>
              <c:strCache>
                <c:ptCount val="3"/>
                <c:pt idx="0">
                  <c:v>Passed</c:v>
                </c:pt>
                <c:pt idx="1">
                  <c:v>Failed</c:v>
                </c:pt>
                <c:pt idx="2">
                  <c:v>Untested</c:v>
                </c:pt>
              </c:strCache>
            </c:strRef>
          </c:cat>
          <c:val>
            <c:numRef>
              <c:f>Statistics!$C$28:$E$28</c:f>
              <c:numCache>
                <c:formatCode>General</c:formatCode>
                <c:ptCount val="3"/>
                <c:pt idx="0">
                  <c:v>172</c:v>
                </c:pt>
                <c:pt idx="1">
                  <c:v>0</c:v>
                </c:pt>
                <c:pt idx="2">
                  <c:v>0</c:v>
                </c:pt>
              </c:numCache>
            </c:numRef>
          </c:val>
          <c:extLst>
            <c:ext xmlns:c16="http://schemas.microsoft.com/office/drawing/2014/chart" uri="{C3380CC4-5D6E-409C-BE32-E72D297353CC}">
              <c16:uniqueId val="{00000013-4175-42E3-9DD1-91E45CBDEC82}"/>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7164124585453397"/>
          <c:y val="0.43397747147987142"/>
          <c:w val="0.20881623566465188"/>
          <c:h val="0.30459288370947496"/>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ＭＳ Ｐゴシック"/>
              <a:ea typeface="ＭＳ Ｐゴシック"/>
              <a:cs typeface="ＭＳ Ｐゴシック"/>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ＭＳ Ｐゴシック"/>
          <a:ea typeface="ＭＳ Ｐゴシック"/>
          <a:cs typeface="ＭＳ Ｐゴシック"/>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88900</xdr:rowOff>
    </xdr:from>
    <xdr:to>
      <xdr:col>0</xdr:col>
      <xdr:colOff>1949450</xdr:colOff>
      <xdr:row>1</xdr:row>
      <xdr:rowOff>787400</xdr:rowOff>
    </xdr:to>
    <xdr:pic>
      <xdr:nvPicPr>
        <xdr:cNvPr id="1090" name="Picture 1">
          <a:extLst>
            <a:ext uri="{FF2B5EF4-FFF2-40B4-BE49-F238E27FC236}">
              <a16:creationId xmlns:a16="http://schemas.microsoft.com/office/drawing/2014/main" id="{6B284DEF-F3B3-A52F-8887-2FDCE3C06E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7650"/>
          <a:ext cx="19494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35</xdr:row>
      <xdr:rowOff>0</xdr:rowOff>
    </xdr:from>
    <xdr:to>
      <xdr:col>9</xdr:col>
      <xdr:colOff>0</xdr:colOff>
      <xdr:row>50</xdr:row>
      <xdr:rowOff>12700</xdr:rowOff>
    </xdr:to>
    <xdr:graphicFrame macro="">
      <xdr:nvGraphicFramePr>
        <xdr:cNvPr id="2177" name="Chart 16">
          <a:extLst>
            <a:ext uri="{FF2B5EF4-FFF2-40B4-BE49-F238E27FC236}">
              <a16:creationId xmlns:a16="http://schemas.microsoft.com/office/drawing/2014/main" id="{02EB03EE-C413-FCB7-A25B-FE3BBB51E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101600</xdr:colOff>
      <xdr:row>35</xdr:row>
      <xdr:rowOff>25400</xdr:rowOff>
    </xdr:from>
    <xdr:to>
      <xdr:col>3</xdr:col>
      <xdr:colOff>215900</xdr:colOff>
      <xdr:row>50</xdr:row>
      <xdr:rowOff>0</xdr:rowOff>
    </xdr:to>
    <xdr:graphicFrame macro="">
      <xdr:nvGraphicFramePr>
        <xdr:cNvPr id="2178" name="Chart 17">
          <a:extLst>
            <a:ext uri="{FF2B5EF4-FFF2-40B4-BE49-F238E27FC236}">
              <a16:creationId xmlns:a16="http://schemas.microsoft.com/office/drawing/2014/main" id="{9D97D660-80B5-1D91-38DC-70F07F532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
  <sheetViews>
    <sheetView topLeftCell="A22" zoomScale="85" zoomScaleNormal="85" workbookViewId="0">
      <selection activeCell="A42" sqref="A42"/>
    </sheetView>
  </sheetViews>
  <sheetFormatPr defaultColWidth="9" defaultRowHeight="14"/>
  <cols>
    <col min="1" max="1" width="119.36328125" style="105" customWidth="1"/>
    <col min="2" max="16384" width="9" style="105"/>
  </cols>
  <sheetData>
    <row r="1" spans="1:1" s="102" customFormat="1" ht="22">
      <c r="A1" s="101" t="s">
        <v>72</v>
      </c>
    </row>
    <row r="2" spans="1:1" s="102" customFormat="1" ht="22">
      <c r="A2" s="101"/>
    </row>
    <row r="3" spans="1:1" s="103" customFormat="1" ht="17.5">
      <c r="A3" s="106" t="s">
        <v>87</v>
      </c>
    </row>
    <row r="4" spans="1:1" ht="15" customHeight="1">
      <c r="A4" s="109" t="s">
        <v>70</v>
      </c>
    </row>
    <row r="5" spans="1:1" ht="15" customHeight="1">
      <c r="A5" s="109" t="s">
        <v>92</v>
      </c>
    </row>
    <row r="6" spans="1:1" ht="37.5">
      <c r="A6" s="110" t="s">
        <v>104</v>
      </c>
    </row>
    <row r="7" spans="1:1" ht="29.25" customHeight="1">
      <c r="A7" s="110" t="s">
        <v>107</v>
      </c>
    </row>
    <row r="8" spans="1:1" ht="30" customHeight="1">
      <c r="A8" s="111" t="s">
        <v>94</v>
      </c>
    </row>
    <row r="9" spans="1:1" s="114" customFormat="1" ht="16.5" customHeight="1">
      <c r="A9" s="113" t="s">
        <v>105</v>
      </c>
    </row>
    <row r="10" spans="1:1" ht="16.5" customHeight="1">
      <c r="A10" s="104"/>
    </row>
    <row r="11" spans="1:1" s="103" customFormat="1" ht="17.5">
      <c r="A11" s="106" t="s">
        <v>71</v>
      </c>
    </row>
    <row r="12" spans="1:1" s="107" customFormat="1" ht="15">
      <c r="A12" s="112" t="s">
        <v>61</v>
      </c>
    </row>
    <row r="13" spans="1:1" ht="37.5">
      <c r="A13" s="109" t="s">
        <v>95</v>
      </c>
    </row>
    <row r="14" spans="1:1">
      <c r="A14" s="109" t="s">
        <v>96</v>
      </c>
    </row>
    <row r="15" spans="1:1" ht="25">
      <c r="A15" s="110" t="s">
        <v>97</v>
      </c>
    </row>
    <row r="16" spans="1:1">
      <c r="A16" s="104"/>
    </row>
    <row r="17" spans="1:4" s="107" customFormat="1" ht="15">
      <c r="A17" s="112" t="s">
        <v>73</v>
      </c>
    </row>
    <row r="18" spans="1:4">
      <c r="A18" s="109" t="s">
        <v>74</v>
      </c>
      <c r="B18" s="104"/>
    </row>
    <row r="19" spans="1:4">
      <c r="A19" s="112" t="s">
        <v>98</v>
      </c>
    </row>
    <row r="20" spans="1:4">
      <c r="A20" s="109" t="s">
        <v>75</v>
      </c>
      <c r="B20" s="104"/>
    </row>
    <row r="21" spans="1:4" ht="25">
      <c r="A21" s="110" t="s">
        <v>76</v>
      </c>
    </row>
    <row r="22" spans="1:4">
      <c r="A22" s="109" t="s">
        <v>77</v>
      </c>
      <c r="B22" s="108"/>
    </row>
    <row r="23" spans="1:4">
      <c r="A23" s="109" t="s">
        <v>78</v>
      </c>
      <c r="B23" s="104"/>
    </row>
    <row r="24" spans="1:4">
      <c r="A24" s="109" t="s">
        <v>108</v>
      </c>
      <c r="B24" s="104"/>
    </row>
    <row r="25" spans="1:4">
      <c r="A25" s="109" t="s">
        <v>79</v>
      </c>
      <c r="B25" s="104"/>
      <c r="C25" s="104" t="s">
        <v>57</v>
      </c>
      <c r="D25" s="104" t="s">
        <v>57</v>
      </c>
    </row>
    <row r="26" spans="1:4">
      <c r="A26" s="109" t="s">
        <v>58</v>
      </c>
    </row>
    <row r="27" spans="1:4">
      <c r="A27" s="109" t="s">
        <v>88</v>
      </c>
      <c r="B27" s="104"/>
    </row>
    <row r="28" spans="1:4">
      <c r="A28" s="109" t="s">
        <v>89</v>
      </c>
    </row>
    <row r="29" spans="1:4">
      <c r="A29" s="109" t="s">
        <v>90</v>
      </c>
    </row>
    <row r="30" spans="1:4">
      <c r="A30" s="109" t="s">
        <v>91</v>
      </c>
      <c r="B30" s="104"/>
      <c r="C30" s="104" t="s">
        <v>57</v>
      </c>
    </row>
    <row r="31" spans="1:4">
      <c r="A31" s="112" t="s">
        <v>99</v>
      </c>
    </row>
    <row r="32" spans="1:4" ht="30" customHeight="1">
      <c r="A32" s="110" t="s">
        <v>80</v>
      </c>
    </row>
    <row r="33" spans="1:2">
      <c r="A33" s="109" t="s">
        <v>59</v>
      </c>
    </row>
    <row r="34" spans="1:2">
      <c r="A34" s="109" t="s">
        <v>81</v>
      </c>
    </row>
    <row r="35" spans="1:2">
      <c r="A35" s="109" t="s">
        <v>82</v>
      </c>
      <c r="B35" s="104"/>
    </row>
    <row r="36" spans="1:2">
      <c r="A36" s="109" t="s">
        <v>83</v>
      </c>
      <c r="B36" s="104"/>
    </row>
    <row r="37" spans="1:2">
      <c r="A37" s="112" t="s">
        <v>100</v>
      </c>
    </row>
    <row r="38" spans="1:2">
      <c r="A38" s="109" t="s">
        <v>84</v>
      </c>
    </row>
    <row r="39" spans="1:2" ht="37.5">
      <c r="A39" s="111" t="s">
        <v>93</v>
      </c>
      <c r="B39" s="104"/>
    </row>
    <row r="40" spans="1:2">
      <c r="A40" s="111"/>
      <c r="B40" s="104"/>
    </row>
    <row r="41" spans="1:2" s="107" customFormat="1" ht="15">
      <c r="A41" s="112" t="s">
        <v>85</v>
      </c>
    </row>
    <row r="42" spans="1:2">
      <c r="A42" s="109" t="s">
        <v>115</v>
      </c>
    </row>
    <row r="43" spans="1:2">
      <c r="A43" s="109" t="s">
        <v>114</v>
      </c>
    </row>
    <row r="44" spans="1:2">
      <c r="A44" s="109" t="s">
        <v>101</v>
      </c>
    </row>
    <row r="45" spans="1:2">
      <c r="A45" s="109" t="s">
        <v>102</v>
      </c>
    </row>
    <row r="46" spans="1:2">
      <c r="A46" s="109" t="s">
        <v>103</v>
      </c>
    </row>
    <row r="47" spans="1:2">
      <c r="A47" s="104" t="s">
        <v>60</v>
      </c>
    </row>
    <row r="48" spans="1:2">
      <c r="A48" s="104"/>
    </row>
  </sheetData>
  <phoneticPr fontId="39"/>
  <pageMargins left="0.75" right="0.75" top="0.7" bottom="0.65" header="0.5" footer="0.5"/>
  <pageSetup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7"/>
  <sheetViews>
    <sheetView showGridLines="0" zoomScale="85" zoomScaleNormal="85" workbookViewId="0">
      <selection activeCell="E21" sqref="E21"/>
    </sheetView>
  </sheetViews>
  <sheetFormatPr defaultColWidth="9" defaultRowHeight="12.5"/>
  <cols>
    <col min="1" max="1" width="28.08984375" style="24" customWidth="1"/>
    <col min="2" max="2" width="10" style="3" customWidth="1"/>
    <col min="3" max="3" width="14.36328125" style="3" customWidth="1"/>
    <col min="4" max="4" width="8" style="3" customWidth="1"/>
    <col min="5" max="5" width="38" style="3" customWidth="1"/>
    <col min="6" max="6" width="48.08984375" style="3" customWidth="1"/>
    <col min="7" max="16384" width="9" style="3"/>
  </cols>
  <sheetData>
    <row r="2" spans="1:6" s="2" customFormat="1" ht="75.75" customHeight="1">
      <c r="A2" s="1"/>
      <c r="B2" s="166" t="s">
        <v>109</v>
      </c>
      <c r="C2" s="166"/>
      <c r="D2" s="166"/>
      <c r="E2" s="166"/>
      <c r="F2" s="166"/>
    </row>
    <row r="3" spans="1:6">
      <c r="A3" s="4"/>
      <c r="B3" s="5"/>
      <c r="E3" s="6"/>
    </row>
    <row r="4" spans="1:6" ht="14.25" customHeight="1">
      <c r="A4" s="115" t="s">
        <v>0</v>
      </c>
      <c r="B4" s="167" t="s">
        <v>476</v>
      </c>
      <c r="C4" s="167"/>
      <c r="D4" s="167"/>
      <c r="E4" s="115" t="s">
        <v>1</v>
      </c>
      <c r="F4" s="7" t="s">
        <v>477</v>
      </c>
    </row>
    <row r="5" spans="1:6" ht="14.25" customHeight="1">
      <c r="A5" s="115" t="s">
        <v>2</v>
      </c>
      <c r="B5" s="167" t="s">
        <v>478</v>
      </c>
      <c r="C5" s="167"/>
      <c r="D5" s="167"/>
      <c r="E5" s="115" t="s">
        <v>5</v>
      </c>
      <c r="F5" s="229">
        <v>46244.708333333336</v>
      </c>
    </row>
    <row r="6" spans="1:6" ht="15.75" customHeight="1">
      <c r="A6" s="130" t="s">
        <v>4</v>
      </c>
      <c r="B6" s="168" t="str">
        <f>B5&amp;"_"&amp;"XXX"&amp;"_"&amp;"vx.x"</f>
        <v>CLAWBOT_XXX_vx.x</v>
      </c>
      <c r="C6" s="169"/>
      <c r="D6" s="170"/>
      <c r="E6" s="115" t="s">
        <v>6</v>
      </c>
      <c r="F6" s="97" t="s">
        <v>479</v>
      </c>
    </row>
    <row r="7" spans="1:6">
      <c r="A7" s="116"/>
      <c r="B7" s="8"/>
      <c r="E7" s="9"/>
      <c r="F7" s="5"/>
    </row>
    <row r="8" spans="1:6">
      <c r="A8" s="3"/>
    </row>
    <row r="9" spans="1:6">
      <c r="A9" s="117" t="s">
        <v>7</v>
      </c>
    </row>
    <row r="10" spans="1:6" s="10" customFormat="1">
      <c r="A10" s="11" t="s">
        <v>8</v>
      </c>
      <c r="B10" s="12" t="s">
        <v>6</v>
      </c>
      <c r="C10" s="12" t="s">
        <v>9</v>
      </c>
      <c r="D10" s="12" t="s">
        <v>10</v>
      </c>
      <c r="E10" s="12" t="s">
        <v>11</v>
      </c>
      <c r="F10" s="13" t="s">
        <v>12</v>
      </c>
    </row>
    <row r="11" spans="1:6" s="14" customFormat="1" ht="26.25" customHeight="1">
      <c r="A11" s="230">
        <v>46244.708333333336</v>
      </c>
      <c r="B11" s="15" t="s">
        <v>479</v>
      </c>
      <c r="C11" s="16" t="s">
        <v>480</v>
      </c>
      <c r="D11" s="16" t="s">
        <v>52</v>
      </c>
      <c r="E11" s="17" t="s">
        <v>481</v>
      </c>
      <c r="F11" s="98"/>
    </row>
    <row r="12" spans="1:6" s="14" customFormat="1" ht="21.75" customHeight="1">
      <c r="A12" s="18"/>
      <c r="B12" s="15"/>
      <c r="C12" s="16"/>
      <c r="D12" s="16"/>
      <c r="E12" s="16"/>
      <c r="F12" s="19"/>
    </row>
    <row r="13" spans="1:6" s="14" customFormat="1" ht="19.5" customHeight="1">
      <c r="A13" s="18"/>
      <c r="B13" s="15"/>
      <c r="C13" s="16"/>
      <c r="D13" s="16"/>
      <c r="E13" s="16"/>
      <c r="F13" s="19"/>
    </row>
    <row r="14" spans="1:6" s="14" customFormat="1" ht="21.75" customHeight="1">
      <c r="A14" s="18"/>
      <c r="B14" s="15"/>
      <c r="C14" s="16"/>
      <c r="D14" s="16"/>
      <c r="E14" s="16"/>
      <c r="F14" s="19"/>
    </row>
    <row r="15" spans="1:6" s="14" customFormat="1" ht="19.5" customHeight="1">
      <c r="A15" s="18"/>
      <c r="B15" s="15"/>
      <c r="C15" s="16"/>
      <c r="D15" s="16"/>
      <c r="E15" s="16"/>
      <c r="F15" s="19"/>
    </row>
    <row r="16" spans="1:6" s="14" customFormat="1" ht="21.75" customHeight="1">
      <c r="A16" s="18"/>
      <c r="B16" s="15"/>
      <c r="C16" s="16"/>
      <c r="D16" s="16"/>
      <c r="E16" s="16"/>
      <c r="F16" s="19"/>
    </row>
    <row r="17" spans="1:6" s="14" customFormat="1" ht="19.5" customHeight="1">
      <c r="A17" s="20"/>
      <c r="B17" s="21"/>
      <c r="C17" s="22"/>
      <c r="D17" s="22"/>
      <c r="E17" s="22"/>
      <c r="F17" s="23"/>
    </row>
  </sheetData>
  <mergeCells count="4">
    <mergeCell ref="B2:F2"/>
    <mergeCell ref="B4:D4"/>
    <mergeCell ref="B5:D5"/>
    <mergeCell ref="B6:D6"/>
  </mergeCells>
  <phoneticPr fontId="0" type="noConversion"/>
  <pageMargins left="0.47013888888888888" right="0.47013888888888888" top="0.5" bottom="0.35138888888888886" header="0.51180555555555562" footer="0.1701388888888889"/>
  <pageSetup paperSize="9" firstPageNumber="0" orientation="landscape" horizontalDpi="300" verticalDpi="300"/>
  <headerFooter alignWithMargins="0">
    <oddFooter>&amp;L&amp;"Tahoma,Regular"&amp;8 02ae-BM/PM/HDCV/FSOFT v2/1&amp;C&amp;"Tahoma,Regular"&amp;8Internal use&amp;R&amp;"tahomaTahoma,Regular"&amp;8&amp;P/&amp;N</oddFooter>
  </headerFooter>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32"/>
  <sheetViews>
    <sheetView zoomScale="85" zoomScaleNormal="85" workbookViewId="0">
      <selection activeCell="D26" sqref="D26"/>
    </sheetView>
  </sheetViews>
  <sheetFormatPr defaultColWidth="9" defaultRowHeight="12.5"/>
  <cols>
    <col min="1" max="1" width="7.08984375" style="49" customWidth="1"/>
    <col min="2" max="2" width="28.7265625" style="49" customWidth="1"/>
    <col min="3" max="3" width="21" style="27" customWidth="1"/>
    <col min="4" max="4" width="14.36328125" style="26" customWidth="1"/>
    <col min="5" max="5" width="41.81640625" style="26" customWidth="1"/>
    <col min="6" max="6" width="51.36328125" style="26" customWidth="1"/>
    <col min="7" max="16384" width="9" style="6"/>
  </cols>
  <sheetData>
    <row r="2" spans="1:6" ht="24.5">
      <c r="A2" s="25"/>
      <c r="B2" s="25"/>
      <c r="C2" s="28" t="s">
        <v>116</v>
      </c>
      <c r="D2" s="28"/>
      <c r="E2" s="29"/>
    </row>
    <row r="3" spans="1:6" ht="13.5" customHeight="1">
      <c r="A3" s="25"/>
      <c r="B3" s="25"/>
      <c r="D3" s="30"/>
      <c r="E3" s="30"/>
    </row>
    <row r="4" spans="1:6" ht="14.25" customHeight="1">
      <c r="A4" s="172" t="s">
        <v>0</v>
      </c>
      <c r="B4" s="172"/>
      <c r="C4" s="173" t="str">
        <f>Cover!B4</f>
        <v>Clawbot</v>
      </c>
      <c r="D4" s="174"/>
      <c r="E4" s="174"/>
      <c r="F4" s="175"/>
    </row>
    <row r="5" spans="1:6" ht="14.25" customHeight="1">
      <c r="A5" s="172" t="s">
        <v>2</v>
      </c>
      <c r="B5" s="172"/>
      <c r="C5" s="173" t="str">
        <f>Cover!B5</f>
        <v>CLAWBOT</v>
      </c>
      <c r="D5" s="174"/>
      <c r="E5" s="174"/>
      <c r="F5" s="175"/>
    </row>
    <row r="6" spans="1:6" s="31" customFormat="1" ht="12.75" customHeight="1">
      <c r="A6" s="171" t="s">
        <v>13</v>
      </c>
      <c r="B6" s="171"/>
      <c r="C6" s="176" t="s">
        <v>482</v>
      </c>
      <c r="D6" s="177"/>
      <c r="E6" s="177"/>
      <c r="F6" s="178"/>
    </row>
    <row r="7" spans="1:6">
      <c r="A7" s="32"/>
      <c r="B7" s="32"/>
      <c r="C7" s="31"/>
      <c r="D7" s="6"/>
      <c r="E7" s="6"/>
      <c r="F7" s="6"/>
    </row>
    <row r="8" spans="1:6" s="39" customFormat="1" ht="24" customHeight="1">
      <c r="A8" s="33" t="s">
        <v>14</v>
      </c>
      <c r="B8" s="34" t="s">
        <v>112</v>
      </c>
      <c r="C8" s="36" t="s">
        <v>113</v>
      </c>
      <c r="D8" s="35" t="s">
        <v>15</v>
      </c>
      <c r="E8" s="37" t="s">
        <v>16</v>
      </c>
      <c r="F8" s="38" t="s">
        <v>17</v>
      </c>
    </row>
    <row r="9" spans="1:6" ht="25">
      <c r="A9" s="99">
        <v>1</v>
      </c>
      <c r="B9" s="40" t="s">
        <v>117</v>
      </c>
      <c r="C9" s="41" t="s">
        <v>118</v>
      </c>
      <c r="D9" s="165" t="s">
        <v>483</v>
      </c>
      <c r="E9" s="42" t="s">
        <v>484</v>
      </c>
      <c r="F9" s="43" t="s">
        <v>485</v>
      </c>
    </row>
    <row r="10" spans="1:6" ht="25">
      <c r="A10" s="99">
        <v>2</v>
      </c>
      <c r="B10" s="40" t="s">
        <v>143</v>
      </c>
      <c r="C10" s="41" t="s">
        <v>144</v>
      </c>
      <c r="D10" s="165" t="s">
        <v>486</v>
      </c>
      <c r="E10" s="42" t="s">
        <v>487</v>
      </c>
      <c r="F10" s="43" t="s">
        <v>488</v>
      </c>
    </row>
    <row r="11" spans="1:6" ht="13">
      <c r="A11" s="99">
        <v>3</v>
      </c>
      <c r="B11" s="40" t="s">
        <v>156</v>
      </c>
      <c r="C11" s="41" t="s">
        <v>157</v>
      </c>
      <c r="D11" s="165" t="s">
        <v>489</v>
      </c>
      <c r="E11" s="42" t="s">
        <v>490</v>
      </c>
      <c r="F11" s="43" t="s">
        <v>491</v>
      </c>
    </row>
    <row r="12" spans="1:6" ht="25">
      <c r="A12" s="99">
        <v>4</v>
      </c>
      <c r="B12" s="40" t="s">
        <v>174</v>
      </c>
      <c r="C12" s="41" t="s">
        <v>175</v>
      </c>
      <c r="D12" s="165" t="s">
        <v>492</v>
      </c>
      <c r="E12" s="42" t="s">
        <v>493</v>
      </c>
      <c r="F12" s="43" t="s">
        <v>494</v>
      </c>
    </row>
    <row r="13" spans="1:6" ht="25">
      <c r="A13" s="99">
        <v>5</v>
      </c>
      <c r="B13" s="40" t="s">
        <v>191</v>
      </c>
      <c r="C13" s="41" t="s">
        <v>192</v>
      </c>
      <c r="D13" s="165" t="s">
        <v>495</v>
      </c>
      <c r="E13" s="42" t="s">
        <v>496</v>
      </c>
      <c r="F13" s="43" t="s">
        <v>491</v>
      </c>
    </row>
    <row r="14" spans="1:6" ht="25">
      <c r="A14" s="99">
        <v>6</v>
      </c>
      <c r="B14" s="40" t="s">
        <v>206</v>
      </c>
      <c r="C14" s="41" t="s">
        <v>207</v>
      </c>
      <c r="D14" s="165" t="s">
        <v>497</v>
      </c>
      <c r="E14" s="42" t="s">
        <v>498</v>
      </c>
      <c r="F14" s="43" t="s">
        <v>499</v>
      </c>
    </row>
    <row r="15" spans="1:6" ht="25">
      <c r="A15" s="99">
        <v>7</v>
      </c>
      <c r="B15" s="40" t="s">
        <v>228</v>
      </c>
      <c r="C15" s="41" t="s">
        <v>229</v>
      </c>
      <c r="D15" s="165" t="s">
        <v>500</v>
      </c>
      <c r="E15" s="42" t="s">
        <v>501</v>
      </c>
      <c r="F15" s="43" t="s">
        <v>502</v>
      </c>
    </row>
    <row r="16" spans="1:6" ht="37.5">
      <c r="A16" s="99">
        <v>8</v>
      </c>
      <c r="B16" s="40" t="s">
        <v>251</v>
      </c>
      <c r="C16" s="41" t="s">
        <v>252</v>
      </c>
      <c r="D16" s="165" t="s">
        <v>503</v>
      </c>
      <c r="E16" s="42" t="s">
        <v>504</v>
      </c>
      <c r="F16" s="43" t="s">
        <v>505</v>
      </c>
    </row>
    <row r="17" spans="1:6" ht="25">
      <c r="A17" s="99">
        <v>9</v>
      </c>
      <c r="B17" s="40" t="s">
        <v>206</v>
      </c>
      <c r="C17" s="41" t="s">
        <v>269</v>
      </c>
      <c r="D17" s="165" t="s">
        <v>506</v>
      </c>
      <c r="E17" s="42" t="s">
        <v>507</v>
      </c>
      <c r="F17" s="43" t="s">
        <v>508</v>
      </c>
    </row>
    <row r="18" spans="1:6" ht="50">
      <c r="A18" s="99">
        <v>10</v>
      </c>
      <c r="B18" s="40" t="s">
        <v>206</v>
      </c>
      <c r="C18" s="41" t="s">
        <v>303</v>
      </c>
      <c r="D18" s="165" t="s">
        <v>509</v>
      </c>
      <c r="E18" s="42" t="s">
        <v>510</v>
      </c>
      <c r="F18" s="43" t="s">
        <v>511</v>
      </c>
    </row>
    <row r="19" spans="1:6" ht="25">
      <c r="A19" s="99">
        <v>11</v>
      </c>
      <c r="B19" s="40" t="s">
        <v>336</v>
      </c>
      <c r="C19" s="41" t="s">
        <v>337</v>
      </c>
      <c r="D19" s="165" t="s">
        <v>512</v>
      </c>
      <c r="E19" s="42" t="s">
        <v>513</v>
      </c>
      <c r="F19" s="43" t="s">
        <v>514</v>
      </c>
    </row>
    <row r="20" spans="1:6" ht="37.5">
      <c r="A20" s="99">
        <v>12</v>
      </c>
      <c r="B20" s="40" t="s">
        <v>156</v>
      </c>
      <c r="C20" s="41" t="s">
        <v>374</v>
      </c>
      <c r="D20" s="165" t="s">
        <v>515</v>
      </c>
      <c r="E20" s="42" t="s">
        <v>516</v>
      </c>
      <c r="F20" s="43" t="s">
        <v>517</v>
      </c>
    </row>
    <row r="21" spans="1:6" ht="25">
      <c r="A21" s="99">
        <v>13</v>
      </c>
      <c r="B21" s="40" t="s">
        <v>423</v>
      </c>
      <c r="C21" s="41" t="s">
        <v>424</v>
      </c>
      <c r="D21" s="165" t="s">
        <v>518</v>
      </c>
      <c r="E21" s="42" t="s">
        <v>519</v>
      </c>
      <c r="F21" s="43" t="s">
        <v>520</v>
      </c>
    </row>
    <row r="22" spans="1:6" ht="25">
      <c r="A22" s="99">
        <v>14</v>
      </c>
      <c r="B22" s="40" t="s">
        <v>451</v>
      </c>
      <c r="C22" s="41" t="s">
        <v>452</v>
      </c>
      <c r="D22" s="165" t="s">
        <v>521</v>
      </c>
      <c r="E22" s="42" t="s">
        <v>522</v>
      </c>
      <c r="F22" s="43" t="s">
        <v>523</v>
      </c>
    </row>
    <row r="23" spans="1:6">
      <c r="A23" s="99"/>
      <c r="B23" s="40"/>
      <c r="C23" s="41"/>
      <c r="D23" s="42"/>
      <c r="E23" s="42"/>
      <c r="F23" s="43"/>
    </row>
    <row r="24" spans="1:6">
      <c r="A24" s="99"/>
      <c r="B24" s="40"/>
      <c r="C24" s="41"/>
      <c r="D24" s="42"/>
      <c r="E24" s="42"/>
      <c r="F24" s="43"/>
    </row>
    <row r="25" spans="1:6">
      <c r="A25" s="99"/>
      <c r="B25" s="40"/>
      <c r="C25" s="41"/>
      <c r="D25" s="44"/>
      <c r="E25" s="44"/>
      <c r="F25" s="43"/>
    </row>
    <row r="26" spans="1:6">
      <c r="A26" s="99"/>
      <c r="B26" s="40"/>
      <c r="C26" s="41"/>
      <c r="D26" s="44"/>
      <c r="E26" s="44"/>
      <c r="F26" s="43"/>
    </row>
    <row r="27" spans="1:6">
      <c r="A27" s="99"/>
      <c r="B27" s="40"/>
      <c r="C27" s="41"/>
      <c r="D27" s="44"/>
      <c r="E27" s="44"/>
      <c r="F27" s="43"/>
    </row>
    <row r="28" spans="1:6">
      <c r="A28" s="99"/>
      <c r="B28" s="40"/>
      <c r="C28" s="41"/>
      <c r="D28" s="44"/>
      <c r="E28" s="44"/>
      <c r="F28" s="43"/>
    </row>
    <row r="29" spans="1:6">
      <c r="A29" s="99"/>
      <c r="B29" s="40"/>
      <c r="C29" s="41"/>
      <c r="D29" s="44"/>
      <c r="E29" s="44"/>
      <c r="F29" s="43"/>
    </row>
    <row r="30" spans="1:6">
      <c r="A30" s="99"/>
      <c r="B30" s="40"/>
      <c r="C30" s="41"/>
      <c r="D30" s="44"/>
      <c r="E30" s="44"/>
      <c r="F30" s="43"/>
    </row>
    <row r="31" spans="1:6">
      <c r="A31" s="99"/>
      <c r="B31" s="40"/>
      <c r="C31" s="41"/>
      <c r="D31" s="44"/>
      <c r="E31" s="44"/>
      <c r="F31" s="43"/>
    </row>
    <row r="32" spans="1:6">
      <c r="A32" s="100"/>
      <c r="B32" s="45"/>
      <c r="C32" s="46"/>
      <c r="D32" s="47"/>
      <c r="E32" s="47"/>
      <c r="F32" s="48"/>
    </row>
  </sheetData>
  <mergeCells count="6">
    <mergeCell ref="A6:B6"/>
    <mergeCell ref="A4:B4"/>
    <mergeCell ref="A5:B5"/>
    <mergeCell ref="C4:F4"/>
    <mergeCell ref="C5:F5"/>
    <mergeCell ref="C6:F6"/>
  </mergeCells>
  <phoneticPr fontId="0" type="noConversion"/>
  <hyperlinks>
    <hyperlink ref="D9" location="methodName1!A1" display="methodName1" xr:uid="{00000000-0004-0000-0200-000000000000}"/>
    <hyperlink ref="D10" location="methodName2!A1" display="methodName2" xr:uid="{00000000-0004-0000-0200-000001000000}"/>
  </hyperlinks>
  <pageMargins left="0.65" right="0.65" top="0.75" bottom="0.75" header="0.5" footer="0.5"/>
  <pageSetup paperSize="9" firstPageNumber="0" orientation="landscape" horizontalDpi="300" verticalDpi="300"/>
  <headerFooter alignWithMargins="0">
    <oddFooter>&amp;L&amp;"Tahoma,Regular"&amp;8 02ae-BM/PM/HDCV/FSOFT v2/1&amp;C&amp;"Tahoma,Regular"&amp;8Internal use&amp;R&amp;"Tahoma,Regular"&amp;8&amp;P/&amp;N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34"/>
  <sheetViews>
    <sheetView topLeftCell="A10" zoomScale="85" zoomScaleNormal="85" workbookViewId="0">
      <selection activeCell="A14" sqref="A14:IV14"/>
    </sheetView>
  </sheetViews>
  <sheetFormatPr defaultColWidth="9" defaultRowHeight="12.5"/>
  <cols>
    <col min="1" max="1" width="15.36328125" style="6" customWidth="1"/>
    <col min="2" max="2" width="26.6328125" style="6" customWidth="1"/>
    <col min="3" max="3" width="12.08984375" style="6" customWidth="1"/>
    <col min="4" max="4" width="9.6328125" style="6" customWidth="1"/>
    <col min="5" max="5" width="9.81640625" style="6" customWidth="1"/>
    <col min="6" max="8" width="5.08984375" style="6" customWidth="1"/>
    <col min="9" max="9" width="21" style="6" customWidth="1"/>
    <col min="10" max="10" width="33.08984375" style="6" customWidth="1"/>
    <col min="11" max="16384" width="9" style="6"/>
  </cols>
  <sheetData>
    <row r="2" spans="1:9" ht="25.5" customHeight="1">
      <c r="A2" s="179" t="s">
        <v>18</v>
      </c>
      <c r="B2" s="179"/>
      <c r="C2" s="179"/>
      <c r="D2" s="179"/>
      <c r="E2" s="179"/>
      <c r="F2" s="179"/>
      <c r="G2" s="179"/>
      <c r="H2" s="179"/>
      <c r="I2" s="179"/>
    </row>
    <row r="3" spans="1:9" ht="14.25" customHeight="1">
      <c r="A3" s="50"/>
      <c r="B3" s="51"/>
      <c r="C3" s="51"/>
      <c r="D3" s="51"/>
      <c r="E3" s="51"/>
      <c r="F3" s="51"/>
      <c r="G3" s="51"/>
      <c r="H3" s="51"/>
      <c r="I3" s="52"/>
    </row>
    <row r="4" spans="1:9" ht="13.5" customHeight="1">
      <c r="A4" s="129" t="s">
        <v>0</v>
      </c>
      <c r="B4" s="180" t="str">
        <f>Cover!B4</f>
        <v>Clawbot</v>
      </c>
      <c r="C4" s="180"/>
      <c r="D4" s="181" t="s">
        <v>1</v>
      </c>
      <c r="E4" s="181"/>
      <c r="F4" s="182" t="s">
        <v>477</v>
      </c>
      <c r="G4" s="183"/>
      <c r="H4" s="183"/>
      <c r="I4" s="184"/>
    </row>
    <row r="5" spans="1:9" ht="13.5" customHeight="1">
      <c r="A5" s="129" t="s">
        <v>2</v>
      </c>
      <c r="B5" s="180" t="str">
        <f>Cover!B5</f>
        <v>CLAWBOT</v>
      </c>
      <c r="C5" s="180"/>
      <c r="D5" s="181" t="s">
        <v>3</v>
      </c>
      <c r="E5" s="181"/>
      <c r="F5" s="182" t="s">
        <v>524</v>
      </c>
      <c r="G5" s="183"/>
      <c r="H5" s="183"/>
      <c r="I5" s="184"/>
    </row>
    <row r="6" spans="1:9" ht="12.75" customHeight="1">
      <c r="A6" s="130" t="s">
        <v>4</v>
      </c>
      <c r="B6" s="180" t="str">
        <f>B5&amp;"_"&amp;"Test Report"&amp;"_"&amp;"vx.x"</f>
        <v>CLAWBOT_Test Report_vx.x</v>
      </c>
      <c r="C6" s="180"/>
      <c r="D6" s="181" t="s">
        <v>5</v>
      </c>
      <c r="E6" s="181"/>
      <c r="F6" s="185">
        <v>46244.708333333336</v>
      </c>
      <c r="G6" s="186"/>
      <c r="H6" s="186"/>
      <c r="I6" s="187"/>
    </row>
    <row r="7" spans="1:9" ht="15.75" customHeight="1">
      <c r="A7" s="130" t="s">
        <v>19</v>
      </c>
      <c r="B7" s="188" t="s">
        <v>525</v>
      </c>
      <c r="C7" s="188"/>
      <c r="D7" s="188"/>
      <c r="E7" s="188"/>
      <c r="F7" s="188"/>
      <c r="G7" s="188"/>
      <c r="H7" s="188"/>
      <c r="I7" s="188"/>
    </row>
    <row r="8" spans="1:9" ht="14.25" customHeight="1">
      <c r="A8" s="53"/>
      <c r="B8" s="54"/>
      <c r="C8" s="51"/>
      <c r="D8" s="51"/>
      <c r="E8" s="51"/>
      <c r="F8" s="51"/>
      <c r="G8" s="51"/>
      <c r="H8" s="51"/>
      <c r="I8" s="52"/>
    </row>
    <row r="9" spans="1:9">
      <c r="A9" s="53"/>
      <c r="B9" s="54"/>
      <c r="C9" s="51"/>
      <c r="D9" s="51"/>
      <c r="E9" s="51"/>
      <c r="F9" s="51"/>
      <c r="G9" s="51"/>
      <c r="H9" s="51"/>
      <c r="I9" s="52"/>
    </row>
    <row r="11" spans="1:9" ht="14.25" customHeight="1">
      <c r="A11" s="55" t="s">
        <v>14</v>
      </c>
      <c r="B11" s="56" t="s">
        <v>106</v>
      </c>
      <c r="C11" s="57" t="s">
        <v>20</v>
      </c>
      <c r="D11" s="56" t="s">
        <v>21</v>
      </c>
      <c r="E11" s="58" t="s">
        <v>22</v>
      </c>
      <c r="F11" s="58" t="s">
        <v>50</v>
      </c>
      <c r="G11" s="58" t="s">
        <v>52</v>
      </c>
      <c r="H11" s="58" t="s">
        <v>51</v>
      </c>
      <c r="I11" s="59" t="s">
        <v>23</v>
      </c>
    </row>
    <row r="12" spans="1:9" ht="13">
      <c r="A12" s="60">
        <v>1</v>
      </c>
      <c r="B12" s="165" t="s">
        <v>118</v>
      </c>
      <c r="C12" s="61">
        <f>IsAllowedBaseUrl!A5</f>
        <v>14</v>
      </c>
      <c r="D12" s="61">
        <f>IsAllowedBaseUrl!C5</f>
        <v>0</v>
      </c>
      <c r="E12" s="61">
        <f>IsAllowedBaseUrl!F5</f>
        <v>0</v>
      </c>
      <c r="F12" s="62">
        <f>IsAllowedBaseUrl!L5</f>
        <v>6</v>
      </c>
      <c r="G12" s="61">
        <f>IsAllowedBaseUrl!M5</f>
        <v>7</v>
      </c>
      <c r="H12" s="61">
        <f>IsAllowedBaseUrl!N5</f>
        <v>1</v>
      </c>
      <c r="I12" s="61">
        <f>IsAllowedBaseUrl!O5</f>
        <v>14</v>
      </c>
    </row>
    <row r="13" spans="1:9" ht="13">
      <c r="A13" s="60">
        <v>2</v>
      </c>
      <c r="B13" s="165" t="s">
        <v>144</v>
      </c>
      <c r="C13" s="61">
        <f>NormalizeApiKey!A5</f>
        <v>6</v>
      </c>
      <c r="D13" s="61">
        <f>NormalizeApiKey!C5</f>
        <v>0</v>
      </c>
      <c r="E13" s="61">
        <f>NormalizeApiKey!F5</f>
        <v>0</v>
      </c>
      <c r="F13" s="62">
        <f>NormalizeApiKey!L5</f>
        <v>3</v>
      </c>
      <c r="G13" s="61">
        <f>NormalizeApiKey!M5</f>
        <v>1</v>
      </c>
      <c r="H13" s="61">
        <f>NormalizeApiKey!N5</f>
        <v>2</v>
      </c>
      <c r="I13" s="61">
        <f>NormalizeApiKey!O5</f>
        <v>6</v>
      </c>
    </row>
    <row r="14" spans="1:9" ht="13">
      <c r="A14" s="60">
        <v>3</v>
      </c>
      <c r="B14" s="165" t="s">
        <v>157</v>
      </c>
      <c r="C14" s="61">
        <f>ContentLintCheck!A5</f>
        <v>10</v>
      </c>
      <c r="D14" s="61">
        <f>ContentLintCheck!C5</f>
        <v>0</v>
      </c>
      <c r="E14" s="61">
        <f>ContentLintCheck!F5</f>
        <v>0</v>
      </c>
      <c r="F14" s="62">
        <f>ContentLintCheck!L5</f>
        <v>3</v>
      </c>
      <c r="G14" s="61">
        <f>ContentLintCheck!M5</f>
        <v>6</v>
      </c>
      <c r="H14" s="61">
        <f>ContentLintCheck!N5</f>
        <v>1</v>
      </c>
      <c r="I14" s="61">
        <f>ContentLintCheck!O5</f>
        <v>10</v>
      </c>
    </row>
    <row r="15" spans="1:9" ht="13">
      <c r="A15" s="60">
        <v>4</v>
      </c>
      <c r="B15" s="165" t="s">
        <v>175</v>
      </c>
      <c r="C15" s="61">
        <f>ScenarioMatcher!A5</f>
        <v>9</v>
      </c>
      <c r="D15" s="61">
        <f>ScenarioMatcher!C5</f>
        <v>0</v>
      </c>
      <c r="E15" s="61">
        <f>ScenarioMatcher!F5</f>
        <v>0</v>
      </c>
      <c r="F15" s="62">
        <f>ScenarioMatcher!L5</f>
        <v>3</v>
      </c>
      <c r="G15" s="61">
        <f>ScenarioMatcher!M5</f>
        <v>6</v>
      </c>
      <c r="H15" s="61">
        <f>ScenarioMatcher!N5</f>
        <v>0</v>
      </c>
      <c r="I15" s="61">
        <f>ScenarioMatcher!O5</f>
        <v>9</v>
      </c>
    </row>
    <row r="16" spans="1:9" ht="13">
      <c r="A16" s="60">
        <v>5</v>
      </c>
      <c r="B16" s="165" t="s">
        <v>192</v>
      </c>
      <c r="C16" s="61">
        <f>GoldenHourResolve!A5</f>
        <v>8</v>
      </c>
      <c r="D16" s="61">
        <f>GoldenHourResolve!C5</f>
        <v>0</v>
      </c>
      <c r="E16" s="61">
        <f>GoldenHourResolve!F5</f>
        <v>0</v>
      </c>
      <c r="F16" s="62">
        <f>GoldenHourResolve!L5</f>
        <v>3</v>
      </c>
      <c r="G16" s="61">
        <f>GoldenHourResolve!M5</f>
        <v>4</v>
      </c>
      <c r="H16" s="61">
        <f>GoldenHourResolve!N5</f>
        <v>1</v>
      </c>
      <c r="I16" s="61">
        <f>GoldenHourResolve!O5</f>
        <v>8</v>
      </c>
    </row>
    <row r="17" spans="1:9" ht="13">
      <c r="A17" s="60">
        <v>6</v>
      </c>
      <c r="B17" s="165" t="s">
        <v>207</v>
      </c>
      <c r="C17" s="61">
        <f>RecurrenceCalc!A5</f>
        <v>10</v>
      </c>
      <c r="D17" s="61">
        <f>RecurrenceCalc!C5</f>
        <v>0</v>
      </c>
      <c r="E17" s="61">
        <f>RecurrenceCalc!F5</f>
        <v>0</v>
      </c>
      <c r="F17" s="62">
        <f>RecurrenceCalc!L5</f>
        <v>7</v>
      </c>
      <c r="G17" s="61">
        <f>RecurrenceCalc!M5</f>
        <v>1</v>
      </c>
      <c r="H17" s="61">
        <f>RecurrenceCalc!N5</f>
        <v>2</v>
      </c>
      <c r="I17" s="61">
        <f>RecurrenceCalc!O5</f>
        <v>10</v>
      </c>
    </row>
    <row r="18" spans="1:9" ht="13">
      <c r="A18" s="60">
        <v>7</v>
      </c>
      <c r="B18" s="165" t="s">
        <v>229</v>
      </c>
      <c r="C18" s="61">
        <f>KbSuggestionApprove!A5</f>
        <v>8</v>
      </c>
      <c r="D18" s="61">
        <f>KbSuggestionApprove!C5</f>
        <v>0</v>
      </c>
      <c r="E18" s="61">
        <f>KbSuggestionApprove!F5</f>
        <v>0</v>
      </c>
      <c r="F18" s="62">
        <f>KbSuggestionApprove!L5</f>
        <v>1</v>
      </c>
      <c r="G18" s="61">
        <f>KbSuggestionApprove!M5</f>
        <v>6</v>
      </c>
      <c r="H18" s="61">
        <f>KbSuggestionApprove!N5</f>
        <v>1</v>
      </c>
      <c r="I18" s="61">
        <f>KbSuggestionApprove!O5</f>
        <v>8</v>
      </c>
    </row>
    <row r="19" spans="1:9" ht="13">
      <c r="A19" s="60">
        <v>8</v>
      </c>
      <c r="B19" s="165" t="s">
        <v>252</v>
      </c>
      <c r="C19" s="61">
        <f>ConversationResume!A5</f>
        <v>8</v>
      </c>
      <c r="D19" s="61">
        <f>ConversationResume!C5</f>
        <v>0</v>
      </c>
      <c r="E19" s="61">
        <f>ConversationResume!F5</f>
        <v>0</v>
      </c>
      <c r="F19" s="62">
        <f>ConversationResume!L5</f>
        <v>2</v>
      </c>
      <c r="G19" s="61">
        <f>ConversationResume!M5</f>
        <v>5</v>
      </c>
      <c r="H19" s="61">
        <f>ConversationResume!N5</f>
        <v>1</v>
      </c>
      <c r="I19" s="61">
        <f>ConversationResume!O5</f>
        <v>8</v>
      </c>
    </row>
    <row r="20" spans="1:9" ht="13">
      <c r="A20" s="60">
        <v>9</v>
      </c>
      <c r="B20" s="165" t="s">
        <v>269</v>
      </c>
      <c r="C20" s="61">
        <f>PlanValidator!A5</f>
        <v>16</v>
      </c>
      <c r="D20" s="61">
        <f>PlanValidator!C5</f>
        <v>0</v>
      </c>
      <c r="E20" s="61">
        <f>PlanValidator!F5</f>
        <v>0</v>
      </c>
      <c r="F20" s="62">
        <f>PlanValidator!L5</f>
        <v>4</v>
      </c>
      <c r="G20" s="61">
        <f>PlanValidator!M5</f>
        <v>12</v>
      </c>
      <c r="H20" s="61">
        <f>PlanValidator!N5</f>
        <v>0</v>
      </c>
      <c r="I20" s="61">
        <f>PlanValidator!O5</f>
        <v>16</v>
      </c>
    </row>
    <row r="21" spans="1:9" ht="13">
      <c r="A21" s="60">
        <v>10</v>
      </c>
      <c r="B21" s="165" t="s">
        <v>303</v>
      </c>
      <c r="C21" s="61">
        <f>CostGuard!A5</f>
        <v>14</v>
      </c>
      <c r="D21" s="61">
        <f>CostGuard!C5</f>
        <v>0</v>
      </c>
      <c r="E21" s="61">
        <f>CostGuard!F5</f>
        <v>0</v>
      </c>
      <c r="F21" s="62">
        <f>CostGuard!L5</f>
        <v>5</v>
      </c>
      <c r="G21" s="61">
        <f>CostGuard!M5</f>
        <v>9</v>
      </c>
      <c r="H21" s="61">
        <f>CostGuard!N5</f>
        <v>0</v>
      </c>
      <c r="I21" s="61">
        <f>CostGuard!O5</f>
        <v>14</v>
      </c>
    </row>
    <row r="22" spans="1:9" ht="13">
      <c r="A22" s="60">
        <v>11</v>
      </c>
      <c r="B22" s="165" t="s">
        <v>337</v>
      </c>
      <c r="C22" s="61">
        <f>PublicUrlSafety!A5</f>
        <v>21</v>
      </c>
      <c r="D22" s="61">
        <f>PublicUrlSafety!C5</f>
        <v>0</v>
      </c>
      <c r="E22" s="61">
        <f>PublicUrlSafety!F5</f>
        <v>0</v>
      </c>
      <c r="F22" s="62">
        <f>PublicUrlSafety!L5</f>
        <v>2</v>
      </c>
      <c r="G22" s="61">
        <f>PublicUrlSafety!M5</f>
        <v>19</v>
      </c>
      <c r="H22" s="61">
        <f>PublicUrlSafety!N5</f>
        <v>0</v>
      </c>
      <c r="I22" s="61">
        <f>PublicUrlSafety!O5</f>
        <v>21</v>
      </c>
    </row>
    <row r="23" spans="1:9" ht="13">
      <c r="A23" s="60">
        <v>12</v>
      </c>
      <c r="B23" s="165" t="s">
        <v>374</v>
      </c>
      <c r="C23" s="61">
        <f>ReviewOutcomeParse!A5</f>
        <v>25</v>
      </c>
      <c r="D23" s="61">
        <f>ReviewOutcomeParse!C5</f>
        <v>0</v>
      </c>
      <c r="E23" s="61">
        <f>ReviewOutcomeParse!F5</f>
        <v>0</v>
      </c>
      <c r="F23" s="62">
        <f>ReviewOutcomeParse!L5</f>
        <v>4</v>
      </c>
      <c r="G23" s="61">
        <f>ReviewOutcomeParse!M5</f>
        <v>21</v>
      </c>
      <c r="H23" s="61">
        <f>ReviewOutcomeParse!N5</f>
        <v>0</v>
      </c>
      <c r="I23" s="61">
        <f>ReviewOutcomeParse!O5</f>
        <v>25</v>
      </c>
    </row>
    <row r="24" spans="1:9" ht="13">
      <c r="A24" s="60">
        <v>13</v>
      </c>
      <c r="B24" s="165" t="s">
        <v>424</v>
      </c>
      <c r="C24" s="61">
        <f>LeadScoringWeights!A5</f>
        <v>12</v>
      </c>
      <c r="D24" s="61">
        <f>LeadScoringWeights!C5</f>
        <v>0</v>
      </c>
      <c r="E24" s="61">
        <f>LeadScoringWeights!F5</f>
        <v>0</v>
      </c>
      <c r="F24" s="62">
        <f>LeadScoringWeights!L5</f>
        <v>12</v>
      </c>
      <c r="G24" s="61">
        <f>LeadScoringWeights!M5</f>
        <v>0</v>
      </c>
      <c r="H24" s="61">
        <f>LeadScoringWeights!N5</f>
        <v>0</v>
      </c>
      <c r="I24" s="61">
        <f>LeadScoringWeights!O5</f>
        <v>12</v>
      </c>
    </row>
    <row r="25" spans="1:9" ht="13">
      <c r="A25" s="60">
        <v>14</v>
      </c>
      <c r="B25" s="165" t="s">
        <v>452</v>
      </c>
      <c r="C25" s="61">
        <f>AuthPolicyConstants!A5</f>
        <v>11</v>
      </c>
      <c r="D25" s="61">
        <f>AuthPolicyConstants!C5</f>
        <v>0</v>
      </c>
      <c r="E25" s="61">
        <f>AuthPolicyConstants!F5</f>
        <v>0</v>
      </c>
      <c r="F25" s="62">
        <f>AuthPolicyConstants!L5</f>
        <v>8</v>
      </c>
      <c r="G25" s="61">
        <f>AuthPolicyConstants!M5</f>
        <v>3</v>
      </c>
      <c r="H25" s="61">
        <f>AuthPolicyConstants!N5</f>
        <v>0</v>
      </c>
      <c r="I25" s="61">
        <f>AuthPolicyConstants!O5</f>
        <v>11</v>
      </c>
    </row>
    <row r="26" spans="1:9" ht="14">
      <c r="A26" s="60"/>
      <c r="B26" s="118"/>
      <c r="C26" s="61"/>
      <c r="D26" s="61"/>
      <c r="E26" s="61"/>
      <c r="F26" s="62"/>
      <c r="G26" s="61"/>
      <c r="H26" s="61"/>
      <c r="I26" s="61"/>
    </row>
    <row r="27" spans="1:9" ht="14">
      <c r="A27" s="60"/>
      <c r="B27" s="118"/>
      <c r="C27" s="61"/>
      <c r="D27" s="61"/>
      <c r="E27" s="61"/>
      <c r="F27" s="62"/>
      <c r="G27" s="61"/>
      <c r="H27" s="61"/>
      <c r="I27" s="61"/>
    </row>
    <row r="28" spans="1:9" ht="14">
      <c r="A28" s="63"/>
      <c r="B28" s="119" t="s">
        <v>24</v>
      </c>
      <c r="C28" s="64">
        <f>SUM(C12:C25)</f>
        <v>172</v>
      </c>
      <c r="D28" s="64">
        <f>SUM(D12:D25)</f>
        <v>0</v>
      </c>
      <c r="E28" s="64">
        <f>SUM(E12:E25)</f>
        <v>0</v>
      </c>
      <c r="F28" s="64">
        <f>SUM(F12:F25)</f>
        <v>63</v>
      </c>
      <c r="G28" s="64">
        <f>SUM(G12:G25)</f>
        <v>100</v>
      </c>
      <c r="H28" s="64">
        <f>SUM(H12:H25)</f>
        <v>9</v>
      </c>
      <c r="I28" s="64">
        <f>SUM(I12:I25)</f>
        <v>172</v>
      </c>
    </row>
    <row r="29" spans="1:9">
      <c r="A29" s="65"/>
      <c r="C29" s="66"/>
      <c r="D29" s="67"/>
      <c r="E29" s="67"/>
      <c r="F29" s="67"/>
      <c r="G29" s="67"/>
      <c r="H29" s="67"/>
      <c r="I29" s="67"/>
    </row>
    <row r="30" spans="1:9">
      <c r="B30" s="131" t="s">
        <v>25</v>
      </c>
      <c r="D30" s="132">
        <f>(C28+D28)*100/(I28)</f>
        <v>100</v>
      </c>
      <c r="E30" s="6" t="s">
        <v>26</v>
      </c>
      <c r="I30" s="68"/>
    </row>
    <row r="31" spans="1:9">
      <c r="B31" s="131" t="s">
        <v>27</v>
      </c>
      <c r="D31" s="132">
        <f>C28*100/(I28)</f>
        <v>100</v>
      </c>
      <c r="E31" s="6" t="s">
        <v>26</v>
      </c>
      <c r="I31" s="68"/>
    </row>
    <row r="32" spans="1:9">
      <c r="B32" s="131" t="s">
        <v>28</v>
      </c>
      <c r="D32" s="132">
        <f>F28*100/I28</f>
        <v>36.627906976744185</v>
      </c>
      <c r="E32" s="6" t="s">
        <v>26</v>
      </c>
    </row>
    <row r="33" spans="2:5">
      <c r="B33" s="131" t="s">
        <v>29</v>
      </c>
      <c r="D33" s="132">
        <f>G28*100/I28</f>
        <v>58.139534883720927</v>
      </c>
      <c r="E33" s="6" t="s">
        <v>26</v>
      </c>
    </row>
    <row r="34" spans="2:5">
      <c r="B34" s="131" t="s">
        <v>30</v>
      </c>
      <c r="D34" s="132">
        <f>H28*100/I28</f>
        <v>5.2325581395348841</v>
      </c>
      <c r="E34" s="6" t="s">
        <v>26</v>
      </c>
    </row>
  </sheetData>
  <mergeCells count="11">
    <mergeCell ref="F6:I6"/>
    <mergeCell ref="B6:C6"/>
    <mergeCell ref="D6:E6"/>
    <mergeCell ref="B7:I7"/>
    <mergeCell ref="A2:I2"/>
    <mergeCell ref="B4:C4"/>
    <mergeCell ref="D4:E4"/>
    <mergeCell ref="B5:C5"/>
    <mergeCell ref="D5:E5"/>
    <mergeCell ref="F4:I4"/>
    <mergeCell ref="F5:I5"/>
  </mergeCells>
  <phoneticPr fontId="0" type="noConversion"/>
  <hyperlinks>
    <hyperlink ref="B12" location="methodName1!A1" display="methodName1" xr:uid="{00000000-0004-0000-0300-000000000000}"/>
    <hyperlink ref="B13" location="methodName2!A1" display="methodName2" xr:uid="{00000000-0004-0000-0300-000001000000}"/>
  </hyperlinks>
  <pageMargins left="0.65" right="0.65" top="0.75" bottom="0.75" header="0.5" footer="0.5"/>
  <pageSetup firstPageNumber="0" orientation="landscape" horizontalDpi="300" verticalDpi="300"/>
  <headerFooter alignWithMargins="0">
    <oddFooter>&amp;L&amp;"Tahoma,Regular"&amp;8 02ae-BM/PM/HDCV/FSOFT v2/1&amp;C&amp;"Tahoma,Regular"&amp;8Internal use&amp;R&amp;"Tahoma,Regular"&amp;8&amp;P/&amp;N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FBC9-733D-44F2-A151-FFA00EC5F030}">
  <dimension ref="A1:V35"/>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19" width="2.81640625" style="69" customWidth="1"/>
    <col min="20" max="20" width="2.81640625" style="69" bestFit="1" customWidth="1"/>
    <col min="21" max="21" width="2.81640625" style="69" customWidth="1"/>
    <col min="22" max="16384" width="9" style="69"/>
  </cols>
  <sheetData>
    <row r="1" spans="1:22" ht="13.5" customHeight="1">
      <c r="A1" s="189" t="s">
        <v>110</v>
      </c>
      <c r="B1" s="190"/>
      <c r="C1" s="191" t="s">
        <v>117</v>
      </c>
      <c r="D1" s="192"/>
      <c r="E1" s="193"/>
      <c r="F1" s="194" t="s">
        <v>111</v>
      </c>
      <c r="G1" s="195"/>
      <c r="H1" s="195"/>
      <c r="I1" s="195"/>
      <c r="J1" s="195"/>
      <c r="K1" s="195"/>
      <c r="L1" s="220" t="s">
        <v>118</v>
      </c>
      <c r="M1" s="221"/>
      <c r="N1" s="221"/>
      <c r="O1" s="221"/>
      <c r="P1" s="221"/>
      <c r="Q1" s="221"/>
      <c r="R1" s="221"/>
      <c r="S1" s="221"/>
      <c r="T1" s="222"/>
      <c r="V1" s="71"/>
    </row>
    <row r="2" spans="1:2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7"/>
    </row>
    <row r="3" spans="1:22" ht="13.5" customHeight="1">
      <c r="A3" s="202" t="s">
        <v>64</v>
      </c>
      <c r="B3" s="203"/>
      <c r="C3" s="213" t="s">
        <v>120</v>
      </c>
      <c r="D3" s="213"/>
      <c r="E3" s="213"/>
      <c r="F3" s="214"/>
      <c r="G3" s="214"/>
      <c r="H3" s="214"/>
      <c r="I3" s="214"/>
      <c r="J3" s="214"/>
      <c r="K3" s="214"/>
      <c r="L3" s="213"/>
      <c r="M3" s="213"/>
      <c r="N3" s="213"/>
      <c r="O3" s="213"/>
      <c r="P3" s="213"/>
      <c r="Q3" s="213"/>
      <c r="R3" s="213"/>
      <c r="S3" s="213"/>
      <c r="T3" s="213"/>
    </row>
    <row r="4" spans="1:2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9"/>
      <c r="V4" s="71"/>
    </row>
    <row r="5" spans="1:22" ht="13.5" customHeight="1" thickBot="1">
      <c r="A5" s="201">
        <f>COUNTIF(F32:HQ32,"P")</f>
        <v>14</v>
      </c>
      <c r="B5" s="200"/>
      <c r="C5" s="197">
        <f>COUNTIF(F32:HQ32,"F")</f>
        <v>0</v>
      </c>
      <c r="D5" s="198"/>
      <c r="E5" s="200"/>
      <c r="F5" s="197">
        <f>SUM(O5,- A5,- C5)</f>
        <v>0</v>
      </c>
      <c r="G5" s="198"/>
      <c r="H5" s="198"/>
      <c r="I5" s="198"/>
      <c r="J5" s="198"/>
      <c r="K5" s="199"/>
      <c r="L5" s="128">
        <f>COUNTIF(E31:HQ31,"N")</f>
        <v>6</v>
      </c>
      <c r="M5" s="128">
        <f>COUNTIF(E31:HQ31,"A")</f>
        <v>7</v>
      </c>
      <c r="N5" s="128">
        <f>COUNTIF(E31:HQ31,"B")</f>
        <v>1</v>
      </c>
      <c r="O5" s="216">
        <f>COUNTA(E7:HT7)</f>
        <v>14</v>
      </c>
      <c r="P5" s="198"/>
      <c r="Q5" s="198"/>
      <c r="R5" s="198"/>
      <c r="S5" s="198"/>
      <c r="T5" s="217"/>
      <c r="U5" s="72"/>
    </row>
    <row r="6" spans="1:22" ht="10.5" thickBot="1"/>
    <row r="7" spans="1:22" ht="46.5" customHeight="1" thickTop="1" thickBot="1">
      <c r="A7" s="159"/>
      <c r="B7" s="160"/>
      <c r="C7" s="161"/>
      <c r="D7" s="162"/>
      <c r="E7" s="161"/>
      <c r="F7" s="163" t="s">
        <v>32</v>
      </c>
      <c r="G7" s="163" t="s">
        <v>33</v>
      </c>
      <c r="H7" s="163" t="s">
        <v>34</v>
      </c>
      <c r="I7" s="163" t="s">
        <v>35</v>
      </c>
      <c r="J7" s="163" t="s">
        <v>36</v>
      </c>
      <c r="K7" s="163" t="s">
        <v>37</v>
      </c>
      <c r="L7" s="163" t="s">
        <v>38</v>
      </c>
      <c r="M7" s="163" t="s">
        <v>39</v>
      </c>
      <c r="N7" s="163" t="s">
        <v>40</v>
      </c>
      <c r="O7" s="163" t="s">
        <v>41</v>
      </c>
      <c r="P7" s="163" t="s">
        <v>42</v>
      </c>
      <c r="Q7" s="163" t="s">
        <v>43</v>
      </c>
      <c r="R7" s="163" t="s">
        <v>44</v>
      </c>
      <c r="S7" s="163" t="s">
        <v>45</v>
      </c>
      <c r="T7" s="164"/>
      <c r="U7" s="74"/>
      <c r="V7" s="71"/>
    </row>
    <row r="8" spans="1:22" ht="13.5" customHeight="1">
      <c r="A8" s="154" t="s">
        <v>66</v>
      </c>
      <c r="B8" s="155" t="s">
        <v>121</v>
      </c>
      <c r="C8" s="156"/>
      <c r="D8" s="157"/>
      <c r="E8" s="78"/>
      <c r="F8" s="123"/>
      <c r="G8" s="123"/>
      <c r="H8" s="123"/>
      <c r="I8" s="123"/>
      <c r="J8" s="123"/>
      <c r="K8" s="123"/>
      <c r="L8" s="123"/>
      <c r="M8" s="123"/>
      <c r="N8" s="123"/>
      <c r="O8" s="123"/>
      <c r="P8" s="123"/>
      <c r="Q8" s="123"/>
      <c r="R8" s="123"/>
      <c r="S8" s="123"/>
      <c r="T8" s="144"/>
    </row>
    <row r="9" spans="1:22" ht="13.5" customHeight="1">
      <c r="A9" s="142"/>
      <c r="B9" s="75"/>
      <c r="C9" s="76"/>
      <c r="D9" s="77" t="s">
        <v>122</v>
      </c>
      <c r="E9" s="78"/>
      <c r="F9" s="120" t="s">
        <v>86</v>
      </c>
      <c r="G9" s="120"/>
      <c r="H9" s="120"/>
      <c r="I9" s="120"/>
      <c r="J9" s="120"/>
      <c r="K9" s="120"/>
      <c r="L9" s="120"/>
      <c r="M9" s="120"/>
      <c r="N9" s="120"/>
      <c r="O9" s="120"/>
      <c r="P9" s="120"/>
      <c r="Q9" s="120"/>
      <c r="R9" s="120"/>
      <c r="S9" s="120"/>
      <c r="T9" s="141"/>
      <c r="V9" s="71"/>
    </row>
    <row r="10" spans="1:22" ht="13.5" customHeight="1">
      <c r="A10" s="142"/>
      <c r="B10" s="75"/>
      <c r="C10" s="76"/>
      <c r="D10" s="77" t="s">
        <v>123</v>
      </c>
      <c r="E10" s="78"/>
      <c r="F10" s="120"/>
      <c r="G10" s="120" t="s">
        <v>86</v>
      </c>
      <c r="H10" s="120"/>
      <c r="I10" s="120"/>
      <c r="J10" s="120"/>
      <c r="K10" s="120"/>
      <c r="L10" s="120"/>
      <c r="M10" s="120"/>
      <c r="N10" s="120"/>
      <c r="O10" s="120"/>
      <c r="P10" s="120"/>
      <c r="Q10" s="120"/>
      <c r="R10" s="120"/>
      <c r="S10" s="120"/>
      <c r="T10" s="141"/>
    </row>
    <row r="11" spans="1:22" ht="13.5" customHeight="1">
      <c r="A11" s="142"/>
      <c r="B11" s="75"/>
      <c r="C11" s="76"/>
      <c r="D11" s="77" t="s">
        <v>124</v>
      </c>
      <c r="E11" s="79"/>
      <c r="F11" s="120"/>
      <c r="G11" s="120"/>
      <c r="H11" s="120" t="s">
        <v>86</v>
      </c>
      <c r="I11" s="120"/>
      <c r="J11" s="120"/>
      <c r="K11" s="120"/>
      <c r="L11" s="120"/>
      <c r="M11" s="120"/>
      <c r="N11" s="120"/>
      <c r="O11" s="120"/>
      <c r="P11" s="120"/>
      <c r="Q11" s="120"/>
      <c r="R11" s="120"/>
      <c r="S11" s="120"/>
      <c r="T11" s="141"/>
    </row>
    <row r="12" spans="1:22" ht="13.5" customHeight="1">
      <c r="A12" s="142"/>
      <c r="B12" s="75"/>
      <c r="C12" s="76"/>
      <c r="D12" s="77" t="s">
        <v>125</v>
      </c>
      <c r="E12" s="80"/>
      <c r="F12" s="120"/>
      <c r="G12" s="120"/>
      <c r="H12" s="120"/>
      <c r="I12" s="120" t="s">
        <v>86</v>
      </c>
      <c r="J12" s="120"/>
      <c r="K12" s="120"/>
      <c r="L12" s="120"/>
      <c r="M12" s="120"/>
      <c r="N12" s="120"/>
      <c r="O12" s="120"/>
      <c r="P12" s="120"/>
      <c r="Q12" s="120"/>
      <c r="R12" s="120"/>
      <c r="S12" s="120"/>
      <c r="T12" s="141"/>
    </row>
    <row r="13" spans="1:22" ht="13.5" customHeight="1">
      <c r="A13" s="142"/>
      <c r="B13" s="75"/>
      <c r="C13" s="76"/>
      <c r="D13" s="77" t="s">
        <v>126</v>
      </c>
      <c r="E13" s="80"/>
      <c r="F13" s="120"/>
      <c r="G13" s="120"/>
      <c r="H13" s="120"/>
      <c r="I13" s="120"/>
      <c r="J13" s="120" t="s">
        <v>86</v>
      </c>
      <c r="K13" s="120" t="s">
        <v>86</v>
      </c>
      <c r="L13" s="120" t="s">
        <v>86</v>
      </c>
      <c r="M13" s="120"/>
      <c r="N13" s="120"/>
      <c r="O13" s="120"/>
      <c r="P13" s="120"/>
      <c r="Q13" s="120"/>
      <c r="R13" s="120"/>
      <c r="S13" s="120"/>
      <c r="T13" s="141"/>
    </row>
    <row r="14" spans="1:22" ht="13.5" customHeight="1">
      <c r="A14" s="142"/>
      <c r="B14" s="75"/>
      <c r="C14" s="76"/>
      <c r="D14" s="77" t="s">
        <v>127</v>
      </c>
      <c r="E14" s="80"/>
      <c r="F14" s="120"/>
      <c r="G14" s="120"/>
      <c r="H14" s="120"/>
      <c r="I14" s="120"/>
      <c r="J14" s="120"/>
      <c r="K14" s="120"/>
      <c r="L14" s="120"/>
      <c r="M14" s="120" t="s">
        <v>86</v>
      </c>
      <c r="N14" s="120" t="s">
        <v>86</v>
      </c>
      <c r="O14" s="120" t="s">
        <v>86</v>
      </c>
      <c r="P14" s="120" t="s">
        <v>86</v>
      </c>
      <c r="Q14" s="120"/>
      <c r="R14" s="120"/>
      <c r="S14" s="120"/>
      <c r="T14" s="141"/>
    </row>
    <row r="15" spans="1:22" ht="13.5" customHeight="1">
      <c r="A15" s="142"/>
      <c r="B15" s="75"/>
      <c r="C15" s="76"/>
      <c r="D15" s="77" t="s">
        <v>128</v>
      </c>
      <c r="E15" s="80"/>
      <c r="F15" s="120"/>
      <c r="G15" s="120"/>
      <c r="H15" s="120"/>
      <c r="I15" s="120"/>
      <c r="J15" s="120"/>
      <c r="K15" s="120"/>
      <c r="L15" s="120"/>
      <c r="M15" s="120"/>
      <c r="N15" s="120"/>
      <c r="O15" s="120"/>
      <c r="P15" s="120"/>
      <c r="Q15" s="120" t="s">
        <v>86</v>
      </c>
      <c r="R15" s="120" t="s">
        <v>86</v>
      </c>
      <c r="S15" s="120"/>
      <c r="T15" s="141"/>
      <c r="U15" s="121"/>
    </row>
    <row r="16" spans="1:22" ht="13.5" customHeight="1">
      <c r="A16" s="142"/>
      <c r="B16" s="75"/>
      <c r="C16" s="76"/>
      <c r="D16" s="77" t="s">
        <v>129</v>
      </c>
      <c r="E16" s="80"/>
      <c r="F16" s="120"/>
      <c r="G16" s="120"/>
      <c r="H16" s="120"/>
      <c r="I16" s="120"/>
      <c r="J16" s="120"/>
      <c r="K16" s="120"/>
      <c r="L16" s="120"/>
      <c r="M16" s="120"/>
      <c r="N16" s="120"/>
      <c r="O16" s="120"/>
      <c r="P16" s="120"/>
      <c r="Q16" s="120"/>
      <c r="R16" s="120"/>
      <c r="S16" s="120" t="s">
        <v>86</v>
      </c>
      <c r="T16" s="141"/>
      <c r="U16" s="121"/>
    </row>
    <row r="17" spans="1:20" ht="13.5" customHeight="1">
      <c r="A17" s="142"/>
      <c r="B17" s="75" t="s">
        <v>130</v>
      </c>
      <c r="C17" s="76"/>
      <c r="D17" s="210"/>
      <c r="E17" s="210"/>
      <c r="F17" s="120"/>
      <c r="G17" s="120"/>
      <c r="H17" s="120"/>
      <c r="I17" s="120"/>
      <c r="J17" s="120"/>
      <c r="K17" s="120"/>
      <c r="L17" s="120"/>
      <c r="M17" s="120"/>
      <c r="N17" s="120"/>
      <c r="O17" s="120"/>
      <c r="P17" s="120"/>
      <c r="Q17" s="120"/>
      <c r="R17" s="120"/>
      <c r="S17" s="120"/>
      <c r="T17" s="141"/>
    </row>
    <row r="18" spans="1:20" ht="13.5" customHeight="1">
      <c r="A18" s="142"/>
      <c r="B18" s="75"/>
      <c r="C18" s="76"/>
      <c r="D18" s="77" t="s">
        <v>131</v>
      </c>
      <c r="E18" s="80"/>
      <c r="F18" s="120" t="s">
        <v>86</v>
      </c>
      <c r="G18" s="120" t="s">
        <v>86</v>
      </c>
      <c r="H18" s="120" t="s">
        <v>86</v>
      </c>
      <c r="I18" s="120"/>
      <c r="J18" s="120" t="s">
        <v>86</v>
      </c>
      <c r="K18" s="120"/>
      <c r="L18" s="120" t="s">
        <v>86</v>
      </c>
      <c r="M18" s="120" t="s">
        <v>86</v>
      </c>
      <c r="N18" s="120" t="s">
        <v>86</v>
      </c>
      <c r="O18" s="120" t="s">
        <v>86</v>
      </c>
      <c r="P18" s="120" t="s">
        <v>86</v>
      </c>
      <c r="Q18" s="120" t="s">
        <v>86</v>
      </c>
      <c r="R18" s="120"/>
      <c r="S18" s="120" t="s">
        <v>86</v>
      </c>
      <c r="T18" s="141"/>
    </row>
    <row r="19" spans="1:20" ht="13.5" customHeight="1">
      <c r="A19" s="142"/>
      <c r="B19" s="75"/>
      <c r="C19" s="76"/>
      <c r="D19" s="77" t="s">
        <v>132</v>
      </c>
      <c r="E19" s="80"/>
      <c r="F19" s="120"/>
      <c r="G19" s="120"/>
      <c r="H19" s="120"/>
      <c r="I19" s="120" t="s">
        <v>86</v>
      </c>
      <c r="J19" s="120"/>
      <c r="K19" s="120" t="s">
        <v>86</v>
      </c>
      <c r="L19" s="120"/>
      <c r="M19" s="120"/>
      <c r="N19" s="120"/>
      <c r="O19" s="120"/>
      <c r="P19" s="120"/>
      <c r="Q19" s="120"/>
      <c r="R19" s="120" t="s">
        <v>86</v>
      </c>
      <c r="S19" s="120"/>
      <c r="T19" s="141"/>
    </row>
    <row r="20" spans="1:20" ht="13.5" customHeight="1">
      <c r="A20" s="142"/>
      <c r="B20" s="75" t="s">
        <v>133</v>
      </c>
      <c r="C20" s="76"/>
      <c r="D20" s="77"/>
      <c r="E20" s="80"/>
      <c r="F20" s="120"/>
      <c r="G20" s="120"/>
      <c r="H20" s="120"/>
      <c r="I20" s="120"/>
      <c r="J20" s="120"/>
      <c r="K20" s="120"/>
      <c r="L20" s="120"/>
      <c r="M20" s="120"/>
      <c r="N20" s="120"/>
      <c r="O20" s="120"/>
      <c r="P20" s="120"/>
      <c r="Q20" s="120"/>
      <c r="R20" s="120"/>
      <c r="S20" s="120"/>
      <c r="T20" s="141"/>
    </row>
    <row r="21" spans="1:20" ht="13.5" customHeight="1">
      <c r="A21" s="142"/>
      <c r="B21" s="75"/>
      <c r="C21" s="76"/>
      <c r="D21" s="77" t="s">
        <v>134</v>
      </c>
      <c r="E21" s="80"/>
      <c r="F21" s="120" t="s">
        <v>86</v>
      </c>
      <c r="G21" s="120" t="s">
        <v>86</v>
      </c>
      <c r="H21" s="120" t="s">
        <v>86</v>
      </c>
      <c r="I21" s="120" t="s">
        <v>86</v>
      </c>
      <c r="J21" s="120" t="s">
        <v>86</v>
      </c>
      <c r="K21" s="120" t="s">
        <v>86</v>
      </c>
      <c r="L21" s="120"/>
      <c r="M21" s="120" t="s">
        <v>86</v>
      </c>
      <c r="N21" s="120" t="s">
        <v>86</v>
      </c>
      <c r="O21" s="120" t="s">
        <v>86</v>
      </c>
      <c r="P21" s="120" t="s">
        <v>86</v>
      </c>
      <c r="Q21" s="120" t="s">
        <v>86</v>
      </c>
      <c r="R21" s="120" t="s">
        <v>86</v>
      </c>
      <c r="S21" s="120" t="s">
        <v>86</v>
      </c>
      <c r="T21" s="141"/>
    </row>
    <row r="22" spans="1:20" ht="13.5" customHeight="1">
      <c r="A22" s="142"/>
      <c r="B22" s="75"/>
      <c r="C22" s="76"/>
      <c r="D22" s="77" t="s">
        <v>135</v>
      </c>
      <c r="E22" s="80"/>
      <c r="F22" s="120"/>
      <c r="G22" s="120"/>
      <c r="H22" s="120"/>
      <c r="I22" s="120"/>
      <c r="J22" s="120"/>
      <c r="K22" s="120"/>
      <c r="L22" s="120" t="s">
        <v>86</v>
      </c>
      <c r="M22" s="120"/>
      <c r="N22" s="120"/>
      <c r="O22" s="120"/>
      <c r="P22" s="120"/>
      <c r="Q22" s="120"/>
      <c r="R22" s="120"/>
      <c r="S22" s="120"/>
      <c r="T22" s="141"/>
    </row>
    <row r="23" spans="1:20" ht="13.5" customHeight="1">
      <c r="A23" s="142"/>
      <c r="B23" s="75" t="s">
        <v>136</v>
      </c>
      <c r="C23" s="76"/>
      <c r="D23" s="77"/>
      <c r="E23" s="80"/>
      <c r="F23" s="120"/>
      <c r="G23" s="120"/>
      <c r="H23" s="120"/>
      <c r="I23" s="120"/>
      <c r="J23" s="120"/>
      <c r="K23" s="120"/>
      <c r="L23" s="120"/>
      <c r="M23" s="120"/>
      <c r="N23" s="120"/>
      <c r="O23" s="120"/>
      <c r="P23" s="120"/>
      <c r="Q23" s="120"/>
      <c r="R23" s="120"/>
      <c r="S23" s="120"/>
      <c r="T23" s="141"/>
    </row>
    <row r="24" spans="1:20" ht="13.5" customHeight="1">
      <c r="A24" s="142"/>
      <c r="B24" s="75"/>
      <c r="C24" s="76"/>
      <c r="D24" s="77" t="s">
        <v>137</v>
      </c>
      <c r="E24" s="80"/>
      <c r="F24" s="120" t="s">
        <v>86</v>
      </c>
      <c r="G24" s="120" t="s">
        <v>86</v>
      </c>
      <c r="H24" s="120" t="s">
        <v>86</v>
      </c>
      <c r="I24" s="120" t="s">
        <v>86</v>
      </c>
      <c r="J24" s="120"/>
      <c r="K24" s="120"/>
      <c r="L24" s="120"/>
      <c r="M24" s="120" t="s">
        <v>86</v>
      </c>
      <c r="N24" s="120"/>
      <c r="O24" s="120"/>
      <c r="P24" s="120"/>
      <c r="Q24" s="120"/>
      <c r="R24" s="120"/>
      <c r="S24" s="120"/>
      <c r="T24" s="141"/>
    </row>
    <row r="25" spans="1:20" ht="13.5" customHeight="1">
      <c r="A25" s="142"/>
      <c r="B25" s="75"/>
      <c r="C25" s="76"/>
      <c r="D25" s="77" t="s">
        <v>138</v>
      </c>
      <c r="E25" s="80"/>
      <c r="F25" s="120"/>
      <c r="G25" s="120"/>
      <c r="H25" s="120"/>
      <c r="I25" s="120"/>
      <c r="J25" s="120" t="s">
        <v>86</v>
      </c>
      <c r="K25" s="120" t="s">
        <v>86</v>
      </c>
      <c r="L25" s="120" t="s">
        <v>86</v>
      </c>
      <c r="M25" s="120"/>
      <c r="N25" s="120" t="s">
        <v>86</v>
      </c>
      <c r="O25" s="120"/>
      <c r="P25" s="120"/>
      <c r="Q25" s="120" t="s">
        <v>86</v>
      </c>
      <c r="R25" s="120" t="s">
        <v>86</v>
      </c>
      <c r="S25" s="120" t="s">
        <v>86</v>
      </c>
      <c r="T25" s="141"/>
    </row>
    <row r="26" spans="1:20" ht="13.5" customHeight="1">
      <c r="A26" s="142"/>
      <c r="B26" s="75"/>
      <c r="C26" s="76"/>
      <c r="D26" s="77" t="s">
        <v>139</v>
      </c>
      <c r="E26" s="80"/>
      <c r="F26" s="120"/>
      <c r="G26" s="120"/>
      <c r="H26" s="120"/>
      <c r="I26" s="120"/>
      <c r="J26" s="120"/>
      <c r="K26" s="120"/>
      <c r="L26" s="120"/>
      <c r="M26" s="120"/>
      <c r="N26" s="120"/>
      <c r="O26" s="120" t="s">
        <v>86</v>
      </c>
      <c r="P26" s="120"/>
      <c r="Q26" s="120"/>
      <c r="R26" s="120"/>
      <c r="S26" s="120"/>
      <c r="T26" s="141"/>
    </row>
    <row r="27" spans="1:20" ht="13.5" customHeight="1" thickBot="1">
      <c r="A27" s="142"/>
      <c r="B27" s="81"/>
      <c r="C27" s="82"/>
      <c r="D27" s="83" t="s">
        <v>140</v>
      </c>
      <c r="E27" s="84"/>
      <c r="F27" s="122"/>
      <c r="G27" s="122"/>
      <c r="H27" s="122"/>
      <c r="I27" s="122"/>
      <c r="J27" s="122"/>
      <c r="K27" s="122"/>
      <c r="L27" s="122"/>
      <c r="M27" s="122"/>
      <c r="N27" s="122"/>
      <c r="O27" s="122"/>
      <c r="P27" s="122" t="s">
        <v>86</v>
      </c>
      <c r="Q27" s="122"/>
      <c r="R27" s="122"/>
      <c r="S27" s="122"/>
      <c r="T27" s="143"/>
    </row>
    <row r="28" spans="1:20" ht="13.5" customHeight="1" thickTop="1">
      <c r="A28" s="153" t="s">
        <v>67</v>
      </c>
      <c r="B28" s="85" t="s">
        <v>68</v>
      </c>
      <c r="C28" s="86"/>
      <c r="D28" s="87"/>
      <c r="E28" s="88"/>
      <c r="F28" s="123"/>
      <c r="G28" s="123"/>
      <c r="H28" s="123"/>
      <c r="I28" s="123"/>
      <c r="J28" s="123"/>
      <c r="K28" s="123"/>
      <c r="L28" s="123"/>
      <c r="M28" s="123"/>
      <c r="N28" s="123"/>
      <c r="O28" s="123"/>
      <c r="P28" s="123"/>
      <c r="Q28" s="123"/>
      <c r="R28" s="123"/>
      <c r="S28" s="123"/>
      <c r="T28" s="144"/>
    </row>
    <row r="29" spans="1:20" ht="13.5" customHeight="1">
      <c r="A29" s="152"/>
      <c r="B29" s="89"/>
      <c r="C29" s="90"/>
      <c r="D29" s="91" t="s">
        <v>141</v>
      </c>
      <c r="E29" s="92"/>
      <c r="F29" s="120"/>
      <c r="G29" s="120"/>
      <c r="H29" s="120"/>
      <c r="I29" s="120"/>
      <c r="J29" s="120"/>
      <c r="K29" s="120" t="s">
        <v>86</v>
      </c>
      <c r="L29" s="120" t="s">
        <v>86</v>
      </c>
      <c r="M29" s="120" t="s">
        <v>86</v>
      </c>
      <c r="N29" s="120"/>
      <c r="O29" s="120"/>
      <c r="P29" s="120"/>
      <c r="Q29" s="120"/>
      <c r="R29" s="120" t="s">
        <v>86</v>
      </c>
      <c r="S29" s="120"/>
      <c r="T29" s="141"/>
    </row>
    <row r="30" spans="1:20" ht="13.5" customHeight="1" thickBot="1">
      <c r="A30" s="152"/>
      <c r="B30" s="133"/>
      <c r="C30" s="134"/>
      <c r="D30" s="135" t="s">
        <v>142</v>
      </c>
      <c r="E30" s="136"/>
      <c r="F30" s="137" t="s">
        <v>86</v>
      </c>
      <c r="G30" s="137" t="s">
        <v>86</v>
      </c>
      <c r="H30" s="137" t="s">
        <v>86</v>
      </c>
      <c r="I30" s="137" t="s">
        <v>86</v>
      </c>
      <c r="J30" s="137" t="s">
        <v>86</v>
      </c>
      <c r="K30" s="137"/>
      <c r="L30" s="137"/>
      <c r="M30" s="137"/>
      <c r="N30" s="137" t="s">
        <v>86</v>
      </c>
      <c r="O30" s="137" t="s">
        <v>86</v>
      </c>
      <c r="P30" s="137" t="s">
        <v>86</v>
      </c>
      <c r="Q30" s="137" t="s">
        <v>86</v>
      </c>
      <c r="R30" s="137"/>
      <c r="S30" s="137" t="s">
        <v>86</v>
      </c>
      <c r="T30" s="145"/>
    </row>
    <row r="31" spans="1:20" ht="13.5" customHeight="1" thickTop="1">
      <c r="A31" s="153" t="s">
        <v>48</v>
      </c>
      <c r="B31" s="206" t="s">
        <v>49</v>
      </c>
      <c r="C31" s="206"/>
      <c r="D31" s="206"/>
      <c r="E31" s="138"/>
      <c r="F31" s="139" t="s">
        <v>50</v>
      </c>
      <c r="G31" s="139" t="s">
        <v>50</v>
      </c>
      <c r="H31" s="139" t="s">
        <v>52</v>
      </c>
      <c r="I31" s="139" t="s">
        <v>52</v>
      </c>
      <c r="J31" s="139" t="s">
        <v>50</v>
      </c>
      <c r="K31" s="139" t="s">
        <v>52</v>
      </c>
      <c r="L31" s="139" t="s">
        <v>52</v>
      </c>
      <c r="M31" s="139" t="s">
        <v>50</v>
      </c>
      <c r="N31" s="139" t="s">
        <v>52</v>
      </c>
      <c r="O31" s="139" t="s">
        <v>51</v>
      </c>
      <c r="P31" s="139" t="s">
        <v>52</v>
      </c>
      <c r="Q31" s="139" t="s">
        <v>50</v>
      </c>
      <c r="R31" s="139" t="s">
        <v>52</v>
      </c>
      <c r="S31" s="139" t="s">
        <v>50</v>
      </c>
      <c r="T31" s="146"/>
    </row>
    <row r="32" spans="1:20" ht="13.5" customHeight="1">
      <c r="A32" s="152"/>
      <c r="B32" s="196" t="s">
        <v>53</v>
      </c>
      <c r="C32" s="196"/>
      <c r="D32" s="196"/>
      <c r="E32" s="94"/>
      <c r="F32" s="125" t="s">
        <v>54</v>
      </c>
      <c r="G32" s="125" t="s">
        <v>54</v>
      </c>
      <c r="H32" s="125" t="s">
        <v>54</v>
      </c>
      <c r="I32" s="125" t="s">
        <v>54</v>
      </c>
      <c r="J32" s="125" t="s">
        <v>54</v>
      </c>
      <c r="K32" s="125" t="s">
        <v>54</v>
      </c>
      <c r="L32" s="125" t="s">
        <v>54</v>
      </c>
      <c r="M32" s="125" t="s">
        <v>54</v>
      </c>
      <c r="N32" s="125" t="s">
        <v>54</v>
      </c>
      <c r="O32" s="125" t="s">
        <v>54</v>
      </c>
      <c r="P32" s="125" t="s">
        <v>54</v>
      </c>
      <c r="Q32" s="125" t="s">
        <v>54</v>
      </c>
      <c r="R32" s="125" t="s">
        <v>54</v>
      </c>
      <c r="S32" s="125" t="s">
        <v>54</v>
      </c>
      <c r="T32" s="147"/>
    </row>
    <row r="33" spans="1:20" ht="13.5" customHeight="1">
      <c r="A33" s="152"/>
      <c r="B33" s="204" t="s">
        <v>55</v>
      </c>
      <c r="C33" s="204"/>
      <c r="D33" s="204"/>
      <c r="E33" s="95"/>
      <c r="F33" s="96">
        <v>46244.708333333336</v>
      </c>
      <c r="G33" s="96">
        <v>46244.708333333336</v>
      </c>
      <c r="H33" s="96">
        <v>46244.708333333336</v>
      </c>
      <c r="I33" s="96">
        <v>46244.708333333336</v>
      </c>
      <c r="J33" s="96">
        <v>46244.708333333336</v>
      </c>
      <c r="K33" s="96">
        <v>46244.708333333336</v>
      </c>
      <c r="L33" s="96">
        <v>46244.708333333336</v>
      </c>
      <c r="M33" s="96">
        <v>46244.708333333336</v>
      </c>
      <c r="N33" s="96">
        <v>46244.708333333336</v>
      </c>
      <c r="O33" s="96">
        <v>46244.708333333336</v>
      </c>
      <c r="P33" s="96">
        <v>46244.708333333336</v>
      </c>
      <c r="Q33" s="96">
        <v>46244.708333333336</v>
      </c>
      <c r="R33" s="96">
        <v>46244.708333333336</v>
      </c>
      <c r="S33" s="96">
        <v>46244.708333333336</v>
      </c>
      <c r="T33" s="148"/>
    </row>
    <row r="34" spans="1:20" ht="10.5" thickBot="1">
      <c r="A34" s="158"/>
      <c r="B34" s="205" t="s">
        <v>56</v>
      </c>
      <c r="C34" s="205"/>
      <c r="D34" s="205"/>
      <c r="E34" s="149"/>
      <c r="F34" s="150"/>
      <c r="G34" s="150"/>
      <c r="H34" s="150"/>
      <c r="I34" s="150"/>
      <c r="J34" s="150"/>
      <c r="K34" s="150"/>
      <c r="L34" s="150"/>
      <c r="M34" s="150"/>
      <c r="N34" s="150"/>
      <c r="O34" s="150"/>
      <c r="P34" s="150"/>
      <c r="Q34" s="150"/>
      <c r="R34" s="150"/>
      <c r="S34" s="150"/>
      <c r="T34" s="151"/>
    </row>
    <row r="35" spans="1:20" ht="10.5" thickTop="1">
      <c r="A35" s="140"/>
    </row>
  </sheetData>
  <mergeCells count="24">
    <mergeCell ref="B32:D32"/>
    <mergeCell ref="B33:D33"/>
    <mergeCell ref="B34:D34"/>
    <mergeCell ref="A5:B5"/>
    <mergeCell ref="C5:E5"/>
    <mergeCell ref="F5:K5"/>
    <mergeCell ref="O5:T5"/>
    <mergeCell ref="D17:E17"/>
    <mergeCell ref="B31:D31"/>
    <mergeCell ref="A3:B3"/>
    <mergeCell ref="C3:T3"/>
    <mergeCell ref="A4:B4"/>
    <mergeCell ref="C4:E4"/>
    <mergeCell ref="F4:K4"/>
    <mergeCell ref="L4:N4"/>
    <mergeCell ref="O4:T4"/>
    <mergeCell ref="A1:B1"/>
    <mergeCell ref="C1:E1"/>
    <mergeCell ref="F1:K1"/>
    <mergeCell ref="L1:T1"/>
    <mergeCell ref="A2:B2"/>
    <mergeCell ref="C2:E2"/>
    <mergeCell ref="F2:K2"/>
    <mergeCell ref="L2:N2"/>
  </mergeCells>
  <dataValidations count="3">
    <dataValidation type="list" allowBlank="1" showInputMessage="1" showErrorMessage="1" sqref="F32:T32" xr:uid="{47AB48BF-2454-4F8C-8C61-D3498551E5DB}">
      <formula1>"P,F, "</formula1>
    </dataValidation>
    <dataValidation type="list" allowBlank="1" showInputMessage="1" showErrorMessage="1" sqref="F31:T31" xr:uid="{2356386D-1BA5-4C76-B039-1A6CD24A3735}">
      <formula1>"N,A,B, "</formula1>
    </dataValidation>
    <dataValidation type="list" allowBlank="1" showInputMessage="1" showErrorMessage="1" sqref="F8:T30" xr:uid="{8D48F40F-D9AC-442D-9192-2C521EBF1873}">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C1A89-A949-4912-A28F-CF0C1D0416A8}">
  <dimension ref="A1:V22"/>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19" width="2.81640625" style="69" customWidth="1"/>
    <col min="20" max="20" width="2.81640625" style="69" bestFit="1" customWidth="1"/>
    <col min="21" max="21" width="2.81640625" style="69" customWidth="1"/>
    <col min="22" max="16384" width="9" style="69"/>
  </cols>
  <sheetData>
    <row r="1" spans="1:22" ht="13.5" customHeight="1">
      <c r="A1" s="189" t="s">
        <v>110</v>
      </c>
      <c r="B1" s="190"/>
      <c r="C1" s="191" t="s">
        <v>143</v>
      </c>
      <c r="D1" s="192"/>
      <c r="E1" s="193"/>
      <c r="F1" s="194" t="s">
        <v>111</v>
      </c>
      <c r="G1" s="195"/>
      <c r="H1" s="195"/>
      <c r="I1" s="195"/>
      <c r="J1" s="195"/>
      <c r="K1" s="195"/>
      <c r="L1" s="220" t="s">
        <v>144</v>
      </c>
      <c r="M1" s="221"/>
      <c r="N1" s="221"/>
      <c r="O1" s="221"/>
      <c r="P1" s="221"/>
      <c r="Q1" s="221"/>
      <c r="R1" s="221"/>
      <c r="S1" s="221"/>
      <c r="T1" s="222"/>
      <c r="V1" s="71"/>
    </row>
    <row r="2" spans="1:2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7"/>
    </row>
    <row r="3" spans="1:22" ht="13.5" customHeight="1">
      <c r="A3" s="202" t="s">
        <v>64</v>
      </c>
      <c r="B3" s="203"/>
      <c r="C3" s="213" t="s">
        <v>145</v>
      </c>
      <c r="D3" s="213"/>
      <c r="E3" s="213"/>
      <c r="F3" s="214"/>
      <c r="G3" s="214"/>
      <c r="H3" s="214"/>
      <c r="I3" s="214"/>
      <c r="J3" s="214"/>
      <c r="K3" s="214"/>
      <c r="L3" s="213"/>
      <c r="M3" s="213"/>
      <c r="N3" s="213"/>
      <c r="O3" s="213"/>
      <c r="P3" s="213"/>
      <c r="Q3" s="213"/>
      <c r="R3" s="213"/>
      <c r="S3" s="213"/>
      <c r="T3" s="213"/>
    </row>
    <row r="4" spans="1:2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9"/>
      <c r="V4" s="71"/>
    </row>
    <row r="5" spans="1:22" ht="13.5" customHeight="1" thickBot="1">
      <c r="A5" s="201">
        <f>COUNTIF(F19:HQ19,"P")</f>
        <v>6</v>
      </c>
      <c r="B5" s="200"/>
      <c r="C5" s="197">
        <f>COUNTIF(F19:HQ19,"F")</f>
        <v>0</v>
      </c>
      <c r="D5" s="198"/>
      <c r="E5" s="200"/>
      <c r="F5" s="197">
        <f>SUM(O5,- A5,- C5)</f>
        <v>0</v>
      </c>
      <c r="G5" s="198"/>
      <c r="H5" s="198"/>
      <c r="I5" s="198"/>
      <c r="J5" s="198"/>
      <c r="K5" s="199"/>
      <c r="L5" s="128">
        <f>COUNTIF(E18:HQ18,"N")</f>
        <v>3</v>
      </c>
      <c r="M5" s="128">
        <f>COUNTIF(E18:HQ18,"A")</f>
        <v>1</v>
      </c>
      <c r="N5" s="128">
        <f>COUNTIF(E18:HQ18,"B")</f>
        <v>2</v>
      </c>
      <c r="O5" s="216">
        <f>COUNTA(E7:HT7)</f>
        <v>6</v>
      </c>
      <c r="P5" s="198"/>
      <c r="Q5" s="198"/>
      <c r="R5" s="198"/>
      <c r="S5" s="198"/>
      <c r="T5" s="217"/>
      <c r="U5" s="72"/>
    </row>
    <row r="6" spans="1:22" ht="10.5" thickBot="1"/>
    <row r="7" spans="1:22" ht="46.5" customHeight="1" thickTop="1" thickBot="1">
      <c r="A7" s="159"/>
      <c r="B7" s="160"/>
      <c r="C7" s="161"/>
      <c r="D7" s="162"/>
      <c r="E7" s="161"/>
      <c r="F7" s="163" t="s">
        <v>32</v>
      </c>
      <c r="G7" s="163" t="s">
        <v>33</v>
      </c>
      <c r="H7" s="163" t="s">
        <v>34</v>
      </c>
      <c r="I7" s="163" t="s">
        <v>35</v>
      </c>
      <c r="J7" s="163" t="s">
        <v>36</v>
      </c>
      <c r="K7" s="163" t="s">
        <v>37</v>
      </c>
      <c r="L7" s="163"/>
      <c r="M7" s="163"/>
      <c r="N7" s="163"/>
      <c r="O7" s="163"/>
      <c r="P7" s="163"/>
      <c r="Q7" s="163"/>
      <c r="R7" s="163"/>
      <c r="S7" s="163"/>
      <c r="T7" s="164"/>
      <c r="U7" s="74"/>
      <c r="V7" s="71"/>
    </row>
    <row r="8" spans="1:22" ht="13.5" customHeight="1">
      <c r="A8" s="154" t="s">
        <v>66</v>
      </c>
      <c r="B8" s="155" t="s">
        <v>146</v>
      </c>
      <c r="C8" s="156"/>
      <c r="D8" s="157"/>
      <c r="E8" s="78"/>
      <c r="F8" s="123"/>
      <c r="G8" s="123"/>
      <c r="H8" s="123"/>
      <c r="I8" s="123"/>
      <c r="J8" s="123"/>
      <c r="K8" s="123"/>
      <c r="L8" s="123"/>
      <c r="M8" s="123"/>
      <c r="N8" s="123"/>
      <c r="O8" s="123"/>
      <c r="P8" s="123"/>
      <c r="Q8" s="123"/>
      <c r="R8" s="123"/>
      <c r="S8" s="123"/>
      <c r="T8" s="144"/>
    </row>
    <row r="9" spans="1:22" ht="13.5" customHeight="1">
      <c r="A9" s="142"/>
      <c r="B9" s="75"/>
      <c r="C9" s="76"/>
      <c r="D9" s="77" t="s">
        <v>147</v>
      </c>
      <c r="E9" s="78"/>
      <c r="F9" s="120" t="s">
        <v>86</v>
      </c>
      <c r="G9" s="120"/>
      <c r="H9" s="120"/>
      <c r="I9" s="120"/>
      <c r="J9" s="120"/>
      <c r="K9" s="120"/>
      <c r="L9" s="120"/>
      <c r="M9" s="120"/>
      <c r="N9" s="120"/>
      <c r="O9" s="120"/>
      <c r="P9" s="120"/>
      <c r="Q9" s="120"/>
      <c r="R9" s="120"/>
      <c r="S9" s="120"/>
      <c r="T9" s="141"/>
      <c r="V9" s="71"/>
    </row>
    <row r="10" spans="1:22" ht="13.5" customHeight="1">
      <c r="A10" s="142"/>
      <c r="B10" s="75"/>
      <c r="C10" s="76"/>
      <c r="D10" s="77" t="s">
        <v>148</v>
      </c>
      <c r="E10" s="78"/>
      <c r="F10" s="120"/>
      <c r="G10" s="120" t="s">
        <v>86</v>
      </c>
      <c r="H10" s="120"/>
      <c r="I10" s="120"/>
      <c r="J10" s="120"/>
      <c r="K10" s="120"/>
      <c r="L10" s="120"/>
      <c r="M10" s="120"/>
      <c r="N10" s="120"/>
      <c r="O10" s="120"/>
      <c r="P10" s="120"/>
      <c r="Q10" s="120"/>
      <c r="R10" s="120"/>
      <c r="S10" s="120"/>
      <c r="T10" s="141"/>
    </row>
    <row r="11" spans="1:22" ht="13.5" customHeight="1">
      <c r="A11" s="142"/>
      <c r="B11" s="75"/>
      <c r="C11" s="76"/>
      <c r="D11" s="77" t="s">
        <v>149</v>
      </c>
      <c r="E11" s="79"/>
      <c r="F11" s="120"/>
      <c r="G11" s="120"/>
      <c r="H11" s="120" t="s">
        <v>86</v>
      </c>
      <c r="I11" s="120"/>
      <c r="J11" s="120"/>
      <c r="K11" s="120"/>
      <c r="L11" s="120"/>
      <c r="M11" s="120"/>
      <c r="N11" s="120"/>
      <c r="O11" s="120"/>
      <c r="P11" s="120"/>
      <c r="Q11" s="120"/>
      <c r="R11" s="120"/>
      <c r="S11" s="120"/>
      <c r="T11" s="141"/>
    </row>
    <row r="12" spans="1:22" ht="13.5" customHeight="1">
      <c r="A12" s="142"/>
      <c r="B12" s="75"/>
      <c r="C12" s="76"/>
      <c r="D12" s="77" t="s">
        <v>150</v>
      </c>
      <c r="E12" s="80"/>
      <c r="F12" s="120"/>
      <c r="G12" s="120"/>
      <c r="H12" s="120"/>
      <c r="I12" s="120" t="s">
        <v>86</v>
      </c>
      <c r="J12" s="120"/>
      <c r="K12" s="120"/>
      <c r="L12" s="120"/>
      <c r="M12" s="120"/>
      <c r="N12" s="120"/>
      <c r="O12" s="120"/>
      <c r="P12" s="120"/>
      <c r="Q12" s="120"/>
      <c r="R12" s="120"/>
      <c r="S12" s="120"/>
      <c r="T12" s="141"/>
    </row>
    <row r="13" spans="1:22" ht="13.5" customHeight="1">
      <c r="A13" s="142"/>
      <c r="B13" s="75"/>
      <c r="C13" s="76"/>
      <c r="D13" s="77" t="s">
        <v>151</v>
      </c>
      <c r="E13" s="80"/>
      <c r="F13" s="120"/>
      <c r="G13" s="120"/>
      <c r="H13" s="120"/>
      <c r="I13" s="120"/>
      <c r="J13" s="120" t="s">
        <v>86</v>
      </c>
      <c r="K13" s="120"/>
      <c r="L13" s="120"/>
      <c r="M13" s="120"/>
      <c r="N13" s="120"/>
      <c r="O13" s="120"/>
      <c r="P13" s="120"/>
      <c r="Q13" s="120"/>
      <c r="R13" s="120"/>
      <c r="S13" s="120"/>
      <c r="T13" s="141"/>
    </row>
    <row r="14" spans="1:22" ht="13.5" customHeight="1" thickBot="1">
      <c r="A14" s="142"/>
      <c r="B14" s="81"/>
      <c r="C14" s="82"/>
      <c r="D14" s="83" t="s">
        <v>152</v>
      </c>
      <c r="E14" s="84"/>
      <c r="F14" s="122"/>
      <c r="G14" s="122"/>
      <c r="H14" s="122"/>
      <c r="I14" s="122"/>
      <c r="J14" s="122"/>
      <c r="K14" s="122" t="s">
        <v>86</v>
      </c>
      <c r="L14" s="122"/>
      <c r="M14" s="122"/>
      <c r="N14" s="122"/>
      <c r="O14" s="122"/>
      <c r="P14" s="122"/>
      <c r="Q14" s="122"/>
      <c r="R14" s="122"/>
      <c r="S14" s="122"/>
      <c r="T14" s="143"/>
    </row>
    <row r="15" spans="1:22" ht="13.5" customHeight="1" thickTop="1">
      <c r="A15" s="153" t="s">
        <v>67</v>
      </c>
      <c r="B15" s="85" t="s">
        <v>153</v>
      </c>
      <c r="C15" s="86"/>
      <c r="D15" s="87"/>
      <c r="E15" s="88"/>
      <c r="F15" s="123"/>
      <c r="G15" s="123"/>
      <c r="H15" s="123"/>
      <c r="I15" s="123"/>
      <c r="J15" s="123"/>
      <c r="K15" s="123"/>
      <c r="L15" s="123"/>
      <c r="M15" s="123"/>
      <c r="N15" s="123"/>
      <c r="O15" s="123"/>
      <c r="P15" s="123"/>
      <c r="Q15" s="123"/>
      <c r="R15" s="123"/>
      <c r="S15" s="123"/>
      <c r="T15" s="144"/>
    </row>
    <row r="16" spans="1:22" ht="13.5" customHeight="1">
      <c r="A16" s="152"/>
      <c r="B16" s="89"/>
      <c r="C16" s="90"/>
      <c r="D16" s="91" t="s">
        <v>154</v>
      </c>
      <c r="E16" s="92"/>
      <c r="F16" s="120"/>
      <c r="G16" s="120"/>
      <c r="H16" s="120"/>
      <c r="I16" s="120"/>
      <c r="J16" s="120"/>
      <c r="K16" s="120" t="s">
        <v>86</v>
      </c>
      <c r="L16" s="120"/>
      <c r="M16" s="120"/>
      <c r="N16" s="120"/>
      <c r="O16" s="120"/>
      <c r="P16" s="120"/>
      <c r="Q16" s="120"/>
      <c r="R16" s="120"/>
      <c r="S16" s="120"/>
      <c r="T16" s="141"/>
    </row>
    <row r="17" spans="1:20" ht="13.5" customHeight="1" thickBot="1">
      <c r="A17" s="152"/>
      <c r="B17" s="133"/>
      <c r="C17" s="134"/>
      <c r="D17" s="135" t="s">
        <v>155</v>
      </c>
      <c r="E17" s="136"/>
      <c r="F17" s="137" t="s">
        <v>86</v>
      </c>
      <c r="G17" s="137" t="s">
        <v>86</v>
      </c>
      <c r="H17" s="137" t="s">
        <v>86</v>
      </c>
      <c r="I17" s="137" t="s">
        <v>86</v>
      </c>
      <c r="J17" s="137" t="s">
        <v>86</v>
      </c>
      <c r="K17" s="137"/>
      <c r="L17" s="137"/>
      <c r="M17" s="137"/>
      <c r="N17" s="137"/>
      <c r="O17" s="137"/>
      <c r="P17" s="137"/>
      <c r="Q17" s="137"/>
      <c r="R17" s="137"/>
      <c r="S17" s="137"/>
      <c r="T17" s="145"/>
    </row>
    <row r="18" spans="1:20" ht="13.5" customHeight="1" thickTop="1">
      <c r="A18" s="153" t="s">
        <v>48</v>
      </c>
      <c r="B18" s="206" t="s">
        <v>49</v>
      </c>
      <c r="C18" s="206"/>
      <c r="D18" s="206"/>
      <c r="E18" s="138"/>
      <c r="F18" s="139" t="s">
        <v>50</v>
      </c>
      <c r="G18" s="139" t="s">
        <v>50</v>
      </c>
      <c r="H18" s="139" t="s">
        <v>51</v>
      </c>
      <c r="I18" s="139" t="s">
        <v>51</v>
      </c>
      <c r="J18" s="139" t="s">
        <v>52</v>
      </c>
      <c r="K18" s="139" t="s">
        <v>50</v>
      </c>
      <c r="L18" s="139"/>
      <c r="M18" s="139"/>
      <c r="N18" s="139"/>
      <c r="O18" s="139"/>
      <c r="P18" s="139"/>
      <c r="Q18" s="139"/>
      <c r="R18" s="139"/>
      <c r="S18" s="139"/>
      <c r="T18" s="146"/>
    </row>
    <row r="19" spans="1:20" ht="13.5" customHeight="1">
      <c r="A19" s="152"/>
      <c r="B19" s="196" t="s">
        <v>53</v>
      </c>
      <c r="C19" s="196"/>
      <c r="D19" s="196"/>
      <c r="E19" s="94"/>
      <c r="F19" s="125" t="s">
        <v>54</v>
      </c>
      <c r="G19" s="125" t="s">
        <v>54</v>
      </c>
      <c r="H19" s="125" t="s">
        <v>54</v>
      </c>
      <c r="I19" s="125" t="s">
        <v>54</v>
      </c>
      <c r="J19" s="125" t="s">
        <v>54</v>
      </c>
      <c r="K19" s="125" t="s">
        <v>54</v>
      </c>
      <c r="L19" s="125"/>
      <c r="M19" s="125"/>
      <c r="N19" s="125"/>
      <c r="O19" s="125"/>
      <c r="P19" s="125"/>
      <c r="Q19" s="125"/>
      <c r="R19" s="125"/>
      <c r="S19" s="125"/>
      <c r="T19" s="147"/>
    </row>
    <row r="20" spans="1:20" ht="13.5" customHeight="1">
      <c r="A20" s="152"/>
      <c r="B20" s="204" t="s">
        <v>55</v>
      </c>
      <c r="C20" s="204"/>
      <c r="D20" s="204"/>
      <c r="E20" s="95"/>
      <c r="F20" s="96">
        <v>46244.708333333336</v>
      </c>
      <c r="G20" s="96">
        <v>46244.708333333336</v>
      </c>
      <c r="H20" s="96">
        <v>46244.708333333336</v>
      </c>
      <c r="I20" s="96">
        <v>46244.708333333336</v>
      </c>
      <c r="J20" s="96">
        <v>46244.708333333336</v>
      </c>
      <c r="K20" s="96">
        <v>46244.708333333336</v>
      </c>
      <c r="L20" s="96"/>
      <c r="M20" s="96"/>
      <c r="N20" s="96"/>
      <c r="O20" s="96"/>
      <c r="P20" s="96"/>
      <c r="Q20" s="96"/>
      <c r="R20" s="96"/>
      <c r="S20" s="96"/>
      <c r="T20" s="148"/>
    </row>
    <row r="21" spans="1:20" ht="10.5" thickBot="1">
      <c r="A21" s="158"/>
      <c r="B21" s="205" t="s">
        <v>56</v>
      </c>
      <c r="C21" s="205"/>
      <c r="D21" s="205"/>
      <c r="E21" s="149"/>
      <c r="F21" s="150"/>
      <c r="G21" s="150"/>
      <c r="H21" s="150"/>
      <c r="I21" s="150"/>
      <c r="J21" s="150"/>
      <c r="K21" s="150"/>
      <c r="L21" s="150"/>
      <c r="M21" s="150"/>
      <c r="N21" s="150"/>
      <c r="O21" s="150"/>
      <c r="P21" s="150"/>
      <c r="Q21" s="150"/>
      <c r="R21" s="150"/>
      <c r="S21" s="150"/>
      <c r="T21" s="151"/>
    </row>
    <row r="22" spans="1:20" ht="10.5" thickTop="1">
      <c r="A22" s="140"/>
    </row>
  </sheetData>
  <mergeCells count="23">
    <mergeCell ref="B19:D19"/>
    <mergeCell ref="B20:D20"/>
    <mergeCell ref="B21:D21"/>
    <mergeCell ref="A5:B5"/>
    <mergeCell ref="C5:E5"/>
    <mergeCell ref="F5:K5"/>
    <mergeCell ref="O5:T5"/>
    <mergeCell ref="B18:D18"/>
    <mergeCell ref="A3:B3"/>
    <mergeCell ref="C3:T3"/>
    <mergeCell ref="A4:B4"/>
    <mergeCell ref="C4:E4"/>
    <mergeCell ref="F4:K4"/>
    <mergeCell ref="L4:N4"/>
    <mergeCell ref="O4:T4"/>
    <mergeCell ref="A1:B1"/>
    <mergeCell ref="C1:E1"/>
    <mergeCell ref="F1:K1"/>
    <mergeCell ref="L1:T1"/>
    <mergeCell ref="A2:B2"/>
    <mergeCell ref="C2:E2"/>
    <mergeCell ref="F2:K2"/>
    <mergeCell ref="L2:N2"/>
  </mergeCells>
  <dataValidations count="3">
    <dataValidation type="list" allowBlank="1" showInputMessage="1" showErrorMessage="1" sqref="F19:T19" xr:uid="{AC853DBA-1E49-4DC8-BC0C-82200290593D}">
      <formula1>"P,F, "</formula1>
    </dataValidation>
    <dataValidation type="list" allowBlank="1" showInputMessage="1" showErrorMessage="1" sqref="F18:T18" xr:uid="{3810CDD5-188F-49A2-9E7C-24DBBF29F9B5}">
      <formula1>"N,A,B, "</formula1>
    </dataValidation>
    <dataValidation type="list" allowBlank="1" showInputMessage="1" showErrorMessage="1" sqref="F8:T17" xr:uid="{19636BF2-2B76-42CE-933F-0385AE39B403}">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0A36-1E5B-429F-99DE-9C7D8CD878AE}">
  <dimension ref="A1:V31"/>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19" width="2.81640625" style="69" customWidth="1"/>
    <col min="20" max="20" width="2.81640625" style="69" bestFit="1" customWidth="1"/>
    <col min="21" max="21" width="2.81640625" style="69" customWidth="1"/>
    <col min="22" max="16384" width="9" style="69"/>
  </cols>
  <sheetData>
    <row r="1" spans="1:22" ht="13.5" customHeight="1">
      <c r="A1" s="189" t="s">
        <v>110</v>
      </c>
      <c r="B1" s="190"/>
      <c r="C1" s="191" t="s">
        <v>156</v>
      </c>
      <c r="D1" s="192"/>
      <c r="E1" s="193"/>
      <c r="F1" s="194" t="s">
        <v>111</v>
      </c>
      <c r="G1" s="195"/>
      <c r="H1" s="195"/>
      <c r="I1" s="195"/>
      <c r="J1" s="195"/>
      <c r="K1" s="195"/>
      <c r="L1" s="220" t="s">
        <v>157</v>
      </c>
      <c r="M1" s="221"/>
      <c r="N1" s="221"/>
      <c r="O1" s="221"/>
      <c r="P1" s="221"/>
      <c r="Q1" s="221"/>
      <c r="R1" s="221"/>
      <c r="S1" s="221"/>
      <c r="T1" s="222"/>
      <c r="V1" s="71"/>
    </row>
    <row r="2" spans="1:2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7"/>
    </row>
    <row r="3" spans="1:22" ht="13.5" customHeight="1">
      <c r="A3" s="202" t="s">
        <v>64</v>
      </c>
      <c r="B3" s="203"/>
      <c r="C3" s="213" t="s">
        <v>158</v>
      </c>
      <c r="D3" s="213"/>
      <c r="E3" s="213"/>
      <c r="F3" s="214"/>
      <c r="G3" s="214"/>
      <c r="H3" s="214"/>
      <c r="I3" s="214"/>
      <c r="J3" s="214"/>
      <c r="K3" s="214"/>
      <c r="L3" s="213"/>
      <c r="M3" s="213"/>
      <c r="N3" s="213"/>
      <c r="O3" s="213"/>
      <c r="P3" s="213"/>
      <c r="Q3" s="213"/>
      <c r="R3" s="213"/>
      <c r="S3" s="213"/>
      <c r="T3" s="213"/>
    </row>
    <row r="4" spans="1:2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9"/>
      <c r="V4" s="71"/>
    </row>
    <row r="5" spans="1:22" ht="13.5" customHeight="1" thickBot="1">
      <c r="A5" s="201">
        <f>COUNTIF(F28:HQ28,"P")</f>
        <v>10</v>
      </c>
      <c r="B5" s="200"/>
      <c r="C5" s="197">
        <f>COUNTIF(F28:HQ28,"F")</f>
        <v>0</v>
      </c>
      <c r="D5" s="198"/>
      <c r="E5" s="200"/>
      <c r="F5" s="197">
        <f>SUM(O5,- A5,- C5)</f>
        <v>0</v>
      </c>
      <c r="G5" s="198"/>
      <c r="H5" s="198"/>
      <c r="I5" s="198"/>
      <c r="J5" s="198"/>
      <c r="K5" s="199"/>
      <c r="L5" s="128">
        <f>COUNTIF(E27:HQ27,"N")</f>
        <v>3</v>
      </c>
      <c r="M5" s="128">
        <f>COUNTIF(E27:HQ27,"A")</f>
        <v>6</v>
      </c>
      <c r="N5" s="128">
        <f>COUNTIF(E27:HQ27,"B")</f>
        <v>1</v>
      </c>
      <c r="O5" s="216">
        <f>COUNTA(E7:HT7)</f>
        <v>10</v>
      </c>
      <c r="P5" s="198"/>
      <c r="Q5" s="198"/>
      <c r="R5" s="198"/>
      <c r="S5" s="198"/>
      <c r="T5" s="217"/>
      <c r="U5" s="72"/>
    </row>
    <row r="6" spans="1:22" ht="10.5" thickBot="1"/>
    <row r="7" spans="1:22" ht="46.5" customHeight="1" thickTop="1" thickBot="1">
      <c r="A7" s="159"/>
      <c r="B7" s="160"/>
      <c r="C7" s="161"/>
      <c r="D7" s="162"/>
      <c r="E7" s="161"/>
      <c r="F7" s="163" t="s">
        <v>32</v>
      </c>
      <c r="G7" s="163" t="s">
        <v>33</v>
      </c>
      <c r="H7" s="163" t="s">
        <v>34</v>
      </c>
      <c r="I7" s="163" t="s">
        <v>35</v>
      </c>
      <c r="J7" s="163" t="s">
        <v>36</v>
      </c>
      <c r="K7" s="163" t="s">
        <v>37</v>
      </c>
      <c r="L7" s="163" t="s">
        <v>38</v>
      </c>
      <c r="M7" s="163" t="s">
        <v>39</v>
      </c>
      <c r="N7" s="163" t="s">
        <v>40</v>
      </c>
      <c r="O7" s="163" t="s">
        <v>41</v>
      </c>
      <c r="P7" s="163"/>
      <c r="Q7" s="163"/>
      <c r="R7" s="163"/>
      <c r="S7" s="163"/>
      <c r="T7" s="164"/>
      <c r="U7" s="74"/>
      <c r="V7" s="71"/>
    </row>
    <row r="8" spans="1:22" ht="13.5" customHeight="1">
      <c r="A8" s="154" t="s">
        <v>66</v>
      </c>
      <c r="B8" s="155" t="s">
        <v>159</v>
      </c>
      <c r="C8" s="156"/>
      <c r="D8" s="157"/>
      <c r="E8" s="78"/>
      <c r="F8" s="123"/>
      <c r="G8" s="123"/>
      <c r="H8" s="123"/>
      <c r="I8" s="123"/>
      <c r="J8" s="123"/>
      <c r="K8" s="123"/>
      <c r="L8" s="123"/>
      <c r="M8" s="123"/>
      <c r="N8" s="123"/>
      <c r="O8" s="123"/>
      <c r="P8" s="123"/>
      <c r="Q8" s="123"/>
      <c r="R8" s="123"/>
      <c r="S8" s="123"/>
      <c r="T8" s="144"/>
    </row>
    <row r="9" spans="1:22" ht="13.5" customHeight="1">
      <c r="A9" s="142"/>
      <c r="B9" s="75"/>
      <c r="C9" s="76"/>
      <c r="D9" s="77" t="s">
        <v>47</v>
      </c>
      <c r="E9" s="78"/>
      <c r="F9" s="120" t="s">
        <v>86</v>
      </c>
      <c r="G9" s="120"/>
      <c r="H9" s="120"/>
      <c r="I9" s="120"/>
      <c r="J9" s="120"/>
      <c r="K9" s="120"/>
      <c r="L9" s="120"/>
      <c r="M9" s="120"/>
      <c r="N9" s="120"/>
      <c r="O9" s="120"/>
      <c r="P9" s="120"/>
      <c r="Q9" s="120"/>
      <c r="R9" s="120"/>
      <c r="S9" s="120"/>
      <c r="T9" s="141"/>
      <c r="V9" s="71"/>
    </row>
    <row r="10" spans="1:22" ht="13.5" customHeight="1">
      <c r="A10" s="142"/>
      <c r="B10" s="75"/>
      <c r="C10" s="76"/>
      <c r="D10" s="77" t="s">
        <v>148</v>
      </c>
      <c r="E10" s="78"/>
      <c r="F10" s="120"/>
      <c r="G10" s="120" t="s">
        <v>86</v>
      </c>
      <c r="H10" s="120"/>
      <c r="I10" s="120"/>
      <c r="J10" s="120"/>
      <c r="K10" s="120"/>
      <c r="L10" s="120"/>
      <c r="M10" s="120"/>
      <c r="N10" s="120"/>
      <c r="O10" s="120"/>
      <c r="P10" s="120"/>
      <c r="Q10" s="120"/>
      <c r="R10" s="120"/>
      <c r="S10" s="120"/>
      <c r="T10" s="141"/>
    </row>
    <row r="11" spans="1:22" ht="13.5" customHeight="1">
      <c r="A11" s="142"/>
      <c r="B11" s="75"/>
      <c r="C11" s="76"/>
      <c r="D11" s="77" t="s">
        <v>160</v>
      </c>
      <c r="E11" s="79"/>
      <c r="F11" s="120"/>
      <c r="G11" s="120"/>
      <c r="H11" s="120" t="s">
        <v>86</v>
      </c>
      <c r="I11" s="120"/>
      <c r="J11" s="120"/>
      <c r="K11" s="120"/>
      <c r="L11" s="120"/>
      <c r="M11" s="120"/>
      <c r="N11" s="120"/>
      <c r="O11" s="120"/>
      <c r="P11" s="120"/>
      <c r="Q11" s="120"/>
      <c r="R11" s="120"/>
      <c r="S11" s="120"/>
      <c r="T11" s="141"/>
    </row>
    <row r="12" spans="1:22" ht="13.5" customHeight="1">
      <c r="A12" s="142"/>
      <c r="B12" s="75"/>
      <c r="C12" s="76"/>
      <c r="D12" s="77" t="s">
        <v>161</v>
      </c>
      <c r="E12" s="80"/>
      <c r="F12" s="120"/>
      <c r="G12" s="120"/>
      <c r="H12" s="120"/>
      <c r="I12" s="120" t="s">
        <v>86</v>
      </c>
      <c r="J12" s="120"/>
      <c r="K12" s="120"/>
      <c r="L12" s="120"/>
      <c r="M12" s="120"/>
      <c r="N12" s="120"/>
      <c r="O12" s="120"/>
      <c r="P12" s="120"/>
      <c r="Q12" s="120"/>
      <c r="R12" s="120"/>
      <c r="S12" s="120"/>
      <c r="T12" s="141"/>
    </row>
    <row r="13" spans="1:22" ht="13.5" customHeight="1">
      <c r="A13" s="142"/>
      <c r="B13" s="75"/>
      <c r="C13" s="76"/>
      <c r="D13" s="77" t="s">
        <v>162</v>
      </c>
      <c r="E13" s="80"/>
      <c r="F13" s="120"/>
      <c r="G13" s="120"/>
      <c r="H13" s="120"/>
      <c r="I13" s="120"/>
      <c r="J13" s="120" t="s">
        <v>86</v>
      </c>
      <c r="K13" s="120"/>
      <c r="L13" s="120"/>
      <c r="M13" s="120"/>
      <c r="N13" s="120"/>
      <c r="O13" s="120"/>
      <c r="P13" s="120"/>
      <c r="Q13" s="120"/>
      <c r="R13" s="120"/>
      <c r="S13" s="120"/>
      <c r="T13" s="141"/>
    </row>
    <row r="14" spans="1:22" ht="13.5" customHeight="1">
      <c r="A14" s="142"/>
      <c r="B14" s="75"/>
      <c r="C14" s="76"/>
      <c r="D14" s="77" t="s">
        <v>163</v>
      </c>
      <c r="E14" s="80"/>
      <c r="F14" s="120"/>
      <c r="G14" s="120"/>
      <c r="H14" s="120"/>
      <c r="I14" s="120"/>
      <c r="J14" s="120"/>
      <c r="K14" s="120" t="s">
        <v>86</v>
      </c>
      <c r="L14" s="120"/>
      <c r="M14" s="120"/>
      <c r="N14" s="120"/>
      <c r="O14" s="120"/>
      <c r="P14" s="120"/>
      <c r="Q14" s="120"/>
      <c r="R14" s="120"/>
      <c r="S14" s="120"/>
      <c r="T14" s="141"/>
    </row>
    <row r="15" spans="1:22" ht="13.5" customHeight="1">
      <c r="A15" s="142"/>
      <c r="B15" s="75"/>
      <c r="C15" s="76"/>
      <c r="D15" s="77" t="s">
        <v>164</v>
      </c>
      <c r="E15" s="80"/>
      <c r="F15" s="120"/>
      <c r="G15" s="120"/>
      <c r="H15" s="120"/>
      <c r="I15" s="120"/>
      <c r="J15" s="120"/>
      <c r="K15" s="120"/>
      <c r="L15" s="120" t="s">
        <v>86</v>
      </c>
      <c r="M15" s="120"/>
      <c r="N15" s="120"/>
      <c r="O15" s="120"/>
      <c r="P15" s="120"/>
      <c r="Q15" s="120"/>
      <c r="R15" s="120"/>
      <c r="S15" s="120"/>
      <c r="T15" s="141"/>
      <c r="U15" s="121"/>
    </row>
    <row r="16" spans="1:22" ht="13.5" customHeight="1">
      <c r="A16" s="142"/>
      <c r="B16" s="75"/>
      <c r="C16" s="76"/>
      <c r="D16" s="77" t="s">
        <v>165</v>
      </c>
      <c r="E16" s="80"/>
      <c r="F16" s="120"/>
      <c r="G16" s="120"/>
      <c r="H16" s="120"/>
      <c r="I16" s="120"/>
      <c r="J16" s="120"/>
      <c r="K16" s="120"/>
      <c r="L16" s="120"/>
      <c r="M16" s="120" t="s">
        <v>86</v>
      </c>
      <c r="N16" s="120"/>
      <c r="O16" s="120"/>
      <c r="P16" s="120"/>
      <c r="Q16" s="120"/>
      <c r="R16" s="120"/>
      <c r="S16" s="120"/>
      <c r="T16" s="141"/>
      <c r="U16" s="121"/>
    </row>
    <row r="17" spans="1:20" ht="13.5" customHeight="1">
      <c r="A17" s="142"/>
      <c r="B17" s="75"/>
      <c r="C17" s="76"/>
      <c r="D17" s="210" t="s">
        <v>166</v>
      </c>
      <c r="E17" s="210"/>
      <c r="F17" s="120"/>
      <c r="G17" s="120"/>
      <c r="H17" s="120"/>
      <c r="I17" s="120"/>
      <c r="J17" s="120"/>
      <c r="K17" s="120"/>
      <c r="L17" s="120"/>
      <c r="M17" s="120"/>
      <c r="N17" s="120" t="s">
        <v>86</v>
      </c>
      <c r="O17" s="120"/>
      <c r="P17" s="120"/>
      <c r="Q17" s="120"/>
      <c r="R17" s="120"/>
      <c r="S17" s="120"/>
      <c r="T17" s="141"/>
    </row>
    <row r="18" spans="1:20" ht="13.5" customHeight="1" thickBot="1">
      <c r="A18" s="142"/>
      <c r="B18" s="81"/>
      <c r="C18" s="82"/>
      <c r="D18" s="83" t="s">
        <v>167</v>
      </c>
      <c r="E18" s="84"/>
      <c r="F18" s="122"/>
      <c r="G18" s="122"/>
      <c r="H18" s="122"/>
      <c r="I18" s="122"/>
      <c r="J18" s="122"/>
      <c r="K18" s="122"/>
      <c r="L18" s="122"/>
      <c r="M18" s="122"/>
      <c r="N18" s="122"/>
      <c r="O18" s="122" t="s">
        <v>86</v>
      </c>
      <c r="P18" s="122"/>
      <c r="Q18" s="122"/>
      <c r="R18" s="122"/>
      <c r="S18" s="122"/>
      <c r="T18" s="143"/>
    </row>
    <row r="19" spans="1:20" ht="13.5" customHeight="1" thickTop="1">
      <c r="A19" s="153" t="s">
        <v>67</v>
      </c>
      <c r="B19" s="85" t="s">
        <v>168</v>
      </c>
      <c r="C19" s="86"/>
      <c r="D19" s="87"/>
      <c r="E19" s="88"/>
      <c r="F19" s="123"/>
      <c r="G19" s="123"/>
      <c r="H19" s="123"/>
      <c r="I19" s="123"/>
      <c r="J19" s="123"/>
      <c r="K19" s="123"/>
      <c r="L19" s="123"/>
      <c r="M19" s="123"/>
      <c r="N19" s="123"/>
      <c r="O19" s="123"/>
      <c r="P19" s="123"/>
      <c r="Q19" s="123"/>
      <c r="R19" s="123"/>
      <c r="S19" s="123"/>
      <c r="T19" s="144"/>
    </row>
    <row r="20" spans="1:20" ht="13.5" customHeight="1">
      <c r="A20" s="152"/>
      <c r="B20" s="89"/>
      <c r="C20" s="90"/>
      <c r="D20" s="91" t="b">
        <v>1</v>
      </c>
      <c r="E20" s="92"/>
      <c r="F20" s="120" t="s">
        <v>86</v>
      </c>
      <c r="G20" s="120" t="s">
        <v>86</v>
      </c>
      <c r="H20" s="120" t="s">
        <v>86</v>
      </c>
      <c r="I20" s="120" t="s">
        <v>86</v>
      </c>
      <c r="J20" s="120"/>
      <c r="K20" s="120"/>
      <c r="L20" s="120"/>
      <c r="M20" s="120"/>
      <c r="N20" s="120"/>
      <c r="O20" s="120"/>
      <c r="P20" s="120"/>
      <c r="Q20" s="120"/>
      <c r="R20" s="120"/>
      <c r="S20" s="120"/>
      <c r="T20" s="141"/>
    </row>
    <row r="21" spans="1:20" ht="13.5" customHeight="1">
      <c r="A21" s="152"/>
      <c r="B21" s="89"/>
      <c r="C21" s="124"/>
      <c r="D21" s="91" t="b">
        <v>0</v>
      </c>
      <c r="E21" s="93"/>
      <c r="F21" s="120"/>
      <c r="G21" s="120"/>
      <c r="H21" s="120"/>
      <c r="I21" s="120"/>
      <c r="J21" s="120" t="s">
        <v>86</v>
      </c>
      <c r="K21" s="120" t="s">
        <v>86</v>
      </c>
      <c r="L21" s="120" t="s">
        <v>86</v>
      </c>
      <c r="M21" s="120" t="s">
        <v>86</v>
      </c>
      <c r="N21" s="120" t="s">
        <v>86</v>
      </c>
      <c r="O21" s="120" t="s">
        <v>86</v>
      </c>
      <c r="P21" s="120"/>
      <c r="Q21" s="120"/>
      <c r="R21" s="120"/>
      <c r="S21" s="120"/>
      <c r="T21" s="141"/>
    </row>
    <row r="22" spans="1:20" ht="13.5" customHeight="1">
      <c r="A22" s="152"/>
      <c r="B22" s="89" t="s">
        <v>169</v>
      </c>
      <c r="C22" s="124"/>
      <c r="D22" s="91"/>
      <c r="E22" s="93"/>
      <c r="F22" s="120"/>
      <c r="G22" s="120"/>
      <c r="H22" s="120"/>
      <c r="I22" s="120"/>
      <c r="J22" s="120"/>
      <c r="K22" s="120"/>
      <c r="L22" s="120"/>
      <c r="M22" s="120"/>
      <c r="N22" s="120"/>
      <c r="O22" s="120"/>
      <c r="P22" s="120"/>
      <c r="Q22" s="120"/>
      <c r="R22" s="120"/>
      <c r="S22" s="120"/>
      <c r="T22" s="141"/>
    </row>
    <row r="23" spans="1:20" ht="13.5" customHeight="1">
      <c r="A23" s="152"/>
      <c r="B23" s="89"/>
      <c r="C23" s="124"/>
      <c r="D23" s="91" t="s">
        <v>170</v>
      </c>
      <c r="E23" s="93"/>
      <c r="F23" s="120" t="s">
        <v>86</v>
      </c>
      <c r="G23" s="120" t="s">
        <v>86</v>
      </c>
      <c r="H23" s="120" t="s">
        <v>86</v>
      </c>
      <c r="I23" s="120" t="s">
        <v>86</v>
      </c>
      <c r="J23" s="120"/>
      <c r="K23" s="120"/>
      <c r="L23" s="120"/>
      <c r="M23" s="120"/>
      <c r="N23" s="120"/>
      <c r="O23" s="120"/>
      <c r="P23" s="120"/>
      <c r="Q23" s="120"/>
      <c r="R23" s="120"/>
      <c r="S23" s="120"/>
      <c r="T23" s="141"/>
    </row>
    <row r="24" spans="1:20" ht="13.5" customHeight="1">
      <c r="A24" s="152"/>
      <c r="B24" s="89"/>
      <c r="C24" s="124"/>
      <c r="D24" s="91" t="s">
        <v>171</v>
      </c>
      <c r="E24" s="93"/>
      <c r="F24" s="120"/>
      <c r="G24" s="120"/>
      <c r="H24" s="120"/>
      <c r="I24" s="120"/>
      <c r="J24" s="120" t="s">
        <v>86</v>
      </c>
      <c r="K24" s="120" t="s">
        <v>86</v>
      </c>
      <c r="L24" s="120"/>
      <c r="M24" s="120"/>
      <c r="N24" s="120"/>
      <c r="O24" s="120"/>
      <c r="P24" s="120"/>
      <c r="Q24" s="120"/>
      <c r="R24" s="120"/>
      <c r="S24" s="120"/>
      <c r="T24" s="141"/>
    </row>
    <row r="25" spans="1:20" ht="13.5" customHeight="1">
      <c r="A25" s="152"/>
      <c r="B25" s="89"/>
      <c r="C25" s="124"/>
      <c r="D25" s="91" t="s">
        <v>172</v>
      </c>
      <c r="E25" s="93"/>
      <c r="F25" s="120"/>
      <c r="G25" s="120"/>
      <c r="H25" s="120"/>
      <c r="I25" s="120"/>
      <c r="J25" s="120"/>
      <c r="K25" s="120"/>
      <c r="L25" s="120" t="s">
        <v>86</v>
      </c>
      <c r="M25" s="120" t="s">
        <v>86</v>
      </c>
      <c r="N25" s="120"/>
      <c r="O25" s="120"/>
      <c r="P25" s="120"/>
      <c r="Q25" s="120"/>
      <c r="R25" s="120"/>
      <c r="S25" s="120"/>
      <c r="T25" s="141"/>
    </row>
    <row r="26" spans="1:20" ht="13.5" customHeight="1" thickBot="1">
      <c r="A26" s="152"/>
      <c r="B26" s="133"/>
      <c r="C26" s="134"/>
      <c r="D26" s="135" t="s">
        <v>173</v>
      </c>
      <c r="E26" s="136"/>
      <c r="F26" s="137"/>
      <c r="G26" s="137"/>
      <c r="H26" s="137"/>
      <c r="I26" s="137"/>
      <c r="J26" s="137"/>
      <c r="K26" s="137"/>
      <c r="L26" s="137"/>
      <c r="M26" s="137"/>
      <c r="N26" s="137" t="s">
        <v>86</v>
      </c>
      <c r="O26" s="137" t="s">
        <v>86</v>
      </c>
      <c r="P26" s="137"/>
      <c r="Q26" s="137"/>
      <c r="R26" s="137"/>
      <c r="S26" s="137"/>
      <c r="T26" s="145"/>
    </row>
    <row r="27" spans="1:20" ht="13.5" customHeight="1" thickTop="1">
      <c r="A27" s="153" t="s">
        <v>48</v>
      </c>
      <c r="B27" s="206" t="s">
        <v>49</v>
      </c>
      <c r="C27" s="206"/>
      <c r="D27" s="206"/>
      <c r="E27" s="138"/>
      <c r="F27" s="139" t="s">
        <v>50</v>
      </c>
      <c r="G27" s="139" t="s">
        <v>50</v>
      </c>
      <c r="H27" s="139" t="s">
        <v>50</v>
      </c>
      <c r="I27" s="139" t="s">
        <v>51</v>
      </c>
      <c r="J27" s="139" t="s">
        <v>52</v>
      </c>
      <c r="K27" s="139" t="s">
        <v>52</v>
      </c>
      <c r="L27" s="139" t="s">
        <v>52</v>
      </c>
      <c r="M27" s="139" t="s">
        <v>52</v>
      </c>
      <c r="N27" s="139" t="s">
        <v>52</v>
      </c>
      <c r="O27" s="139" t="s">
        <v>52</v>
      </c>
      <c r="P27" s="139"/>
      <c r="Q27" s="139"/>
      <c r="R27" s="139"/>
      <c r="S27" s="139"/>
      <c r="T27" s="146"/>
    </row>
    <row r="28" spans="1:20" ht="13.5" customHeight="1">
      <c r="A28" s="152"/>
      <c r="B28" s="196" t="s">
        <v>53</v>
      </c>
      <c r="C28" s="196"/>
      <c r="D28" s="196"/>
      <c r="E28" s="94"/>
      <c r="F28" s="125" t="s">
        <v>54</v>
      </c>
      <c r="G28" s="125" t="s">
        <v>54</v>
      </c>
      <c r="H28" s="125" t="s">
        <v>54</v>
      </c>
      <c r="I28" s="125" t="s">
        <v>54</v>
      </c>
      <c r="J28" s="125" t="s">
        <v>54</v>
      </c>
      <c r="K28" s="125" t="s">
        <v>54</v>
      </c>
      <c r="L28" s="125" t="s">
        <v>54</v>
      </c>
      <c r="M28" s="125" t="s">
        <v>54</v>
      </c>
      <c r="N28" s="125" t="s">
        <v>54</v>
      </c>
      <c r="O28" s="125" t="s">
        <v>54</v>
      </c>
      <c r="P28" s="125"/>
      <c r="Q28" s="125"/>
      <c r="R28" s="125"/>
      <c r="S28" s="125"/>
      <c r="T28" s="147"/>
    </row>
    <row r="29" spans="1:20" ht="13.5" customHeight="1">
      <c r="A29" s="152"/>
      <c r="B29" s="204" t="s">
        <v>55</v>
      </c>
      <c r="C29" s="204"/>
      <c r="D29" s="204"/>
      <c r="E29" s="95"/>
      <c r="F29" s="96">
        <v>46244.708333333336</v>
      </c>
      <c r="G29" s="96">
        <v>46244.708333333336</v>
      </c>
      <c r="H29" s="96">
        <v>46244.708333333336</v>
      </c>
      <c r="I29" s="96">
        <v>46244.708333333336</v>
      </c>
      <c r="J29" s="96">
        <v>46244.708333333336</v>
      </c>
      <c r="K29" s="96">
        <v>46244.708333333336</v>
      </c>
      <c r="L29" s="96">
        <v>46244.708333333336</v>
      </c>
      <c r="M29" s="96">
        <v>46244.708333333336</v>
      </c>
      <c r="N29" s="96">
        <v>46244.708333333336</v>
      </c>
      <c r="O29" s="96">
        <v>46244.708333333336</v>
      </c>
      <c r="P29" s="96"/>
      <c r="Q29" s="96"/>
      <c r="R29" s="96"/>
      <c r="S29" s="96"/>
      <c r="T29" s="148"/>
    </row>
    <row r="30" spans="1:20" ht="10.5" thickBot="1">
      <c r="A30" s="158"/>
      <c r="B30" s="205" t="s">
        <v>56</v>
      </c>
      <c r="C30" s="205"/>
      <c r="D30" s="205"/>
      <c r="E30" s="149"/>
      <c r="F30" s="150"/>
      <c r="G30" s="150"/>
      <c r="H30" s="150"/>
      <c r="I30" s="150"/>
      <c r="J30" s="150"/>
      <c r="K30" s="150"/>
      <c r="L30" s="150"/>
      <c r="M30" s="150"/>
      <c r="N30" s="150"/>
      <c r="O30" s="150"/>
      <c r="P30" s="150"/>
      <c r="Q30" s="150"/>
      <c r="R30" s="150"/>
      <c r="S30" s="150"/>
      <c r="T30" s="151"/>
    </row>
    <row r="31" spans="1:20" ht="10.5" thickTop="1">
      <c r="A31" s="140"/>
    </row>
  </sheetData>
  <mergeCells count="24">
    <mergeCell ref="B28:D28"/>
    <mergeCell ref="B29:D29"/>
    <mergeCell ref="B30:D30"/>
    <mergeCell ref="A5:B5"/>
    <mergeCell ref="C5:E5"/>
    <mergeCell ref="F5:K5"/>
    <mergeCell ref="O5:T5"/>
    <mergeCell ref="D17:E17"/>
    <mergeCell ref="B27:D27"/>
    <mergeCell ref="A3:B3"/>
    <mergeCell ref="C3:T3"/>
    <mergeCell ref="A4:B4"/>
    <mergeCell ref="C4:E4"/>
    <mergeCell ref="F4:K4"/>
    <mergeCell ref="L4:N4"/>
    <mergeCell ref="O4:T4"/>
    <mergeCell ref="A1:B1"/>
    <mergeCell ref="C1:E1"/>
    <mergeCell ref="F1:K1"/>
    <mergeCell ref="L1:T1"/>
    <mergeCell ref="A2:B2"/>
    <mergeCell ref="C2:E2"/>
    <mergeCell ref="F2:K2"/>
    <mergeCell ref="L2:N2"/>
  </mergeCells>
  <dataValidations count="3">
    <dataValidation type="list" allowBlank="1" showInputMessage="1" showErrorMessage="1" sqref="F28:T28" xr:uid="{7DA298AC-EF77-439A-882E-63E0B0BB32F4}">
      <formula1>"P,F, "</formula1>
    </dataValidation>
    <dataValidation type="list" allowBlank="1" showInputMessage="1" showErrorMessage="1" sqref="F27:T27" xr:uid="{750F600A-02AC-4051-8822-349E40A637BC}">
      <formula1>"N,A,B, "</formula1>
    </dataValidation>
    <dataValidation type="list" allowBlank="1" showInputMessage="1" showErrorMessage="1" sqref="F8:T26" xr:uid="{05761C39-6A59-477D-BE31-7F2835FD9341}">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45EA-E216-4050-BE51-16F72F0E0CE9}">
  <dimension ref="A1:V30"/>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19" width="2.81640625" style="69" customWidth="1"/>
    <col min="20" max="20" width="2.81640625" style="69" bestFit="1" customWidth="1"/>
    <col min="21" max="21" width="2.81640625" style="69" customWidth="1"/>
    <col min="22" max="16384" width="9" style="69"/>
  </cols>
  <sheetData>
    <row r="1" spans="1:22" ht="13.5" customHeight="1">
      <c r="A1" s="189" t="s">
        <v>110</v>
      </c>
      <c r="B1" s="190"/>
      <c r="C1" s="191" t="s">
        <v>174</v>
      </c>
      <c r="D1" s="192"/>
      <c r="E1" s="193"/>
      <c r="F1" s="194" t="s">
        <v>111</v>
      </c>
      <c r="G1" s="195"/>
      <c r="H1" s="195"/>
      <c r="I1" s="195"/>
      <c r="J1" s="195"/>
      <c r="K1" s="195"/>
      <c r="L1" s="220" t="s">
        <v>175</v>
      </c>
      <c r="M1" s="221"/>
      <c r="N1" s="221"/>
      <c r="O1" s="221"/>
      <c r="P1" s="221"/>
      <c r="Q1" s="221"/>
      <c r="R1" s="221"/>
      <c r="S1" s="221"/>
      <c r="T1" s="222"/>
      <c r="V1" s="71"/>
    </row>
    <row r="2" spans="1:2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7"/>
    </row>
    <row r="3" spans="1:22" ht="13.5" customHeight="1">
      <c r="A3" s="202" t="s">
        <v>64</v>
      </c>
      <c r="B3" s="203"/>
      <c r="C3" s="213" t="s">
        <v>176</v>
      </c>
      <c r="D3" s="213"/>
      <c r="E3" s="213"/>
      <c r="F3" s="214"/>
      <c r="G3" s="214"/>
      <c r="H3" s="214"/>
      <c r="I3" s="214"/>
      <c r="J3" s="214"/>
      <c r="K3" s="214"/>
      <c r="L3" s="213"/>
      <c r="M3" s="213"/>
      <c r="N3" s="213"/>
      <c r="O3" s="213"/>
      <c r="P3" s="213"/>
      <c r="Q3" s="213"/>
      <c r="R3" s="213"/>
      <c r="S3" s="213"/>
      <c r="T3" s="213"/>
    </row>
    <row r="4" spans="1:2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9"/>
      <c r="V4" s="71"/>
    </row>
    <row r="5" spans="1:22" ht="13.5" customHeight="1" thickBot="1">
      <c r="A5" s="201">
        <f>COUNTIF(F27:HQ27,"P")</f>
        <v>9</v>
      </c>
      <c r="B5" s="200"/>
      <c r="C5" s="197">
        <f>COUNTIF(F27:HQ27,"F")</f>
        <v>0</v>
      </c>
      <c r="D5" s="198"/>
      <c r="E5" s="200"/>
      <c r="F5" s="197">
        <f>SUM(O5,- A5,- C5)</f>
        <v>0</v>
      </c>
      <c r="G5" s="198"/>
      <c r="H5" s="198"/>
      <c r="I5" s="198"/>
      <c r="J5" s="198"/>
      <c r="K5" s="199"/>
      <c r="L5" s="128">
        <f>COUNTIF(E26:HQ26,"N")</f>
        <v>3</v>
      </c>
      <c r="M5" s="128">
        <f>COUNTIF(E26:HQ26,"A")</f>
        <v>6</v>
      </c>
      <c r="N5" s="128">
        <f>COUNTIF(E26:HQ26,"B")</f>
        <v>0</v>
      </c>
      <c r="O5" s="216">
        <f>COUNTA(E7:HT7)</f>
        <v>9</v>
      </c>
      <c r="P5" s="198"/>
      <c r="Q5" s="198"/>
      <c r="R5" s="198"/>
      <c r="S5" s="198"/>
      <c r="T5" s="217"/>
      <c r="U5" s="72"/>
    </row>
    <row r="6" spans="1:22" ht="10.5" thickBot="1"/>
    <row r="7" spans="1:22" ht="46.5" customHeight="1" thickTop="1" thickBot="1">
      <c r="A7" s="159"/>
      <c r="B7" s="160"/>
      <c r="C7" s="161"/>
      <c r="D7" s="162"/>
      <c r="E7" s="161"/>
      <c r="F7" s="163" t="s">
        <v>32</v>
      </c>
      <c r="G7" s="163" t="s">
        <v>33</v>
      </c>
      <c r="H7" s="163" t="s">
        <v>34</v>
      </c>
      <c r="I7" s="163" t="s">
        <v>35</v>
      </c>
      <c r="J7" s="163" t="s">
        <v>36</v>
      </c>
      <c r="K7" s="163" t="s">
        <v>37</v>
      </c>
      <c r="L7" s="163" t="s">
        <v>38</v>
      </c>
      <c r="M7" s="163" t="s">
        <v>39</v>
      </c>
      <c r="N7" s="163" t="s">
        <v>40</v>
      </c>
      <c r="O7" s="163"/>
      <c r="P7" s="163"/>
      <c r="Q7" s="163"/>
      <c r="R7" s="163"/>
      <c r="S7" s="163"/>
      <c r="T7" s="164"/>
      <c r="U7" s="74"/>
      <c r="V7" s="71"/>
    </row>
    <row r="8" spans="1:22" ht="13.5" customHeight="1">
      <c r="A8" s="154" t="s">
        <v>66</v>
      </c>
      <c r="B8" s="155" t="s">
        <v>177</v>
      </c>
      <c r="C8" s="156"/>
      <c r="D8" s="157"/>
      <c r="E8" s="78"/>
      <c r="F8" s="123"/>
      <c r="G8" s="123"/>
      <c r="H8" s="123"/>
      <c r="I8" s="123"/>
      <c r="J8" s="123"/>
      <c r="K8" s="123"/>
      <c r="L8" s="123"/>
      <c r="M8" s="123"/>
      <c r="N8" s="123"/>
      <c r="O8" s="123"/>
      <c r="P8" s="123"/>
      <c r="Q8" s="123"/>
      <c r="R8" s="123"/>
      <c r="S8" s="123"/>
      <c r="T8" s="144"/>
    </row>
    <row r="9" spans="1:22" ht="13.5" customHeight="1">
      <c r="A9" s="142"/>
      <c r="B9" s="75"/>
      <c r="C9" s="76"/>
      <c r="D9" s="77" t="s">
        <v>147</v>
      </c>
      <c r="E9" s="78"/>
      <c r="F9" s="120" t="s">
        <v>86</v>
      </c>
      <c r="G9" s="120"/>
      <c r="H9" s="120"/>
      <c r="I9" s="120"/>
      <c r="J9" s="120"/>
      <c r="K9" s="120"/>
      <c r="L9" s="120"/>
      <c r="M9" s="120"/>
      <c r="N9" s="120"/>
      <c r="O9" s="120"/>
      <c r="P9" s="120"/>
      <c r="Q9" s="120"/>
      <c r="R9" s="120"/>
      <c r="S9" s="120"/>
      <c r="T9" s="141"/>
      <c r="V9" s="71"/>
    </row>
    <row r="10" spans="1:22" ht="13.5" customHeight="1">
      <c r="A10" s="142"/>
      <c r="B10" s="75"/>
      <c r="C10" s="76"/>
      <c r="D10" s="77" t="s">
        <v>178</v>
      </c>
      <c r="E10" s="78"/>
      <c r="F10" s="120"/>
      <c r="G10" s="120" t="s">
        <v>86</v>
      </c>
      <c r="H10" s="120" t="s">
        <v>86</v>
      </c>
      <c r="I10" s="120"/>
      <c r="J10" s="120"/>
      <c r="K10" s="120"/>
      <c r="L10" s="120" t="s">
        <v>86</v>
      </c>
      <c r="M10" s="120" t="s">
        <v>86</v>
      </c>
      <c r="N10" s="120" t="s">
        <v>86</v>
      </c>
      <c r="O10" s="120"/>
      <c r="P10" s="120"/>
      <c r="Q10" s="120"/>
      <c r="R10" s="120"/>
      <c r="S10" s="120"/>
      <c r="T10" s="141"/>
    </row>
    <row r="11" spans="1:22" ht="13.5" customHeight="1">
      <c r="A11" s="142"/>
      <c r="B11" s="75"/>
      <c r="C11" s="76"/>
      <c r="D11" s="77" t="s">
        <v>179</v>
      </c>
      <c r="E11" s="79"/>
      <c r="F11" s="120"/>
      <c r="G11" s="120"/>
      <c r="H11" s="120"/>
      <c r="I11" s="120" t="s">
        <v>86</v>
      </c>
      <c r="J11" s="120"/>
      <c r="K11" s="120"/>
      <c r="L11" s="120"/>
      <c r="M11" s="120"/>
      <c r="N11" s="120"/>
      <c r="O11" s="120"/>
      <c r="P11" s="120"/>
      <c r="Q11" s="120"/>
      <c r="R11" s="120"/>
      <c r="S11" s="120"/>
      <c r="T11" s="141"/>
    </row>
    <row r="12" spans="1:22" ht="13.5" customHeight="1">
      <c r="A12" s="142"/>
      <c r="B12" s="75"/>
      <c r="C12" s="76"/>
      <c r="D12" s="77" t="s">
        <v>180</v>
      </c>
      <c r="E12" s="80"/>
      <c r="F12" s="120"/>
      <c r="G12" s="120"/>
      <c r="H12" s="120"/>
      <c r="I12" s="120"/>
      <c r="J12" s="120" t="s">
        <v>86</v>
      </c>
      <c r="K12" s="120"/>
      <c r="L12" s="120"/>
      <c r="M12" s="120"/>
      <c r="N12" s="120"/>
      <c r="O12" s="120"/>
      <c r="P12" s="120"/>
      <c r="Q12" s="120"/>
      <c r="R12" s="120"/>
      <c r="S12" s="120"/>
      <c r="T12" s="141"/>
    </row>
    <row r="13" spans="1:22" ht="13.5" customHeight="1">
      <c r="A13" s="142"/>
      <c r="B13" s="75"/>
      <c r="C13" s="76"/>
      <c r="D13" s="77" t="s">
        <v>181</v>
      </c>
      <c r="E13" s="80"/>
      <c r="F13" s="120"/>
      <c r="G13" s="120"/>
      <c r="H13" s="120"/>
      <c r="I13" s="120"/>
      <c r="J13" s="120"/>
      <c r="K13" s="120" t="s">
        <v>86</v>
      </c>
      <c r="L13" s="120"/>
      <c r="M13" s="120"/>
      <c r="N13" s="120"/>
      <c r="O13" s="120"/>
      <c r="P13" s="120"/>
      <c r="Q13" s="120"/>
      <c r="R13" s="120"/>
      <c r="S13" s="120"/>
      <c r="T13" s="141"/>
    </row>
    <row r="14" spans="1:22" ht="13.5" customHeight="1">
      <c r="A14" s="142"/>
      <c r="B14" s="75" t="s">
        <v>182</v>
      </c>
      <c r="C14" s="76"/>
      <c r="D14" s="77"/>
      <c r="E14" s="80"/>
      <c r="F14" s="120"/>
      <c r="G14" s="120"/>
      <c r="H14" s="120"/>
      <c r="I14" s="120"/>
      <c r="J14" s="120"/>
      <c r="K14" s="120"/>
      <c r="L14" s="120"/>
      <c r="M14" s="120"/>
      <c r="N14" s="120"/>
      <c r="O14" s="120"/>
      <c r="P14" s="120"/>
      <c r="Q14" s="120"/>
      <c r="R14" s="120"/>
      <c r="S14" s="120"/>
      <c r="T14" s="141"/>
    </row>
    <row r="15" spans="1:22" ht="13.5" customHeight="1">
      <c r="A15" s="142"/>
      <c r="B15" s="75"/>
      <c r="C15" s="76"/>
      <c r="D15" s="77" t="s">
        <v>134</v>
      </c>
      <c r="E15" s="80"/>
      <c r="F15" s="120"/>
      <c r="G15" s="120" t="s">
        <v>86</v>
      </c>
      <c r="H15" s="120"/>
      <c r="I15" s="120"/>
      <c r="J15" s="120"/>
      <c r="K15" s="120"/>
      <c r="L15" s="120"/>
      <c r="M15" s="120"/>
      <c r="N15" s="120"/>
      <c r="O15" s="120"/>
      <c r="P15" s="120"/>
      <c r="Q15" s="120"/>
      <c r="R15" s="120"/>
      <c r="S15" s="120"/>
      <c r="T15" s="141"/>
      <c r="U15" s="121"/>
    </row>
    <row r="16" spans="1:22" ht="13.5" customHeight="1">
      <c r="A16" s="142"/>
      <c r="B16" s="75"/>
      <c r="C16" s="76"/>
      <c r="D16" s="77" t="s">
        <v>183</v>
      </c>
      <c r="E16" s="80"/>
      <c r="F16" s="120" t="s">
        <v>86</v>
      </c>
      <c r="G16" s="120"/>
      <c r="H16" s="120" t="s">
        <v>86</v>
      </c>
      <c r="I16" s="120" t="s">
        <v>86</v>
      </c>
      <c r="J16" s="120" t="s">
        <v>86</v>
      </c>
      <c r="K16" s="120" t="s">
        <v>86</v>
      </c>
      <c r="L16" s="120"/>
      <c r="M16" s="120"/>
      <c r="N16" s="120"/>
      <c r="O16" s="120"/>
      <c r="P16" s="120"/>
      <c r="Q16" s="120"/>
      <c r="R16" s="120"/>
      <c r="S16" s="120"/>
      <c r="T16" s="141"/>
      <c r="U16" s="121"/>
    </row>
    <row r="17" spans="1:20" ht="13.5" customHeight="1">
      <c r="A17" s="142"/>
      <c r="B17" s="75"/>
      <c r="C17" s="76"/>
      <c r="D17" s="210" t="s">
        <v>184</v>
      </c>
      <c r="E17" s="210"/>
      <c r="F17" s="120"/>
      <c r="G17" s="120"/>
      <c r="H17" s="120"/>
      <c r="I17" s="120"/>
      <c r="J17" s="120"/>
      <c r="K17" s="120"/>
      <c r="L17" s="120" t="s">
        <v>86</v>
      </c>
      <c r="M17" s="120" t="s">
        <v>86</v>
      </c>
      <c r="N17" s="120"/>
      <c r="O17" s="120"/>
      <c r="P17" s="120"/>
      <c r="Q17" s="120"/>
      <c r="R17" s="120"/>
      <c r="S17" s="120"/>
      <c r="T17" s="141"/>
    </row>
    <row r="18" spans="1:20" ht="13.5" customHeight="1">
      <c r="A18" s="142"/>
      <c r="B18" s="75"/>
      <c r="C18" s="76"/>
      <c r="D18" s="77" t="s">
        <v>185</v>
      </c>
      <c r="E18" s="80"/>
      <c r="F18" s="120"/>
      <c r="G18" s="120"/>
      <c r="H18" s="120"/>
      <c r="I18" s="120"/>
      <c r="J18" s="120"/>
      <c r="K18" s="120"/>
      <c r="L18" s="120"/>
      <c r="M18" s="120"/>
      <c r="N18" s="120" t="s">
        <v>86</v>
      </c>
      <c r="O18" s="120"/>
      <c r="P18" s="120"/>
      <c r="Q18" s="120"/>
      <c r="R18" s="120"/>
      <c r="S18" s="120"/>
      <c r="T18" s="141"/>
    </row>
    <row r="19" spans="1:20" ht="13.5" customHeight="1">
      <c r="A19" s="142"/>
      <c r="B19" s="75" t="s">
        <v>186</v>
      </c>
      <c r="C19" s="76"/>
      <c r="D19" s="77"/>
      <c r="E19" s="80"/>
      <c r="F19" s="120"/>
      <c r="G19" s="120"/>
      <c r="H19" s="120"/>
      <c r="I19" s="120"/>
      <c r="J19" s="120"/>
      <c r="K19" s="120"/>
      <c r="L19" s="120"/>
      <c r="M19" s="120"/>
      <c r="N19" s="120"/>
      <c r="O19" s="120"/>
      <c r="P19" s="120"/>
      <c r="Q19" s="120"/>
      <c r="R19" s="120"/>
      <c r="S19" s="120"/>
      <c r="T19" s="141"/>
    </row>
    <row r="20" spans="1:20" ht="13.5" customHeight="1">
      <c r="A20" s="142"/>
      <c r="B20" s="75"/>
      <c r="C20" s="76"/>
      <c r="D20" s="77" t="s">
        <v>47</v>
      </c>
      <c r="E20" s="80"/>
      <c r="F20" s="120" t="s">
        <v>86</v>
      </c>
      <c r="G20" s="120" t="s">
        <v>86</v>
      </c>
      <c r="H20" s="120" t="s">
        <v>86</v>
      </c>
      <c r="I20" s="120" t="s">
        <v>86</v>
      </c>
      <c r="J20" s="120" t="s">
        <v>86</v>
      </c>
      <c r="K20" s="120" t="s">
        <v>86</v>
      </c>
      <c r="L20" s="120"/>
      <c r="M20" s="120"/>
      <c r="N20" s="120"/>
      <c r="O20" s="120"/>
      <c r="P20" s="120"/>
      <c r="Q20" s="120"/>
      <c r="R20" s="120"/>
      <c r="S20" s="120"/>
      <c r="T20" s="141"/>
    </row>
    <row r="21" spans="1:20" ht="13.5" customHeight="1">
      <c r="A21" s="142"/>
      <c r="B21" s="75"/>
      <c r="C21" s="76"/>
      <c r="D21" s="77" t="s">
        <v>187</v>
      </c>
      <c r="E21" s="80"/>
      <c r="F21" s="120"/>
      <c r="G21" s="120"/>
      <c r="H21" s="120"/>
      <c r="I21" s="120"/>
      <c r="J21" s="120"/>
      <c r="K21" s="120"/>
      <c r="L21" s="120" t="s">
        <v>86</v>
      </c>
      <c r="M21" s="120"/>
      <c r="N21" s="120"/>
      <c r="O21" s="120"/>
      <c r="P21" s="120"/>
      <c r="Q21" s="120"/>
      <c r="R21" s="120"/>
      <c r="S21" s="120"/>
      <c r="T21" s="141"/>
    </row>
    <row r="22" spans="1:20" ht="13.5" customHeight="1" thickBot="1">
      <c r="A22" s="142"/>
      <c r="B22" s="81"/>
      <c r="C22" s="82"/>
      <c r="D22" s="83" t="s">
        <v>188</v>
      </c>
      <c r="E22" s="84"/>
      <c r="F22" s="122"/>
      <c r="G22" s="122"/>
      <c r="H22" s="122"/>
      <c r="I22" s="122"/>
      <c r="J22" s="122"/>
      <c r="K22" s="122"/>
      <c r="L22" s="122"/>
      <c r="M22" s="122" t="s">
        <v>86</v>
      </c>
      <c r="N22" s="122" t="s">
        <v>86</v>
      </c>
      <c r="O22" s="122"/>
      <c r="P22" s="122"/>
      <c r="Q22" s="122"/>
      <c r="R22" s="122"/>
      <c r="S22" s="122"/>
      <c r="T22" s="143"/>
    </row>
    <row r="23" spans="1:20" ht="13.5" customHeight="1" thickTop="1">
      <c r="A23" s="153" t="s">
        <v>67</v>
      </c>
      <c r="B23" s="85" t="s">
        <v>68</v>
      </c>
      <c r="C23" s="86"/>
      <c r="D23" s="87"/>
      <c r="E23" s="88"/>
      <c r="F23" s="123"/>
      <c r="G23" s="123"/>
      <c r="H23" s="123"/>
      <c r="I23" s="123"/>
      <c r="J23" s="123"/>
      <c r="K23" s="123"/>
      <c r="L23" s="123"/>
      <c r="M23" s="123"/>
      <c r="N23" s="123"/>
      <c r="O23" s="123"/>
      <c r="P23" s="123"/>
      <c r="Q23" s="123"/>
      <c r="R23" s="123"/>
      <c r="S23" s="123"/>
      <c r="T23" s="144"/>
    </row>
    <row r="24" spans="1:20" ht="13.5" customHeight="1">
      <c r="A24" s="152"/>
      <c r="B24" s="89"/>
      <c r="C24" s="90"/>
      <c r="D24" s="91" t="s">
        <v>189</v>
      </c>
      <c r="E24" s="92"/>
      <c r="F24" s="120" t="s">
        <v>86</v>
      </c>
      <c r="G24" s="120" t="s">
        <v>86</v>
      </c>
      <c r="H24" s="120"/>
      <c r="I24" s="120"/>
      <c r="J24" s="120"/>
      <c r="K24" s="120"/>
      <c r="L24" s="120"/>
      <c r="M24" s="120" t="s">
        <v>86</v>
      </c>
      <c r="N24" s="120"/>
      <c r="O24" s="120"/>
      <c r="P24" s="120"/>
      <c r="Q24" s="120"/>
      <c r="R24" s="120"/>
      <c r="S24" s="120"/>
      <c r="T24" s="141"/>
    </row>
    <row r="25" spans="1:20" ht="13.5" customHeight="1" thickBot="1">
      <c r="A25" s="152"/>
      <c r="B25" s="133"/>
      <c r="C25" s="134"/>
      <c r="D25" s="135" t="s">
        <v>190</v>
      </c>
      <c r="E25" s="136"/>
      <c r="F25" s="137"/>
      <c r="G25" s="137"/>
      <c r="H25" s="137" t="s">
        <v>86</v>
      </c>
      <c r="I25" s="137" t="s">
        <v>86</v>
      </c>
      <c r="J25" s="137" t="s">
        <v>86</v>
      </c>
      <c r="K25" s="137" t="s">
        <v>86</v>
      </c>
      <c r="L25" s="137" t="s">
        <v>86</v>
      </c>
      <c r="M25" s="137"/>
      <c r="N25" s="137" t="s">
        <v>86</v>
      </c>
      <c r="O25" s="137"/>
      <c r="P25" s="137"/>
      <c r="Q25" s="137"/>
      <c r="R25" s="137"/>
      <c r="S25" s="137"/>
      <c r="T25" s="145"/>
    </row>
    <row r="26" spans="1:20" ht="13.5" customHeight="1" thickTop="1">
      <c r="A26" s="153" t="s">
        <v>48</v>
      </c>
      <c r="B26" s="206" t="s">
        <v>49</v>
      </c>
      <c r="C26" s="206"/>
      <c r="D26" s="206"/>
      <c r="E26" s="138"/>
      <c r="F26" s="139" t="s">
        <v>50</v>
      </c>
      <c r="G26" s="139" t="s">
        <v>50</v>
      </c>
      <c r="H26" s="139" t="s">
        <v>50</v>
      </c>
      <c r="I26" s="139" t="s">
        <v>52</v>
      </c>
      <c r="J26" s="139" t="s">
        <v>52</v>
      </c>
      <c r="K26" s="139" t="s">
        <v>52</v>
      </c>
      <c r="L26" s="139" t="s">
        <v>52</v>
      </c>
      <c r="M26" s="139" t="s">
        <v>52</v>
      </c>
      <c r="N26" s="139" t="s">
        <v>52</v>
      </c>
      <c r="O26" s="139"/>
      <c r="P26" s="139"/>
      <c r="Q26" s="139"/>
      <c r="R26" s="139"/>
      <c r="S26" s="139"/>
      <c r="T26" s="146"/>
    </row>
    <row r="27" spans="1:20" ht="13.5" customHeight="1">
      <c r="A27" s="152"/>
      <c r="B27" s="196" t="s">
        <v>53</v>
      </c>
      <c r="C27" s="196"/>
      <c r="D27" s="196"/>
      <c r="E27" s="94"/>
      <c r="F27" s="125" t="s">
        <v>54</v>
      </c>
      <c r="G27" s="125" t="s">
        <v>54</v>
      </c>
      <c r="H27" s="125" t="s">
        <v>54</v>
      </c>
      <c r="I27" s="125" t="s">
        <v>54</v>
      </c>
      <c r="J27" s="125" t="s">
        <v>54</v>
      </c>
      <c r="K27" s="125" t="s">
        <v>54</v>
      </c>
      <c r="L27" s="125" t="s">
        <v>54</v>
      </c>
      <c r="M27" s="125" t="s">
        <v>54</v>
      </c>
      <c r="N27" s="125" t="s">
        <v>54</v>
      </c>
      <c r="O27" s="125"/>
      <c r="P27" s="125"/>
      <c r="Q27" s="125"/>
      <c r="R27" s="125"/>
      <c r="S27" s="125"/>
      <c r="T27" s="147"/>
    </row>
    <row r="28" spans="1:20" ht="13.5" customHeight="1">
      <c r="A28" s="152"/>
      <c r="B28" s="204" t="s">
        <v>55</v>
      </c>
      <c r="C28" s="204"/>
      <c r="D28" s="204"/>
      <c r="E28" s="95"/>
      <c r="F28" s="96">
        <v>46244.708333333336</v>
      </c>
      <c r="G28" s="96">
        <v>46244.708333333336</v>
      </c>
      <c r="H28" s="96">
        <v>46244.708333333336</v>
      </c>
      <c r="I28" s="96">
        <v>46244.708333333336</v>
      </c>
      <c r="J28" s="96">
        <v>46244.708333333336</v>
      </c>
      <c r="K28" s="96">
        <v>46244.708333333336</v>
      </c>
      <c r="L28" s="96">
        <v>46244.708333333336</v>
      </c>
      <c r="M28" s="96">
        <v>46244.708333333336</v>
      </c>
      <c r="N28" s="96">
        <v>46244.708333333336</v>
      </c>
      <c r="O28" s="96"/>
      <c r="P28" s="96"/>
      <c r="Q28" s="96"/>
      <c r="R28" s="96"/>
      <c r="S28" s="96"/>
      <c r="T28" s="148"/>
    </row>
    <row r="29" spans="1:20" ht="10.5" thickBot="1">
      <c r="A29" s="158"/>
      <c r="B29" s="205" t="s">
        <v>56</v>
      </c>
      <c r="C29" s="205"/>
      <c r="D29" s="205"/>
      <c r="E29" s="149"/>
      <c r="F29" s="150"/>
      <c r="G29" s="150"/>
      <c r="H29" s="150"/>
      <c r="I29" s="150"/>
      <c r="J29" s="150"/>
      <c r="K29" s="150"/>
      <c r="L29" s="150"/>
      <c r="M29" s="150"/>
      <c r="N29" s="150"/>
      <c r="O29" s="150"/>
      <c r="P29" s="150"/>
      <c r="Q29" s="150"/>
      <c r="R29" s="150"/>
      <c r="S29" s="150"/>
      <c r="T29" s="151"/>
    </row>
    <row r="30" spans="1:20" ht="10.5" thickTop="1">
      <c r="A30" s="140"/>
    </row>
  </sheetData>
  <mergeCells count="24">
    <mergeCell ref="B27:D27"/>
    <mergeCell ref="B28:D28"/>
    <mergeCell ref="B29:D29"/>
    <mergeCell ref="A5:B5"/>
    <mergeCell ref="C5:E5"/>
    <mergeCell ref="F5:K5"/>
    <mergeCell ref="O5:T5"/>
    <mergeCell ref="D17:E17"/>
    <mergeCell ref="B26:D26"/>
    <mergeCell ref="A3:B3"/>
    <mergeCell ref="C3:T3"/>
    <mergeCell ref="A4:B4"/>
    <mergeCell ref="C4:E4"/>
    <mergeCell ref="F4:K4"/>
    <mergeCell ref="L4:N4"/>
    <mergeCell ref="O4:T4"/>
    <mergeCell ref="A1:B1"/>
    <mergeCell ref="C1:E1"/>
    <mergeCell ref="F1:K1"/>
    <mergeCell ref="L1:T1"/>
    <mergeCell ref="A2:B2"/>
    <mergeCell ref="C2:E2"/>
    <mergeCell ref="F2:K2"/>
    <mergeCell ref="L2:N2"/>
  </mergeCells>
  <dataValidations count="3">
    <dataValidation type="list" allowBlank="1" showInputMessage="1" showErrorMessage="1" sqref="F27:T27" xr:uid="{BF0F7A12-C4C4-41AF-B475-BE6257D77268}">
      <formula1>"P,F, "</formula1>
    </dataValidation>
    <dataValidation type="list" allowBlank="1" showInputMessage="1" showErrorMessage="1" sqref="F26:T26" xr:uid="{EAA35BB1-C544-4E80-8D35-B453DE81E757}">
      <formula1>"N,A,B, "</formula1>
    </dataValidation>
    <dataValidation type="list" allowBlank="1" showInputMessage="1" showErrorMessage="1" sqref="F8:T25" xr:uid="{577962E3-FD45-4440-BBD9-FB33086642A7}">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64BB5-BF4B-40B9-9AD2-5D0812C58A69}">
  <dimension ref="A1:V27"/>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19" width="2.81640625" style="69" customWidth="1"/>
    <col min="20" max="20" width="2.81640625" style="69" bestFit="1" customWidth="1"/>
    <col min="21" max="21" width="2.81640625" style="69" customWidth="1"/>
    <col min="22" max="16384" width="9" style="69"/>
  </cols>
  <sheetData>
    <row r="1" spans="1:22" ht="13.5" customHeight="1">
      <c r="A1" s="189" t="s">
        <v>110</v>
      </c>
      <c r="B1" s="190"/>
      <c r="C1" s="191" t="s">
        <v>191</v>
      </c>
      <c r="D1" s="192"/>
      <c r="E1" s="193"/>
      <c r="F1" s="194" t="s">
        <v>111</v>
      </c>
      <c r="G1" s="195"/>
      <c r="H1" s="195"/>
      <c r="I1" s="195"/>
      <c r="J1" s="195"/>
      <c r="K1" s="195"/>
      <c r="L1" s="220" t="s">
        <v>192</v>
      </c>
      <c r="M1" s="221"/>
      <c r="N1" s="221"/>
      <c r="O1" s="221"/>
      <c r="P1" s="221"/>
      <c r="Q1" s="221"/>
      <c r="R1" s="221"/>
      <c r="S1" s="221"/>
      <c r="T1" s="222"/>
      <c r="V1" s="71"/>
    </row>
    <row r="2" spans="1:2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7"/>
    </row>
    <row r="3" spans="1:22" ht="13.5" customHeight="1">
      <c r="A3" s="202" t="s">
        <v>64</v>
      </c>
      <c r="B3" s="203"/>
      <c r="C3" s="213" t="s">
        <v>193</v>
      </c>
      <c r="D3" s="213"/>
      <c r="E3" s="213"/>
      <c r="F3" s="214"/>
      <c r="G3" s="214"/>
      <c r="H3" s="214"/>
      <c r="I3" s="214"/>
      <c r="J3" s="214"/>
      <c r="K3" s="214"/>
      <c r="L3" s="213"/>
      <c r="M3" s="213"/>
      <c r="N3" s="213"/>
      <c r="O3" s="213"/>
      <c r="P3" s="213"/>
      <c r="Q3" s="213"/>
      <c r="R3" s="213"/>
      <c r="S3" s="213"/>
      <c r="T3" s="213"/>
    </row>
    <row r="4" spans="1:2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9"/>
      <c r="V4" s="71"/>
    </row>
    <row r="5" spans="1:22" ht="13.5" customHeight="1" thickBot="1">
      <c r="A5" s="201">
        <f>COUNTIF(F24:HQ24,"P")</f>
        <v>8</v>
      </c>
      <c r="B5" s="200"/>
      <c r="C5" s="197">
        <f>COUNTIF(F24:HQ24,"F")</f>
        <v>0</v>
      </c>
      <c r="D5" s="198"/>
      <c r="E5" s="200"/>
      <c r="F5" s="197">
        <f>SUM(O5,- A5,- C5)</f>
        <v>0</v>
      </c>
      <c r="G5" s="198"/>
      <c r="H5" s="198"/>
      <c r="I5" s="198"/>
      <c r="J5" s="198"/>
      <c r="K5" s="199"/>
      <c r="L5" s="128">
        <f>COUNTIF(E23:HQ23,"N")</f>
        <v>3</v>
      </c>
      <c r="M5" s="128">
        <f>COUNTIF(E23:HQ23,"A")</f>
        <v>4</v>
      </c>
      <c r="N5" s="128">
        <f>COUNTIF(E23:HQ23,"B")</f>
        <v>1</v>
      </c>
      <c r="O5" s="216">
        <f>COUNTA(E7:HT7)</f>
        <v>8</v>
      </c>
      <c r="P5" s="198"/>
      <c r="Q5" s="198"/>
      <c r="R5" s="198"/>
      <c r="S5" s="198"/>
      <c r="T5" s="217"/>
      <c r="U5" s="72"/>
    </row>
    <row r="6" spans="1:22" ht="10.5" thickBot="1"/>
    <row r="7" spans="1:22" ht="46.5" customHeight="1" thickTop="1" thickBot="1">
      <c r="A7" s="159"/>
      <c r="B7" s="160"/>
      <c r="C7" s="161"/>
      <c r="D7" s="162"/>
      <c r="E7" s="161"/>
      <c r="F7" s="163" t="s">
        <v>32</v>
      </c>
      <c r="G7" s="163" t="s">
        <v>33</v>
      </c>
      <c r="H7" s="163" t="s">
        <v>34</v>
      </c>
      <c r="I7" s="163" t="s">
        <v>35</v>
      </c>
      <c r="J7" s="163" t="s">
        <v>36</v>
      </c>
      <c r="K7" s="163" t="s">
        <v>37</v>
      </c>
      <c r="L7" s="163" t="s">
        <v>38</v>
      </c>
      <c r="M7" s="163" t="s">
        <v>39</v>
      </c>
      <c r="N7" s="163"/>
      <c r="O7" s="163"/>
      <c r="P7" s="163"/>
      <c r="Q7" s="163"/>
      <c r="R7" s="163"/>
      <c r="S7" s="163"/>
      <c r="T7" s="164"/>
      <c r="U7" s="74"/>
      <c r="V7" s="71"/>
    </row>
    <row r="8" spans="1:22" ht="13.5" customHeight="1">
      <c r="A8" s="154" t="s">
        <v>66</v>
      </c>
      <c r="B8" s="155" t="s">
        <v>194</v>
      </c>
      <c r="C8" s="156"/>
      <c r="D8" s="157"/>
      <c r="E8" s="78"/>
      <c r="F8" s="123"/>
      <c r="G8" s="123"/>
      <c r="H8" s="123"/>
      <c r="I8" s="123"/>
      <c r="J8" s="123"/>
      <c r="K8" s="123"/>
      <c r="L8" s="123"/>
      <c r="M8" s="123"/>
      <c r="N8" s="123"/>
      <c r="O8" s="123"/>
      <c r="P8" s="123"/>
      <c r="Q8" s="123"/>
      <c r="R8" s="123"/>
      <c r="S8" s="123"/>
      <c r="T8" s="144"/>
    </row>
    <row r="9" spans="1:22" ht="13.5" customHeight="1">
      <c r="A9" s="142"/>
      <c r="B9" s="75"/>
      <c r="C9" s="76"/>
      <c r="D9" s="77" t="s">
        <v>187</v>
      </c>
      <c r="E9" s="78"/>
      <c r="F9" s="120" t="s">
        <v>86</v>
      </c>
      <c r="G9" s="120" t="s">
        <v>86</v>
      </c>
      <c r="H9" s="120" t="s">
        <v>86</v>
      </c>
      <c r="I9" s="120"/>
      <c r="J9" s="120"/>
      <c r="K9" s="120"/>
      <c r="L9" s="120"/>
      <c r="M9" s="120"/>
      <c r="N9" s="120"/>
      <c r="O9" s="120"/>
      <c r="P9" s="120"/>
      <c r="Q9" s="120"/>
      <c r="R9" s="120"/>
      <c r="S9" s="120"/>
      <c r="T9" s="141"/>
      <c r="V9" s="71"/>
    </row>
    <row r="10" spans="1:22" ht="13.5" customHeight="1">
      <c r="A10" s="142"/>
      <c r="B10" s="75"/>
      <c r="C10" s="76"/>
      <c r="D10" s="77" t="s">
        <v>195</v>
      </c>
      <c r="E10" s="78"/>
      <c r="F10" s="120"/>
      <c r="G10" s="120"/>
      <c r="H10" s="120"/>
      <c r="I10" s="120" t="s">
        <v>86</v>
      </c>
      <c r="J10" s="120"/>
      <c r="K10" s="120"/>
      <c r="L10" s="120"/>
      <c r="M10" s="120"/>
      <c r="N10" s="120"/>
      <c r="O10" s="120"/>
      <c r="P10" s="120"/>
      <c r="Q10" s="120"/>
      <c r="R10" s="120"/>
      <c r="S10" s="120"/>
      <c r="T10" s="141"/>
    </row>
    <row r="11" spans="1:22" ht="13.5" customHeight="1">
      <c r="A11" s="142"/>
      <c r="B11" s="75"/>
      <c r="C11" s="76"/>
      <c r="D11" s="77" t="s">
        <v>196</v>
      </c>
      <c r="E11" s="79"/>
      <c r="F11" s="120"/>
      <c r="G11" s="120"/>
      <c r="H11" s="120"/>
      <c r="I11" s="120"/>
      <c r="J11" s="120"/>
      <c r="K11" s="120"/>
      <c r="L11" s="120"/>
      <c r="M11" s="120" t="s">
        <v>86</v>
      </c>
      <c r="N11" s="120"/>
      <c r="O11" s="120"/>
      <c r="P11" s="120"/>
      <c r="Q11" s="120"/>
      <c r="R11" s="120"/>
      <c r="S11" s="120"/>
      <c r="T11" s="141"/>
    </row>
    <row r="12" spans="1:22" ht="13.5" customHeight="1">
      <c r="A12" s="142"/>
      <c r="B12" s="75"/>
      <c r="C12" s="76"/>
      <c r="D12" s="77" t="s">
        <v>197</v>
      </c>
      <c r="E12" s="80"/>
      <c r="F12" s="120"/>
      <c r="G12" s="120"/>
      <c r="H12" s="120"/>
      <c r="I12" s="120"/>
      <c r="J12" s="120"/>
      <c r="K12" s="120"/>
      <c r="L12" s="120"/>
      <c r="M12" s="120"/>
      <c r="N12" s="120"/>
      <c r="O12" s="120"/>
      <c r="P12" s="120"/>
      <c r="Q12" s="120"/>
      <c r="R12" s="120"/>
      <c r="S12" s="120"/>
      <c r="T12" s="141"/>
    </row>
    <row r="13" spans="1:22" ht="13.5" customHeight="1">
      <c r="A13" s="142"/>
      <c r="B13" s="75"/>
      <c r="C13" s="76"/>
      <c r="D13" s="77" t="s">
        <v>188</v>
      </c>
      <c r="E13" s="80"/>
      <c r="F13" s="120"/>
      <c r="G13" s="120"/>
      <c r="H13" s="120"/>
      <c r="I13" s="120"/>
      <c r="J13" s="120" t="s">
        <v>86</v>
      </c>
      <c r="K13" s="120"/>
      <c r="L13" s="120"/>
      <c r="M13" s="120"/>
      <c r="N13" s="120"/>
      <c r="O13" s="120"/>
      <c r="P13" s="120"/>
      <c r="Q13" s="120"/>
      <c r="R13" s="120"/>
      <c r="S13" s="120"/>
      <c r="T13" s="141"/>
    </row>
    <row r="14" spans="1:22" ht="13.5" customHeight="1">
      <c r="A14" s="142"/>
      <c r="B14" s="75"/>
      <c r="C14" s="76"/>
      <c r="D14" s="77" t="s">
        <v>198</v>
      </c>
      <c r="E14" s="80"/>
      <c r="F14" s="120"/>
      <c r="G14" s="120"/>
      <c r="H14" s="120"/>
      <c r="I14" s="120"/>
      <c r="J14" s="120"/>
      <c r="K14" s="120" t="s">
        <v>86</v>
      </c>
      <c r="L14" s="120"/>
      <c r="M14" s="120"/>
      <c r="N14" s="120"/>
      <c r="O14" s="120"/>
      <c r="P14" s="120"/>
      <c r="Q14" s="120"/>
      <c r="R14" s="120"/>
      <c r="S14" s="120"/>
      <c r="T14" s="141"/>
    </row>
    <row r="15" spans="1:22" ht="13.5" customHeight="1">
      <c r="A15" s="142"/>
      <c r="B15" s="75"/>
      <c r="C15" s="76"/>
      <c r="D15" s="77" t="s">
        <v>199</v>
      </c>
      <c r="E15" s="80"/>
      <c r="F15" s="120"/>
      <c r="G15" s="120"/>
      <c r="H15" s="120"/>
      <c r="I15" s="120"/>
      <c r="J15" s="120"/>
      <c r="K15" s="120"/>
      <c r="L15" s="120" t="s">
        <v>86</v>
      </c>
      <c r="M15" s="120"/>
      <c r="N15" s="120"/>
      <c r="O15" s="120"/>
      <c r="P15" s="120"/>
      <c r="Q15" s="120"/>
      <c r="R15" s="120"/>
      <c r="S15" s="120"/>
      <c r="T15" s="141"/>
      <c r="U15" s="121"/>
    </row>
    <row r="16" spans="1:22" ht="13.5" customHeight="1">
      <c r="A16" s="142"/>
      <c r="B16" s="75" t="s">
        <v>200</v>
      </c>
      <c r="C16" s="76"/>
      <c r="D16" s="77"/>
      <c r="E16" s="80"/>
      <c r="F16" s="120"/>
      <c r="G16" s="120"/>
      <c r="H16" s="120"/>
      <c r="I16" s="120"/>
      <c r="J16" s="120"/>
      <c r="K16" s="120"/>
      <c r="L16" s="120"/>
      <c r="M16" s="120"/>
      <c r="N16" s="120"/>
      <c r="O16" s="120"/>
      <c r="P16" s="120"/>
      <c r="Q16" s="120"/>
      <c r="R16" s="120"/>
      <c r="S16" s="120"/>
      <c r="T16" s="141"/>
      <c r="U16" s="121"/>
    </row>
    <row r="17" spans="1:20" ht="13.5" customHeight="1">
      <c r="A17" s="142"/>
      <c r="B17" s="75"/>
      <c r="C17" s="76"/>
      <c r="D17" s="210" t="s">
        <v>201</v>
      </c>
      <c r="E17" s="210"/>
      <c r="F17" s="120" t="s">
        <v>86</v>
      </c>
      <c r="G17" s="120"/>
      <c r="H17" s="120"/>
      <c r="I17" s="120" t="s">
        <v>86</v>
      </c>
      <c r="J17" s="120" t="s">
        <v>86</v>
      </c>
      <c r="K17" s="120" t="s">
        <v>86</v>
      </c>
      <c r="L17" s="120" t="s">
        <v>86</v>
      </c>
      <c r="M17" s="120"/>
      <c r="N17" s="120"/>
      <c r="O17" s="120"/>
      <c r="P17" s="120"/>
      <c r="Q17" s="120"/>
      <c r="R17" s="120"/>
      <c r="S17" s="120"/>
      <c r="T17" s="141"/>
    </row>
    <row r="18" spans="1:20" ht="13.5" customHeight="1">
      <c r="A18" s="142"/>
      <c r="B18" s="75"/>
      <c r="C18" s="76"/>
      <c r="D18" s="77" t="s">
        <v>202</v>
      </c>
      <c r="E18" s="80"/>
      <c r="F18" s="120"/>
      <c r="G18" s="120" t="s">
        <v>86</v>
      </c>
      <c r="H18" s="120"/>
      <c r="I18" s="120"/>
      <c r="J18" s="120"/>
      <c r="K18" s="120"/>
      <c r="L18" s="120"/>
      <c r="M18" s="120" t="s">
        <v>86</v>
      </c>
      <c r="N18" s="120"/>
      <c r="O18" s="120"/>
      <c r="P18" s="120"/>
      <c r="Q18" s="120"/>
      <c r="R18" s="120"/>
      <c r="S18" s="120"/>
      <c r="T18" s="141"/>
    </row>
    <row r="19" spans="1:20" ht="13.5" customHeight="1" thickBot="1">
      <c r="A19" s="142"/>
      <c r="B19" s="81"/>
      <c r="C19" s="82"/>
      <c r="D19" s="83" t="s">
        <v>203</v>
      </c>
      <c r="E19" s="84"/>
      <c r="F19" s="122"/>
      <c r="G19" s="122"/>
      <c r="H19" s="122" t="s">
        <v>86</v>
      </c>
      <c r="I19" s="122"/>
      <c r="J19" s="122"/>
      <c r="K19" s="122"/>
      <c r="L19" s="122"/>
      <c r="M19" s="122"/>
      <c r="N19" s="122"/>
      <c r="O19" s="122"/>
      <c r="P19" s="122"/>
      <c r="Q19" s="122"/>
      <c r="R19" s="122"/>
      <c r="S19" s="122"/>
      <c r="T19" s="143"/>
    </row>
    <row r="20" spans="1:20" ht="13.5" customHeight="1" thickTop="1">
      <c r="A20" s="153" t="s">
        <v>67</v>
      </c>
      <c r="B20" s="85" t="s">
        <v>68</v>
      </c>
      <c r="C20" s="86"/>
      <c r="D20" s="87"/>
      <c r="E20" s="88"/>
      <c r="F20" s="123"/>
      <c r="G20" s="123"/>
      <c r="H20" s="123"/>
      <c r="I20" s="123"/>
      <c r="J20" s="123"/>
      <c r="K20" s="123"/>
      <c r="L20" s="123"/>
      <c r="M20" s="123"/>
      <c r="N20" s="123"/>
      <c r="O20" s="123"/>
      <c r="P20" s="123"/>
      <c r="Q20" s="123"/>
      <c r="R20" s="123"/>
      <c r="S20" s="123"/>
      <c r="T20" s="144"/>
    </row>
    <row r="21" spans="1:20" ht="13.5" customHeight="1">
      <c r="A21" s="152"/>
      <c r="B21" s="89"/>
      <c r="C21" s="90"/>
      <c r="D21" s="91" t="s">
        <v>204</v>
      </c>
      <c r="E21" s="92"/>
      <c r="F21" s="120" t="s">
        <v>86</v>
      </c>
      <c r="G21" s="120"/>
      <c r="H21" s="120"/>
      <c r="I21" s="120" t="s">
        <v>86</v>
      </c>
      <c r="J21" s="120" t="s">
        <v>86</v>
      </c>
      <c r="K21" s="120" t="s">
        <v>86</v>
      </c>
      <c r="L21" s="120" t="s">
        <v>86</v>
      </c>
      <c r="M21" s="120"/>
      <c r="N21" s="120"/>
      <c r="O21" s="120"/>
      <c r="P21" s="120"/>
      <c r="Q21" s="120"/>
      <c r="R21" s="120"/>
      <c r="S21" s="120"/>
      <c r="T21" s="141"/>
    </row>
    <row r="22" spans="1:20" ht="13.5" customHeight="1" thickBot="1">
      <c r="A22" s="152"/>
      <c r="B22" s="133"/>
      <c r="C22" s="134"/>
      <c r="D22" s="135" t="s">
        <v>205</v>
      </c>
      <c r="E22" s="136"/>
      <c r="F22" s="137"/>
      <c r="G22" s="137" t="s">
        <v>86</v>
      </c>
      <c r="H22" s="137" t="s">
        <v>86</v>
      </c>
      <c r="I22" s="137"/>
      <c r="J22" s="137"/>
      <c r="K22" s="137"/>
      <c r="L22" s="137"/>
      <c r="M22" s="137" t="s">
        <v>86</v>
      </c>
      <c r="N22" s="137"/>
      <c r="O22" s="137"/>
      <c r="P22" s="137"/>
      <c r="Q22" s="137"/>
      <c r="R22" s="137"/>
      <c r="S22" s="137"/>
      <c r="T22" s="145"/>
    </row>
    <row r="23" spans="1:20" ht="13.5" customHeight="1" thickTop="1">
      <c r="A23" s="153" t="s">
        <v>48</v>
      </c>
      <c r="B23" s="206" t="s">
        <v>49</v>
      </c>
      <c r="C23" s="206"/>
      <c r="D23" s="206"/>
      <c r="E23" s="138"/>
      <c r="F23" s="139" t="s">
        <v>50</v>
      </c>
      <c r="G23" s="139" t="s">
        <v>52</v>
      </c>
      <c r="H23" s="139" t="s">
        <v>51</v>
      </c>
      <c r="I23" s="139" t="s">
        <v>50</v>
      </c>
      <c r="J23" s="139" t="s">
        <v>50</v>
      </c>
      <c r="K23" s="139" t="s">
        <v>52</v>
      </c>
      <c r="L23" s="139" t="s">
        <v>52</v>
      </c>
      <c r="M23" s="139" t="s">
        <v>52</v>
      </c>
      <c r="N23" s="139"/>
      <c r="O23" s="139"/>
      <c r="P23" s="139"/>
      <c r="Q23" s="139"/>
      <c r="R23" s="139"/>
      <c r="S23" s="139"/>
      <c r="T23" s="146"/>
    </row>
    <row r="24" spans="1:20" ht="13.5" customHeight="1">
      <c r="A24" s="152"/>
      <c r="B24" s="196" t="s">
        <v>53</v>
      </c>
      <c r="C24" s="196"/>
      <c r="D24" s="196"/>
      <c r="E24" s="94"/>
      <c r="F24" s="125" t="s">
        <v>54</v>
      </c>
      <c r="G24" s="125" t="s">
        <v>54</v>
      </c>
      <c r="H24" s="125" t="s">
        <v>54</v>
      </c>
      <c r="I24" s="125" t="s">
        <v>54</v>
      </c>
      <c r="J24" s="125" t="s">
        <v>54</v>
      </c>
      <c r="K24" s="125" t="s">
        <v>54</v>
      </c>
      <c r="L24" s="125" t="s">
        <v>54</v>
      </c>
      <c r="M24" s="125" t="s">
        <v>54</v>
      </c>
      <c r="N24" s="125"/>
      <c r="O24" s="125"/>
      <c r="P24" s="125"/>
      <c r="Q24" s="125"/>
      <c r="R24" s="125"/>
      <c r="S24" s="125"/>
      <c r="T24" s="147"/>
    </row>
    <row r="25" spans="1:20" ht="13.5" customHeight="1">
      <c r="A25" s="152"/>
      <c r="B25" s="204" t="s">
        <v>55</v>
      </c>
      <c r="C25" s="204"/>
      <c r="D25" s="204"/>
      <c r="E25" s="95"/>
      <c r="F25" s="96">
        <v>46244.708333333336</v>
      </c>
      <c r="G25" s="96">
        <v>46244.708333333336</v>
      </c>
      <c r="H25" s="96">
        <v>46244.708333333336</v>
      </c>
      <c r="I25" s="96">
        <v>46244.708333333336</v>
      </c>
      <c r="J25" s="96">
        <v>46244.708333333336</v>
      </c>
      <c r="K25" s="96">
        <v>46244.708333333336</v>
      </c>
      <c r="L25" s="96">
        <v>46244.708333333336</v>
      </c>
      <c r="M25" s="96">
        <v>46244.708333333336</v>
      </c>
      <c r="N25" s="96"/>
      <c r="O25" s="96"/>
      <c r="P25" s="96"/>
      <c r="Q25" s="96"/>
      <c r="R25" s="96"/>
      <c r="S25" s="96"/>
      <c r="T25" s="148"/>
    </row>
    <row r="26" spans="1:20" ht="10.5" thickBot="1">
      <c r="A26" s="158"/>
      <c r="B26" s="205" t="s">
        <v>56</v>
      </c>
      <c r="C26" s="205"/>
      <c r="D26" s="205"/>
      <c r="E26" s="149"/>
      <c r="F26" s="150"/>
      <c r="G26" s="150"/>
      <c r="H26" s="150"/>
      <c r="I26" s="150"/>
      <c r="J26" s="150"/>
      <c r="K26" s="150"/>
      <c r="L26" s="150"/>
      <c r="M26" s="150"/>
      <c r="N26" s="150"/>
      <c r="O26" s="150"/>
      <c r="P26" s="150"/>
      <c r="Q26" s="150"/>
      <c r="R26" s="150"/>
      <c r="S26" s="150"/>
      <c r="T26" s="151"/>
    </row>
    <row r="27" spans="1:20" ht="10.5" thickTop="1">
      <c r="A27" s="140"/>
    </row>
  </sheetData>
  <mergeCells count="24">
    <mergeCell ref="B24:D24"/>
    <mergeCell ref="B25:D25"/>
    <mergeCell ref="B26:D26"/>
    <mergeCell ref="A5:B5"/>
    <mergeCell ref="C5:E5"/>
    <mergeCell ref="F5:K5"/>
    <mergeCell ref="O5:T5"/>
    <mergeCell ref="D17:E17"/>
    <mergeCell ref="B23:D23"/>
    <mergeCell ref="A3:B3"/>
    <mergeCell ref="C3:T3"/>
    <mergeCell ref="A4:B4"/>
    <mergeCell ref="C4:E4"/>
    <mergeCell ref="F4:K4"/>
    <mergeCell ref="L4:N4"/>
    <mergeCell ref="O4:T4"/>
    <mergeCell ref="A1:B1"/>
    <mergeCell ref="C1:E1"/>
    <mergeCell ref="F1:K1"/>
    <mergeCell ref="L1:T1"/>
    <mergeCell ref="A2:B2"/>
    <mergeCell ref="C2:E2"/>
    <mergeCell ref="F2:K2"/>
    <mergeCell ref="L2:N2"/>
  </mergeCells>
  <dataValidations count="3">
    <dataValidation type="list" allowBlank="1" showInputMessage="1" showErrorMessage="1" sqref="F24:T24" xr:uid="{29D1BECE-F90C-406C-9C62-C5930FDA3155}">
      <formula1>"P,F, "</formula1>
    </dataValidation>
    <dataValidation type="list" allowBlank="1" showInputMessage="1" showErrorMessage="1" sqref="F23:T23" xr:uid="{CBC52094-045B-4FE3-AE50-4242C7FA3B89}">
      <formula1>"N,A,B, "</formula1>
    </dataValidation>
    <dataValidation type="list" allowBlank="1" showInputMessage="1" showErrorMessage="1" sqref="F8:T22" xr:uid="{78EEF084-3E44-4887-AA5D-63F3D5DCB2DB}">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28002-8A94-4DC4-8932-00947C8D7820}">
  <dimension ref="A1:V33"/>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19" width="2.81640625" style="69" customWidth="1"/>
    <col min="20" max="20" width="2.81640625" style="69" bestFit="1" customWidth="1"/>
    <col min="21" max="21" width="2.81640625" style="69" customWidth="1"/>
    <col min="22" max="16384" width="9" style="69"/>
  </cols>
  <sheetData>
    <row r="1" spans="1:22" ht="13.5" customHeight="1">
      <c r="A1" s="189" t="s">
        <v>110</v>
      </c>
      <c r="B1" s="190"/>
      <c r="C1" s="191" t="s">
        <v>206</v>
      </c>
      <c r="D1" s="192"/>
      <c r="E1" s="193"/>
      <c r="F1" s="194" t="s">
        <v>111</v>
      </c>
      <c r="G1" s="195"/>
      <c r="H1" s="195"/>
      <c r="I1" s="195"/>
      <c r="J1" s="195"/>
      <c r="K1" s="195"/>
      <c r="L1" s="220" t="s">
        <v>207</v>
      </c>
      <c r="M1" s="221"/>
      <c r="N1" s="221"/>
      <c r="O1" s="221"/>
      <c r="P1" s="221"/>
      <c r="Q1" s="221"/>
      <c r="R1" s="221"/>
      <c r="S1" s="221"/>
      <c r="T1" s="222"/>
      <c r="V1" s="71"/>
    </row>
    <row r="2" spans="1:2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7"/>
    </row>
    <row r="3" spans="1:22" ht="13.5" customHeight="1">
      <c r="A3" s="202" t="s">
        <v>64</v>
      </c>
      <c r="B3" s="203"/>
      <c r="C3" s="213" t="s">
        <v>208</v>
      </c>
      <c r="D3" s="213"/>
      <c r="E3" s="213"/>
      <c r="F3" s="214"/>
      <c r="G3" s="214"/>
      <c r="H3" s="214"/>
      <c r="I3" s="214"/>
      <c r="J3" s="214"/>
      <c r="K3" s="214"/>
      <c r="L3" s="213"/>
      <c r="M3" s="213"/>
      <c r="N3" s="213"/>
      <c r="O3" s="213"/>
      <c r="P3" s="213"/>
      <c r="Q3" s="213"/>
      <c r="R3" s="213"/>
      <c r="S3" s="213"/>
      <c r="T3" s="213"/>
    </row>
    <row r="4" spans="1:2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9"/>
      <c r="V4" s="71"/>
    </row>
    <row r="5" spans="1:22" ht="13.5" customHeight="1" thickBot="1">
      <c r="A5" s="201">
        <f>COUNTIF(F30:HQ30,"P")</f>
        <v>10</v>
      </c>
      <c r="B5" s="200"/>
      <c r="C5" s="197">
        <f>COUNTIF(F30:HQ30,"F")</f>
        <v>0</v>
      </c>
      <c r="D5" s="198"/>
      <c r="E5" s="200"/>
      <c r="F5" s="197">
        <f>SUM(O5,- A5,- C5)</f>
        <v>0</v>
      </c>
      <c r="G5" s="198"/>
      <c r="H5" s="198"/>
      <c r="I5" s="198"/>
      <c r="J5" s="198"/>
      <c r="K5" s="199"/>
      <c r="L5" s="128">
        <f>COUNTIF(E29:HQ29,"N")</f>
        <v>7</v>
      </c>
      <c r="M5" s="128">
        <f>COUNTIF(E29:HQ29,"A")</f>
        <v>1</v>
      </c>
      <c r="N5" s="128">
        <f>COUNTIF(E29:HQ29,"B")</f>
        <v>2</v>
      </c>
      <c r="O5" s="216">
        <f>COUNTA(E7:HT7)</f>
        <v>10</v>
      </c>
      <c r="P5" s="198"/>
      <c r="Q5" s="198"/>
      <c r="R5" s="198"/>
      <c r="S5" s="198"/>
      <c r="T5" s="217"/>
      <c r="U5" s="72"/>
    </row>
    <row r="6" spans="1:22" ht="10.5" thickBot="1"/>
    <row r="7" spans="1:22" ht="46.5" customHeight="1" thickTop="1" thickBot="1">
      <c r="A7" s="159"/>
      <c r="B7" s="160"/>
      <c r="C7" s="161"/>
      <c r="D7" s="162"/>
      <c r="E7" s="161"/>
      <c r="F7" s="163" t="s">
        <v>32</v>
      </c>
      <c r="G7" s="163" t="s">
        <v>33</v>
      </c>
      <c r="H7" s="163" t="s">
        <v>34</v>
      </c>
      <c r="I7" s="163" t="s">
        <v>35</v>
      </c>
      <c r="J7" s="163" t="s">
        <v>36</v>
      </c>
      <c r="K7" s="163" t="s">
        <v>37</v>
      </c>
      <c r="L7" s="163" t="s">
        <v>38</v>
      </c>
      <c r="M7" s="163" t="s">
        <v>39</v>
      </c>
      <c r="N7" s="163" t="s">
        <v>40</v>
      </c>
      <c r="O7" s="163" t="s">
        <v>41</v>
      </c>
      <c r="P7" s="163"/>
      <c r="Q7" s="163"/>
      <c r="R7" s="163"/>
      <c r="S7" s="163"/>
      <c r="T7" s="164"/>
      <c r="U7" s="74"/>
      <c r="V7" s="71"/>
    </row>
    <row r="8" spans="1:22" ht="13.5" customHeight="1">
      <c r="A8" s="154" t="s">
        <v>66</v>
      </c>
      <c r="B8" s="155" t="s">
        <v>209</v>
      </c>
      <c r="C8" s="156"/>
      <c r="D8" s="157"/>
      <c r="E8" s="78"/>
      <c r="F8" s="123"/>
      <c r="G8" s="123"/>
      <c r="H8" s="123"/>
      <c r="I8" s="123"/>
      <c r="J8" s="123"/>
      <c r="K8" s="123"/>
      <c r="L8" s="123"/>
      <c r="M8" s="123"/>
      <c r="N8" s="123"/>
      <c r="O8" s="123"/>
      <c r="P8" s="123"/>
      <c r="Q8" s="123"/>
      <c r="R8" s="123"/>
      <c r="S8" s="123"/>
      <c r="T8" s="144"/>
    </row>
    <row r="9" spans="1:22" ht="13.5" customHeight="1">
      <c r="A9" s="142"/>
      <c r="B9" s="75"/>
      <c r="C9" s="76"/>
      <c r="D9" s="77" t="s">
        <v>210</v>
      </c>
      <c r="E9" s="78"/>
      <c r="F9" s="120" t="s">
        <v>86</v>
      </c>
      <c r="G9" s="120" t="s">
        <v>86</v>
      </c>
      <c r="H9" s="120" t="s">
        <v>86</v>
      </c>
      <c r="I9" s="120" t="s">
        <v>86</v>
      </c>
      <c r="J9" s="120" t="s">
        <v>86</v>
      </c>
      <c r="K9" s="120" t="s">
        <v>86</v>
      </c>
      <c r="L9" s="120" t="s">
        <v>86</v>
      </c>
      <c r="M9" s="120"/>
      <c r="N9" s="120"/>
      <c r="O9" s="120"/>
      <c r="P9" s="120"/>
      <c r="Q9" s="120"/>
      <c r="R9" s="120"/>
      <c r="S9" s="120"/>
      <c r="T9" s="141"/>
      <c r="V9" s="71"/>
    </row>
    <row r="10" spans="1:22" ht="13.5" customHeight="1">
      <c r="A10" s="142"/>
      <c r="B10" s="75"/>
      <c r="C10" s="76"/>
      <c r="D10" s="77" t="s">
        <v>211</v>
      </c>
      <c r="E10" s="78"/>
      <c r="F10" s="120"/>
      <c r="G10" s="120"/>
      <c r="H10" s="120"/>
      <c r="I10" s="120"/>
      <c r="J10" s="120"/>
      <c r="K10" s="120"/>
      <c r="L10" s="120"/>
      <c r="M10" s="120" t="s">
        <v>86</v>
      </c>
      <c r="N10" s="120" t="s">
        <v>86</v>
      </c>
      <c r="O10" s="120" t="s">
        <v>86</v>
      </c>
      <c r="P10" s="120"/>
      <c r="Q10" s="120"/>
      <c r="R10" s="120"/>
      <c r="S10" s="120"/>
      <c r="T10" s="141"/>
    </row>
    <row r="11" spans="1:22" ht="13.5" customHeight="1">
      <c r="A11" s="142"/>
      <c r="B11" s="75" t="s">
        <v>212</v>
      </c>
      <c r="C11" s="76"/>
      <c r="D11" s="77"/>
      <c r="E11" s="79"/>
      <c r="F11" s="120"/>
      <c r="G11" s="120"/>
      <c r="H11" s="120"/>
      <c r="I11" s="120"/>
      <c r="J11" s="120"/>
      <c r="K11" s="120"/>
      <c r="L11" s="120"/>
      <c r="M11" s="120"/>
      <c r="N11" s="120"/>
      <c r="O11" s="120"/>
      <c r="P11" s="120"/>
      <c r="Q11" s="120"/>
      <c r="R11" s="120"/>
      <c r="S11" s="120"/>
      <c r="T11" s="141"/>
    </row>
    <row r="12" spans="1:22" ht="13.5" customHeight="1">
      <c r="A12" s="142"/>
      <c r="B12" s="75"/>
      <c r="C12" s="76"/>
      <c r="D12" s="77" t="s">
        <v>213</v>
      </c>
      <c r="E12" s="80"/>
      <c r="F12" s="120" t="s">
        <v>86</v>
      </c>
      <c r="G12" s="120"/>
      <c r="H12" s="120"/>
      <c r="I12" s="120"/>
      <c r="J12" s="120"/>
      <c r="K12" s="120"/>
      <c r="L12" s="120"/>
      <c r="M12" s="120"/>
      <c r="N12" s="120"/>
      <c r="O12" s="120" t="s">
        <v>86</v>
      </c>
      <c r="P12" s="120"/>
      <c r="Q12" s="120"/>
      <c r="R12" s="120"/>
      <c r="S12" s="120"/>
      <c r="T12" s="141"/>
    </row>
    <row r="13" spans="1:22" ht="13.5" customHeight="1">
      <c r="A13" s="142"/>
      <c r="B13" s="75"/>
      <c r="C13" s="76"/>
      <c r="D13" s="77" t="s">
        <v>214</v>
      </c>
      <c r="E13" s="80"/>
      <c r="F13" s="120"/>
      <c r="G13" s="120" t="s">
        <v>86</v>
      </c>
      <c r="H13" s="120"/>
      <c r="I13" s="120"/>
      <c r="J13" s="120"/>
      <c r="K13" s="120"/>
      <c r="L13" s="120"/>
      <c r="M13" s="120" t="s">
        <v>86</v>
      </c>
      <c r="N13" s="120"/>
      <c r="O13" s="120"/>
      <c r="P13" s="120"/>
      <c r="Q13" s="120"/>
      <c r="R13" s="120"/>
      <c r="S13" s="120"/>
      <c r="T13" s="141"/>
    </row>
    <row r="14" spans="1:22" ht="13.5" customHeight="1">
      <c r="A14" s="142"/>
      <c r="B14" s="75"/>
      <c r="C14" s="76"/>
      <c r="D14" s="77" t="s">
        <v>215</v>
      </c>
      <c r="E14" s="80"/>
      <c r="F14" s="120"/>
      <c r="G14" s="120"/>
      <c r="H14" s="120" t="s">
        <v>86</v>
      </c>
      <c r="I14" s="120"/>
      <c r="J14" s="120" t="s">
        <v>86</v>
      </c>
      <c r="K14" s="120"/>
      <c r="L14" s="120"/>
      <c r="M14" s="120"/>
      <c r="N14" s="120"/>
      <c r="O14" s="120"/>
      <c r="P14" s="120"/>
      <c r="Q14" s="120"/>
      <c r="R14" s="120"/>
      <c r="S14" s="120"/>
      <c r="T14" s="141"/>
    </row>
    <row r="15" spans="1:22" ht="13.5" customHeight="1">
      <c r="A15" s="142"/>
      <c r="B15" s="75"/>
      <c r="C15" s="76"/>
      <c r="D15" s="77" t="s">
        <v>216</v>
      </c>
      <c r="E15" s="80"/>
      <c r="F15" s="120"/>
      <c r="G15" s="120"/>
      <c r="H15" s="120"/>
      <c r="I15" s="120" t="s">
        <v>86</v>
      </c>
      <c r="J15" s="120"/>
      <c r="K15" s="120" t="s">
        <v>86</v>
      </c>
      <c r="L15" s="120"/>
      <c r="M15" s="120"/>
      <c r="N15" s="120" t="s">
        <v>86</v>
      </c>
      <c r="O15" s="120"/>
      <c r="P15" s="120"/>
      <c r="Q15" s="120"/>
      <c r="R15" s="120"/>
      <c r="S15" s="120"/>
      <c r="T15" s="141"/>
      <c r="U15" s="121"/>
    </row>
    <row r="16" spans="1:22" ht="13.5" customHeight="1">
      <c r="A16" s="142"/>
      <c r="B16" s="75"/>
      <c r="C16" s="76"/>
      <c r="D16" s="77" t="s">
        <v>217</v>
      </c>
      <c r="E16" s="80"/>
      <c r="F16" s="120"/>
      <c r="G16" s="120"/>
      <c r="H16" s="120"/>
      <c r="I16" s="120"/>
      <c r="J16" s="120"/>
      <c r="K16" s="120"/>
      <c r="L16" s="120" t="s">
        <v>86</v>
      </c>
      <c r="M16" s="120"/>
      <c r="N16" s="120"/>
      <c r="O16" s="120"/>
      <c r="P16" s="120"/>
      <c r="Q16" s="120"/>
      <c r="R16" s="120"/>
      <c r="S16" s="120"/>
      <c r="T16" s="141"/>
      <c r="U16" s="121"/>
    </row>
    <row r="17" spans="1:20" ht="13.5" customHeight="1">
      <c r="A17" s="142"/>
      <c r="B17" s="75" t="s">
        <v>218</v>
      </c>
      <c r="C17" s="76"/>
      <c r="D17" s="210"/>
      <c r="E17" s="210"/>
      <c r="F17" s="120"/>
      <c r="G17" s="120"/>
      <c r="H17" s="120"/>
      <c r="I17" s="120"/>
      <c r="J17" s="120"/>
      <c r="K17" s="120"/>
      <c r="L17" s="120"/>
      <c r="M17" s="120"/>
      <c r="N17" s="120"/>
      <c r="O17" s="120"/>
      <c r="P17" s="120"/>
      <c r="Q17" s="120"/>
      <c r="R17" s="120"/>
      <c r="S17" s="120"/>
      <c r="T17" s="141"/>
    </row>
    <row r="18" spans="1:20" ht="13.5" customHeight="1">
      <c r="A18" s="142"/>
      <c r="B18" s="75"/>
      <c r="C18" s="76"/>
      <c r="D18" s="77" t="s">
        <v>219</v>
      </c>
      <c r="E18" s="80"/>
      <c r="F18" s="120" t="s">
        <v>86</v>
      </c>
      <c r="G18" s="120" t="s">
        <v>86</v>
      </c>
      <c r="H18" s="120" t="s">
        <v>86</v>
      </c>
      <c r="I18" s="120" t="s">
        <v>86</v>
      </c>
      <c r="J18" s="120"/>
      <c r="K18" s="120"/>
      <c r="L18" s="120" t="s">
        <v>86</v>
      </c>
      <c r="M18" s="120" t="s">
        <v>86</v>
      </c>
      <c r="N18" s="120" t="s">
        <v>86</v>
      </c>
      <c r="O18" s="120" t="s">
        <v>86</v>
      </c>
      <c r="P18" s="120"/>
      <c r="Q18" s="120"/>
      <c r="R18" s="120"/>
      <c r="S18" s="120"/>
      <c r="T18" s="141"/>
    </row>
    <row r="19" spans="1:20" ht="13.5" customHeight="1">
      <c r="A19" s="142"/>
      <c r="B19" s="75"/>
      <c r="C19" s="76"/>
      <c r="D19" s="77" t="s">
        <v>220</v>
      </c>
      <c r="E19" s="80"/>
      <c r="F19" s="120"/>
      <c r="G19" s="120"/>
      <c r="H19" s="120"/>
      <c r="I19" s="120"/>
      <c r="J19" s="120" t="s">
        <v>86</v>
      </c>
      <c r="K19" s="120"/>
      <c r="L19" s="120"/>
      <c r="M19" s="120"/>
      <c r="N19" s="120"/>
      <c r="O19" s="120"/>
      <c r="P19" s="120"/>
      <c r="Q19" s="120"/>
      <c r="R19" s="120"/>
      <c r="S19" s="120"/>
      <c r="T19" s="141"/>
    </row>
    <row r="20" spans="1:20" ht="13.5" customHeight="1" thickBot="1">
      <c r="A20" s="142"/>
      <c r="B20" s="81"/>
      <c r="C20" s="82"/>
      <c r="D20" s="83" t="s">
        <v>221</v>
      </c>
      <c r="E20" s="84"/>
      <c r="F20" s="122"/>
      <c r="G20" s="122"/>
      <c r="H20" s="122"/>
      <c r="I20" s="122"/>
      <c r="J20" s="122"/>
      <c r="K20" s="122" t="s">
        <v>86</v>
      </c>
      <c r="L20" s="122"/>
      <c r="M20" s="122"/>
      <c r="N20" s="122"/>
      <c r="O20" s="122"/>
      <c r="P20" s="122"/>
      <c r="Q20" s="122"/>
      <c r="R20" s="122"/>
      <c r="S20" s="122"/>
      <c r="T20" s="143"/>
    </row>
    <row r="21" spans="1:20" ht="13.5" customHeight="1" thickTop="1">
      <c r="A21" s="153" t="s">
        <v>67</v>
      </c>
      <c r="B21" s="85" t="s">
        <v>68</v>
      </c>
      <c r="C21" s="86"/>
      <c r="D21" s="87"/>
      <c r="E21" s="88"/>
      <c r="F21" s="123"/>
      <c r="G21" s="123"/>
      <c r="H21" s="123"/>
      <c r="I21" s="123"/>
      <c r="J21" s="123"/>
      <c r="K21" s="123"/>
      <c r="L21" s="123"/>
      <c r="M21" s="123"/>
      <c r="N21" s="123"/>
      <c r="O21" s="123"/>
      <c r="P21" s="123"/>
      <c r="Q21" s="123"/>
      <c r="R21" s="123"/>
      <c r="S21" s="123"/>
      <c r="T21" s="144"/>
    </row>
    <row r="22" spans="1:20" ht="13.5" customHeight="1">
      <c r="A22" s="152"/>
      <c r="B22" s="89"/>
      <c r="C22" s="90"/>
      <c r="D22" s="91" t="s">
        <v>222</v>
      </c>
      <c r="E22" s="92"/>
      <c r="F22" s="120" t="s">
        <v>86</v>
      </c>
      <c r="G22" s="120"/>
      <c r="H22" s="120"/>
      <c r="I22" s="120"/>
      <c r="J22" s="120"/>
      <c r="K22" s="120"/>
      <c r="L22" s="120"/>
      <c r="M22" s="120"/>
      <c r="N22" s="120"/>
      <c r="O22" s="120"/>
      <c r="P22" s="120"/>
      <c r="Q22" s="120"/>
      <c r="R22" s="120"/>
      <c r="S22" s="120"/>
      <c r="T22" s="141"/>
    </row>
    <row r="23" spans="1:20" ht="13.5" customHeight="1">
      <c r="A23" s="152"/>
      <c r="B23" s="89"/>
      <c r="C23" s="124"/>
      <c r="D23" s="91" t="s">
        <v>223</v>
      </c>
      <c r="E23" s="93"/>
      <c r="F23" s="120"/>
      <c r="G23" s="120" t="s">
        <v>86</v>
      </c>
      <c r="H23" s="120"/>
      <c r="I23" s="120"/>
      <c r="J23" s="120"/>
      <c r="K23" s="120"/>
      <c r="L23" s="120"/>
      <c r="M23" s="120"/>
      <c r="N23" s="120"/>
      <c r="O23" s="120"/>
      <c r="P23" s="120"/>
      <c r="Q23" s="120"/>
      <c r="R23" s="120"/>
      <c r="S23" s="120"/>
      <c r="T23" s="141"/>
    </row>
    <row r="24" spans="1:20" ht="13.5" customHeight="1">
      <c r="A24" s="152"/>
      <c r="B24" s="89"/>
      <c r="C24" s="124"/>
      <c r="D24" s="91" t="s">
        <v>224</v>
      </c>
      <c r="E24" s="93"/>
      <c r="F24" s="120"/>
      <c r="G24" s="120"/>
      <c r="H24" s="120" t="s">
        <v>86</v>
      </c>
      <c r="I24" s="120"/>
      <c r="J24" s="120" t="s">
        <v>86</v>
      </c>
      <c r="K24" s="120"/>
      <c r="L24" s="120"/>
      <c r="M24" s="120"/>
      <c r="N24" s="120"/>
      <c r="O24" s="120"/>
      <c r="P24" s="120"/>
      <c r="Q24" s="120"/>
      <c r="R24" s="120"/>
      <c r="S24" s="120"/>
      <c r="T24" s="141"/>
    </row>
    <row r="25" spans="1:20" ht="13.5" customHeight="1">
      <c r="A25" s="152"/>
      <c r="B25" s="89"/>
      <c r="C25" s="124"/>
      <c r="D25" s="91" t="s">
        <v>225</v>
      </c>
      <c r="E25" s="93"/>
      <c r="F25" s="120"/>
      <c r="G25" s="120"/>
      <c r="H25" s="120"/>
      <c r="I25" s="120" t="s">
        <v>86</v>
      </c>
      <c r="J25" s="120"/>
      <c r="K25" s="120" t="s">
        <v>86</v>
      </c>
      <c r="L25" s="120"/>
      <c r="M25" s="120"/>
      <c r="N25" s="120"/>
      <c r="O25" s="120"/>
      <c r="P25" s="120"/>
      <c r="Q25" s="120"/>
      <c r="R25" s="120"/>
      <c r="S25" s="120"/>
      <c r="T25" s="141"/>
    </row>
    <row r="26" spans="1:20" ht="13.5" customHeight="1">
      <c r="A26" s="152"/>
      <c r="B26" s="89"/>
      <c r="C26" s="124"/>
      <c r="D26" s="91" t="s">
        <v>226</v>
      </c>
      <c r="E26" s="93"/>
      <c r="F26" s="120"/>
      <c r="G26" s="120"/>
      <c r="H26" s="120"/>
      <c r="I26" s="120"/>
      <c r="J26" s="120"/>
      <c r="K26" s="120"/>
      <c r="L26" s="120"/>
      <c r="M26" s="120" t="s">
        <v>86</v>
      </c>
      <c r="N26" s="120" t="s">
        <v>86</v>
      </c>
      <c r="O26" s="120" t="s">
        <v>86</v>
      </c>
      <c r="P26" s="120"/>
      <c r="Q26" s="120"/>
      <c r="R26" s="120"/>
      <c r="S26" s="120"/>
      <c r="T26" s="141"/>
    </row>
    <row r="27" spans="1:20" ht="13.5" customHeight="1">
      <c r="A27" s="152"/>
      <c r="B27" s="89" t="s">
        <v>69</v>
      </c>
      <c r="C27" s="124"/>
      <c r="D27" s="91"/>
      <c r="E27" s="93"/>
      <c r="F27" s="120"/>
      <c r="G27" s="120"/>
      <c r="H27" s="120"/>
      <c r="I27" s="120"/>
      <c r="J27" s="120"/>
      <c r="K27" s="120"/>
      <c r="L27" s="120"/>
      <c r="M27" s="120"/>
      <c r="N27" s="120"/>
      <c r="O27" s="120"/>
      <c r="P27" s="120"/>
      <c r="Q27" s="120"/>
      <c r="R27" s="120"/>
      <c r="S27" s="120"/>
      <c r="T27" s="141"/>
    </row>
    <row r="28" spans="1:20" ht="13.5" customHeight="1" thickBot="1">
      <c r="A28" s="152"/>
      <c r="B28" s="133"/>
      <c r="C28" s="134"/>
      <c r="D28" s="135" t="s">
        <v>227</v>
      </c>
      <c r="E28" s="136"/>
      <c r="F28" s="137"/>
      <c r="G28" s="137"/>
      <c r="H28" s="137"/>
      <c r="I28" s="137"/>
      <c r="J28" s="137"/>
      <c r="K28" s="137"/>
      <c r="L28" s="137" t="s">
        <v>86</v>
      </c>
      <c r="M28" s="137"/>
      <c r="N28" s="137"/>
      <c r="O28" s="137"/>
      <c r="P28" s="137"/>
      <c r="Q28" s="137"/>
      <c r="R28" s="137"/>
      <c r="S28" s="137"/>
      <c r="T28" s="145"/>
    </row>
    <row r="29" spans="1:20" ht="13.5" customHeight="1" thickTop="1">
      <c r="A29" s="153" t="s">
        <v>48</v>
      </c>
      <c r="B29" s="206" t="s">
        <v>49</v>
      </c>
      <c r="C29" s="206"/>
      <c r="D29" s="206"/>
      <c r="E29" s="138"/>
      <c r="F29" s="139" t="s">
        <v>50</v>
      </c>
      <c r="G29" s="139" t="s">
        <v>50</v>
      </c>
      <c r="H29" s="139" t="s">
        <v>50</v>
      </c>
      <c r="I29" s="139" t="s">
        <v>50</v>
      </c>
      <c r="J29" s="139" t="s">
        <v>51</v>
      </c>
      <c r="K29" s="139" t="s">
        <v>51</v>
      </c>
      <c r="L29" s="139" t="s">
        <v>52</v>
      </c>
      <c r="M29" s="139" t="s">
        <v>50</v>
      </c>
      <c r="N29" s="139" t="s">
        <v>50</v>
      </c>
      <c r="O29" s="139" t="s">
        <v>50</v>
      </c>
      <c r="P29" s="139"/>
      <c r="Q29" s="139"/>
      <c r="R29" s="139"/>
      <c r="S29" s="139"/>
      <c r="T29" s="146"/>
    </row>
    <row r="30" spans="1:20" ht="13.5" customHeight="1">
      <c r="A30" s="152"/>
      <c r="B30" s="196" t="s">
        <v>53</v>
      </c>
      <c r="C30" s="196"/>
      <c r="D30" s="196"/>
      <c r="E30" s="94"/>
      <c r="F30" s="125" t="s">
        <v>54</v>
      </c>
      <c r="G30" s="125" t="s">
        <v>54</v>
      </c>
      <c r="H30" s="125" t="s">
        <v>54</v>
      </c>
      <c r="I30" s="125" t="s">
        <v>54</v>
      </c>
      <c r="J30" s="125" t="s">
        <v>54</v>
      </c>
      <c r="K30" s="125" t="s">
        <v>54</v>
      </c>
      <c r="L30" s="125" t="s">
        <v>54</v>
      </c>
      <c r="M30" s="125" t="s">
        <v>54</v>
      </c>
      <c r="N30" s="125" t="s">
        <v>54</v>
      </c>
      <c r="O30" s="125" t="s">
        <v>54</v>
      </c>
      <c r="P30" s="125"/>
      <c r="Q30" s="125"/>
      <c r="R30" s="125"/>
      <c r="S30" s="125"/>
      <c r="T30" s="147"/>
    </row>
    <row r="31" spans="1:20" ht="13.5" customHeight="1">
      <c r="A31" s="152"/>
      <c r="B31" s="204" t="s">
        <v>55</v>
      </c>
      <c r="C31" s="204"/>
      <c r="D31" s="204"/>
      <c r="E31" s="95"/>
      <c r="F31" s="96">
        <v>46244.708333333336</v>
      </c>
      <c r="G31" s="96">
        <v>46244.708333333336</v>
      </c>
      <c r="H31" s="96">
        <v>46244.708333333336</v>
      </c>
      <c r="I31" s="96">
        <v>46244.708333333336</v>
      </c>
      <c r="J31" s="96">
        <v>46244.708333333336</v>
      </c>
      <c r="K31" s="96">
        <v>46244.708333333336</v>
      </c>
      <c r="L31" s="96">
        <v>46244.708333333336</v>
      </c>
      <c r="M31" s="96">
        <v>46244.708333333336</v>
      </c>
      <c r="N31" s="96">
        <v>46244.708333333336</v>
      </c>
      <c r="O31" s="96">
        <v>46244.708333333336</v>
      </c>
      <c r="P31" s="96"/>
      <c r="Q31" s="96"/>
      <c r="R31" s="96"/>
      <c r="S31" s="96"/>
      <c r="T31" s="148"/>
    </row>
    <row r="32" spans="1:20" ht="10.5" thickBot="1">
      <c r="A32" s="158"/>
      <c r="B32" s="205" t="s">
        <v>56</v>
      </c>
      <c r="C32" s="205"/>
      <c r="D32" s="205"/>
      <c r="E32" s="149"/>
      <c r="F32" s="150"/>
      <c r="G32" s="150"/>
      <c r="H32" s="150"/>
      <c r="I32" s="150"/>
      <c r="J32" s="150"/>
      <c r="K32" s="150"/>
      <c r="L32" s="150"/>
      <c r="M32" s="150"/>
      <c r="N32" s="150"/>
      <c r="O32" s="150"/>
      <c r="P32" s="150"/>
      <c r="Q32" s="150"/>
      <c r="R32" s="150"/>
      <c r="S32" s="150"/>
      <c r="T32" s="151"/>
    </row>
    <row r="33" spans="1:1" ht="10.5" thickTop="1">
      <c r="A33" s="140"/>
    </row>
  </sheetData>
  <mergeCells count="24">
    <mergeCell ref="B30:D30"/>
    <mergeCell ref="B31:D31"/>
    <mergeCell ref="B32:D32"/>
    <mergeCell ref="A5:B5"/>
    <mergeCell ref="C5:E5"/>
    <mergeCell ref="F5:K5"/>
    <mergeCell ref="O5:T5"/>
    <mergeCell ref="D17:E17"/>
    <mergeCell ref="B29:D29"/>
    <mergeCell ref="A3:B3"/>
    <mergeCell ref="C3:T3"/>
    <mergeCell ref="A4:B4"/>
    <mergeCell ref="C4:E4"/>
    <mergeCell ref="F4:K4"/>
    <mergeCell ref="L4:N4"/>
    <mergeCell ref="O4:T4"/>
    <mergeCell ref="A1:B1"/>
    <mergeCell ref="C1:E1"/>
    <mergeCell ref="F1:K1"/>
    <mergeCell ref="L1:T1"/>
    <mergeCell ref="A2:B2"/>
    <mergeCell ref="C2:E2"/>
    <mergeCell ref="F2:K2"/>
    <mergeCell ref="L2:N2"/>
  </mergeCells>
  <dataValidations count="3">
    <dataValidation type="list" allowBlank="1" showInputMessage="1" showErrorMessage="1" sqref="F30:T30" xr:uid="{1A3F0EB7-039D-4158-B204-076F10092F19}">
      <formula1>"P,F, "</formula1>
    </dataValidation>
    <dataValidation type="list" allowBlank="1" showInputMessage="1" showErrorMessage="1" sqref="F29:T29" xr:uid="{8C4E0F70-773C-4875-BE30-6669825CAB79}">
      <formula1>"N,A,B, "</formula1>
    </dataValidation>
    <dataValidation type="list" allowBlank="1" showInputMessage="1" showErrorMessage="1" sqref="F8:T28" xr:uid="{24F2E09C-9B7A-4A07-9C11-ED7BBC0531D7}">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F6EEA-232B-450B-90B9-FE66E688A0F9}">
  <dimension ref="A1:V34"/>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19" width="2.81640625" style="69" customWidth="1"/>
    <col min="20" max="20" width="2.81640625" style="69" bestFit="1" customWidth="1"/>
    <col min="21" max="21" width="2.81640625" style="69" customWidth="1"/>
    <col min="22" max="16384" width="9" style="69"/>
  </cols>
  <sheetData>
    <row r="1" spans="1:22" ht="13.5" customHeight="1">
      <c r="A1" s="189" t="s">
        <v>110</v>
      </c>
      <c r="B1" s="190"/>
      <c r="C1" s="191" t="s">
        <v>228</v>
      </c>
      <c r="D1" s="192"/>
      <c r="E1" s="193"/>
      <c r="F1" s="194" t="s">
        <v>111</v>
      </c>
      <c r="G1" s="195"/>
      <c r="H1" s="195"/>
      <c r="I1" s="195"/>
      <c r="J1" s="195"/>
      <c r="K1" s="195"/>
      <c r="L1" s="220" t="s">
        <v>229</v>
      </c>
      <c r="M1" s="221"/>
      <c r="N1" s="221"/>
      <c r="O1" s="221"/>
      <c r="P1" s="221"/>
      <c r="Q1" s="221"/>
      <c r="R1" s="221"/>
      <c r="S1" s="221"/>
      <c r="T1" s="222"/>
      <c r="V1" s="71"/>
    </row>
    <row r="2" spans="1:2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7"/>
    </row>
    <row r="3" spans="1:22" ht="13.5" customHeight="1">
      <c r="A3" s="202" t="s">
        <v>64</v>
      </c>
      <c r="B3" s="203"/>
      <c r="C3" s="213" t="s">
        <v>230</v>
      </c>
      <c r="D3" s="213"/>
      <c r="E3" s="213"/>
      <c r="F3" s="214"/>
      <c r="G3" s="214"/>
      <c r="H3" s="214"/>
      <c r="I3" s="214"/>
      <c r="J3" s="214"/>
      <c r="K3" s="214"/>
      <c r="L3" s="213"/>
      <c r="M3" s="213"/>
      <c r="N3" s="213"/>
      <c r="O3" s="213"/>
      <c r="P3" s="213"/>
      <c r="Q3" s="213"/>
      <c r="R3" s="213"/>
      <c r="S3" s="213"/>
      <c r="T3" s="213"/>
    </row>
    <row r="4" spans="1:2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9"/>
      <c r="V4" s="71"/>
    </row>
    <row r="5" spans="1:22" ht="13.5" customHeight="1" thickBot="1">
      <c r="A5" s="201">
        <f>COUNTIF(F31:HQ31,"P")</f>
        <v>8</v>
      </c>
      <c r="B5" s="200"/>
      <c r="C5" s="197">
        <f>COUNTIF(F31:HQ31,"F")</f>
        <v>0</v>
      </c>
      <c r="D5" s="198"/>
      <c r="E5" s="200"/>
      <c r="F5" s="197">
        <f>SUM(O5,- A5,- C5)</f>
        <v>0</v>
      </c>
      <c r="G5" s="198"/>
      <c r="H5" s="198"/>
      <c r="I5" s="198"/>
      <c r="J5" s="198"/>
      <c r="K5" s="199"/>
      <c r="L5" s="128">
        <f>COUNTIF(E30:HQ30,"N")</f>
        <v>1</v>
      </c>
      <c r="M5" s="128">
        <f>COUNTIF(E30:HQ30,"A")</f>
        <v>6</v>
      </c>
      <c r="N5" s="128">
        <f>COUNTIF(E30:HQ30,"B")</f>
        <v>1</v>
      </c>
      <c r="O5" s="216">
        <f>COUNTA(E7:HT7)</f>
        <v>8</v>
      </c>
      <c r="P5" s="198"/>
      <c r="Q5" s="198"/>
      <c r="R5" s="198"/>
      <c r="S5" s="198"/>
      <c r="T5" s="217"/>
      <c r="U5" s="72"/>
    </row>
    <row r="6" spans="1:22" ht="10.5" thickBot="1"/>
    <row r="7" spans="1:22" ht="46.5" customHeight="1" thickTop="1" thickBot="1">
      <c r="A7" s="159"/>
      <c r="B7" s="160"/>
      <c r="C7" s="161"/>
      <c r="D7" s="162"/>
      <c r="E7" s="161"/>
      <c r="F7" s="163" t="s">
        <v>32</v>
      </c>
      <c r="G7" s="163" t="s">
        <v>33</v>
      </c>
      <c r="H7" s="163" t="s">
        <v>34</v>
      </c>
      <c r="I7" s="163" t="s">
        <v>35</v>
      </c>
      <c r="J7" s="163" t="s">
        <v>36</v>
      </c>
      <c r="K7" s="163" t="s">
        <v>37</v>
      </c>
      <c r="L7" s="163" t="s">
        <v>38</v>
      </c>
      <c r="M7" s="163" t="s">
        <v>39</v>
      </c>
      <c r="N7" s="163"/>
      <c r="O7" s="163"/>
      <c r="P7" s="163"/>
      <c r="Q7" s="163"/>
      <c r="R7" s="163"/>
      <c r="S7" s="163"/>
      <c r="T7" s="164"/>
      <c r="U7" s="74"/>
      <c r="V7" s="71"/>
    </row>
    <row r="8" spans="1:22" ht="13.5" customHeight="1">
      <c r="A8" s="154" t="s">
        <v>66</v>
      </c>
      <c r="B8" s="155" t="s">
        <v>231</v>
      </c>
      <c r="C8" s="156"/>
      <c r="D8" s="157"/>
      <c r="E8" s="78"/>
      <c r="F8" s="123"/>
      <c r="G8" s="123"/>
      <c r="H8" s="123"/>
      <c r="I8" s="123"/>
      <c r="J8" s="123"/>
      <c r="K8" s="123"/>
      <c r="L8" s="123"/>
      <c r="M8" s="123"/>
      <c r="N8" s="123"/>
      <c r="O8" s="123"/>
      <c r="P8" s="123"/>
      <c r="Q8" s="123"/>
      <c r="R8" s="123"/>
      <c r="S8" s="123"/>
      <c r="T8" s="144"/>
    </row>
    <row r="9" spans="1:22" ht="13.5" customHeight="1">
      <c r="A9" s="142"/>
      <c r="B9" s="75"/>
      <c r="C9" s="76"/>
      <c r="D9" s="77" t="s">
        <v>232</v>
      </c>
      <c r="E9" s="78"/>
      <c r="F9" s="120" t="s">
        <v>86</v>
      </c>
      <c r="G9" s="120" t="s">
        <v>86</v>
      </c>
      <c r="H9" s="120" t="s">
        <v>86</v>
      </c>
      <c r="I9" s="120" t="s">
        <v>86</v>
      </c>
      <c r="J9" s="120" t="s">
        <v>86</v>
      </c>
      <c r="K9" s="120"/>
      <c r="L9" s="120" t="s">
        <v>86</v>
      </c>
      <c r="M9" s="120"/>
      <c r="N9" s="120"/>
      <c r="O9" s="120"/>
      <c r="P9" s="120"/>
      <c r="Q9" s="120"/>
      <c r="R9" s="120"/>
      <c r="S9" s="120"/>
      <c r="T9" s="141"/>
      <c r="V9" s="71"/>
    </row>
    <row r="10" spans="1:22" ht="13.5" customHeight="1">
      <c r="A10" s="142"/>
      <c r="B10" s="75"/>
      <c r="C10" s="76"/>
      <c r="D10" s="77" t="s">
        <v>233</v>
      </c>
      <c r="E10" s="78"/>
      <c r="F10" s="120"/>
      <c r="G10" s="120"/>
      <c r="H10" s="120"/>
      <c r="I10" s="120"/>
      <c r="J10" s="120"/>
      <c r="K10" s="120" t="s">
        <v>86</v>
      </c>
      <c r="L10" s="120"/>
      <c r="M10" s="120"/>
      <c r="N10" s="120"/>
      <c r="O10" s="120"/>
      <c r="P10" s="120"/>
      <c r="Q10" s="120"/>
      <c r="R10" s="120"/>
      <c r="S10" s="120"/>
      <c r="T10" s="141"/>
    </row>
    <row r="11" spans="1:22" ht="13.5" customHeight="1">
      <c r="A11" s="142"/>
      <c r="B11" s="75"/>
      <c r="C11" s="76"/>
      <c r="D11" s="77" t="s">
        <v>234</v>
      </c>
      <c r="E11" s="79"/>
      <c r="F11" s="120"/>
      <c r="G11" s="120"/>
      <c r="H11" s="120"/>
      <c r="I11" s="120"/>
      <c r="J11" s="120"/>
      <c r="K11" s="120"/>
      <c r="L11" s="120"/>
      <c r="M11" s="120" t="s">
        <v>86</v>
      </c>
      <c r="N11" s="120"/>
      <c r="O11" s="120"/>
      <c r="P11" s="120"/>
      <c r="Q11" s="120"/>
      <c r="R11" s="120"/>
      <c r="S11" s="120"/>
      <c r="T11" s="141"/>
    </row>
    <row r="12" spans="1:22" ht="13.5" customHeight="1">
      <c r="A12" s="142"/>
      <c r="B12" s="75" t="s">
        <v>235</v>
      </c>
      <c r="C12" s="76"/>
      <c r="D12" s="77"/>
      <c r="E12" s="80"/>
      <c r="F12" s="120"/>
      <c r="G12" s="120"/>
      <c r="H12" s="120"/>
      <c r="I12" s="120"/>
      <c r="J12" s="120"/>
      <c r="K12" s="120"/>
      <c r="L12" s="120"/>
      <c r="M12" s="120"/>
      <c r="N12" s="120"/>
      <c r="O12" s="120"/>
      <c r="P12" s="120"/>
      <c r="Q12" s="120"/>
      <c r="R12" s="120"/>
      <c r="S12" s="120"/>
      <c r="T12" s="141"/>
    </row>
    <row r="13" spans="1:22" ht="13.5" customHeight="1">
      <c r="A13" s="142"/>
      <c r="B13" s="75"/>
      <c r="C13" s="76"/>
      <c r="D13" s="77" t="s">
        <v>236</v>
      </c>
      <c r="E13" s="80"/>
      <c r="F13" s="120" t="s">
        <v>86</v>
      </c>
      <c r="G13" s="120" t="s">
        <v>86</v>
      </c>
      <c r="H13" s="120" t="s">
        <v>86</v>
      </c>
      <c r="I13" s="120" t="s">
        <v>86</v>
      </c>
      <c r="J13" s="120"/>
      <c r="K13" s="120" t="s">
        <v>86</v>
      </c>
      <c r="L13" s="120" t="s">
        <v>86</v>
      </c>
      <c r="M13" s="120" t="s">
        <v>86</v>
      </c>
      <c r="N13" s="120"/>
      <c r="O13" s="120"/>
      <c r="P13" s="120"/>
      <c r="Q13" s="120"/>
      <c r="R13" s="120"/>
      <c r="S13" s="120"/>
      <c r="T13" s="141"/>
    </row>
    <row r="14" spans="1:22" ht="13.5" customHeight="1">
      <c r="A14" s="142"/>
      <c r="B14" s="75"/>
      <c r="C14" s="76"/>
      <c r="D14" s="77" t="s">
        <v>237</v>
      </c>
      <c r="E14" s="80"/>
      <c r="F14" s="120"/>
      <c r="G14" s="120"/>
      <c r="H14" s="120"/>
      <c r="I14" s="120"/>
      <c r="J14" s="120" t="s">
        <v>86</v>
      </c>
      <c r="K14" s="120"/>
      <c r="L14" s="120"/>
      <c r="M14" s="120"/>
      <c r="N14" s="120"/>
      <c r="O14" s="120"/>
      <c r="P14" s="120"/>
      <c r="Q14" s="120"/>
      <c r="R14" s="120"/>
      <c r="S14" s="120"/>
      <c r="T14" s="141"/>
    </row>
    <row r="15" spans="1:22" ht="13.5" customHeight="1">
      <c r="A15" s="142"/>
      <c r="B15" s="75" t="s">
        <v>238</v>
      </c>
      <c r="C15" s="76"/>
      <c r="D15" s="77"/>
      <c r="E15" s="80"/>
      <c r="F15" s="120"/>
      <c r="G15" s="120"/>
      <c r="H15" s="120"/>
      <c r="I15" s="120"/>
      <c r="J15" s="120"/>
      <c r="K15" s="120"/>
      <c r="L15" s="120"/>
      <c r="M15" s="120"/>
      <c r="N15" s="120"/>
      <c r="O15" s="120"/>
      <c r="P15" s="120"/>
      <c r="Q15" s="120"/>
      <c r="R15" s="120"/>
      <c r="S15" s="120"/>
      <c r="T15" s="141"/>
      <c r="U15" s="121"/>
    </row>
    <row r="16" spans="1:22" ht="13.5" customHeight="1">
      <c r="A16" s="142"/>
      <c r="B16" s="75"/>
      <c r="C16" s="76"/>
      <c r="D16" s="77" t="s">
        <v>239</v>
      </c>
      <c r="E16" s="80"/>
      <c r="F16" s="120" t="s">
        <v>86</v>
      </c>
      <c r="G16" s="120"/>
      <c r="H16" s="120"/>
      <c r="I16" s="120"/>
      <c r="J16" s="120" t="s">
        <v>86</v>
      </c>
      <c r="K16" s="120" t="s">
        <v>86</v>
      </c>
      <c r="L16" s="120" t="s">
        <v>86</v>
      </c>
      <c r="M16" s="120" t="s">
        <v>86</v>
      </c>
      <c r="N16" s="120"/>
      <c r="O16" s="120"/>
      <c r="P16" s="120"/>
      <c r="Q16" s="120"/>
      <c r="R16" s="120"/>
      <c r="S16" s="120"/>
      <c r="T16" s="141"/>
      <c r="U16" s="121"/>
    </row>
    <row r="17" spans="1:20" ht="13.5" customHeight="1">
      <c r="A17" s="142"/>
      <c r="B17" s="75"/>
      <c r="C17" s="76"/>
      <c r="D17" s="210" t="s">
        <v>240</v>
      </c>
      <c r="E17" s="210"/>
      <c r="F17" s="120"/>
      <c r="G17" s="120" t="s">
        <v>86</v>
      </c>
      <c r="H17" s="120"/>
      <c r="I17" s="120"/>
      <c r="J17" s="120"/>
      <c r="K17" s="120"/>
      <c r="L17" s="120"/>
      <c r="M17" s="120"/>
      <c r="N17" s="120"/>
      <c r="O17" s="120"/>
      <c r="P17" s="120"/>
      <c r="Q17" s="120"/>
      <c r="R17" s="120"/>
      <c r="S17" s="120"/>
      <c r="T17" s="141"/>
    </row>
    <row r="18" spans="1:20" ht="13.5" customHeight="1">
      <c r="A18" s="142"/>
      <c r="B18" s="75"/>
      <c r="C18" s="76"/>
      <c r="D18" s="77" t="s">
        <v>241</v>
      </c>
      <c r="E18" s="80"/>
      <c r="F18" s="120"/>
      <c r="G18" s="120"/>
      <c r="H18" s="120" t="s">
        <v>86</v>
      </c>
      <c r="I18" s="120"/>
      <c r="J18" s="120"/>
      <c r="K18" s="120"/>
      <c r="L18" s="120"/>
      <c r="M18" s="120"/>
      <c r="N18" s="120"/>
      <c r="O18" s="120"/>
      <c r="P18" s="120"/>
      <c r="Q18" s="120"/>
      <c r="R18" s="120"/>
      <c r="S18" s="120"/>
      <c r="T18" s="141"/>
    </row>
    <row r="19" spans="1:20" ht="13.5" customHeight="1">
      <c r="A19" s="142"/>
      <c r="B19" s="75"/>
      <c r="C19" s="76"/>
      <c r="D19" s="77" t="s">
        <v>242</v>
      </c>
      <c r="E19" s="80"/>
      <c r="F19" s="120"/>
      <c r="G19" s="120"/>
      <c r="H19" s="120"/>
      <c r="I19" s="120" t="s">
        <v>86</v>
      </c>
      <c r="J19" s="120"/>
      <c r="K19" s="120"/>
      <c r="L19" s="120"/>
      <c r="M19" s="120"/>
      <c r="N19" s="120"/>
      <c r="O19" s="120"/>
      <c r="P19" s="120"/>
      <c r="Q19" s="120"/>
      <c r="R19" s="120"/>
      <c r="S19" s="120"/>
      <c r="T19" s="141"/>
    </row>
    <row r="20" spans="1:20" ht="13.5" customHeight="1">
      <c r="A20" s="142"/>
      <c r="B20" s="75" t="s">
        <v>243</v>
      </c>
      <c r="C20" s="76"/>
      <c r="D20" s="77"/>
      <c r="E20" s="80"/>
      <c r="F20" s="120"/>
      <c r="G20" s="120"/>
      <c r="H20" s="120"/>
      <c r="I20" s="120"/>
      <c r="J20" s="120"/>
      <c r="K20" s="120"/>
      <c r="L20" s="120"/>
      <c r="M20" s="120"/>
      <c r="N20" s="120"/>
      <c r="O20" s="120"/>
      <c r="P20" s="120"/>
      <c r="Q20" s="120"/>
      <c r="R20" s="120"/>
      <c r="S20" s="120"/>
      <c r="T20" s="141"/>
    </row>
    <row r="21" spans="1:20" ht="13.5" customHeight="1">
      <c r="A21" s="142"/>
      <c r="B21" s="75"/>
      <c r="C21" s="76"/>
      <c r="D21" s="77" t="s">
        <v>244</v>
      </c>
      <c r="E21" s="80"/>
      <c r="F21" s="120" t="s">
        <v>86</v>
      </c>
      <c r="G21" s="120" t="s">
        <v>86</v>
      </c>
      <c r="H21" s="120" t="s">
        <v>86</v>
      </c>
      <c r="I21" s="120" t="s">
        <v>86</v>
      </c>
      <c r="J21" s="120" t="s">
        <v>86</v>
      </c>
      <c r="K21" s="120" t="s">
        <v>86</v>
      </c>
      <c r="L21" s="120"/>
      <c r="M21" s="120" t="s">
        <v>86</v>
      </c>
      <c r="N21" s="120"/>
      <c r="O21" s="120"/>
      <c r="P21" s="120"/>
      <c r="Q21" s="120"/>
      <c r="R21" s="120"/>
      <c r="S21" s="120"/>
      <c r="T21" s="141"/>
    </row>
    <row r="22" spans="1:20" ht="13.5" customHeight="1" thickBot="1">
      <c r="A22" s="142"/>
      <c r="B22" s="81"/>
      <c r="C22" s="82"/>
      <c r="D22" s="83" t="s">
        <v>245</v>
      </c>
      <c r="E22" s="84"/>
      <c r="F22" s="122"/>
      <c r="G22" s="122"/>
      <c r="H22" s="122"/>
      <c r="I22" s="122"/>
      <c r="J22" s="122"/>
      <c r="K22" s="122"/>
      <c r="L22" s="122" t="s">
        <v>86</v>
      </c>
      <c r="M22" s="122"/>
      <c r="N22" s="122"/>
      <c r="O22" s="122"/>
      <c r="P22" s="122"/>
      <c r="Q22" s="122"/>
      <c r="R22" s="122"/>
      <c r="S22" s="122"/>
      <c r="T22" s="143"/>
    </row>
    <row r="23" spans="1:20" ht="13.5" customHeight="1" thickTop="1">
      <c r="A23" s="153" t="s">
        <v>67</v>
      </c>
      <c r="B23" s="85" t="s">
        <v>246</v>
      </c>
      <c r="C23" s="86"/>
      <c r="D23" s="87"/>
      <c r="E23" s="88"/>
      <c r="F23" s="123"/>
      <c r="G23" s="123"/>
      <c r="H23" s="123"/>
      <c r="I23" s="123"/>
      <c r="J23" s="123"/>
      <c r="K23" s="123"/>
      <c r="L23" s="123"/>
      <c r="M23" s="123"/>
      <c r="N23" s="123"/>
      <c r="O23" s="123"/>
      <c r="P23" s="123"/>
      <c r="Q23" s="123"/>
      <c r="R23" s="123"/>
      <c r="S23" s="123"/>
      <c r="T23" s="144"/>
    </row>
    <row r="24" spans="1:20" ht="13.5" customHeight="1">
      <c r="A24" s="152"/>
      <c r="B24" s="89"/>
      <c r="C24" s="90"/>
      <c r="D24" s="91" t="b">
        <v>1</v>
      </c>
      <c r="E24" s="92"/>
      <c r="F24" s="120" t="s">
        <v>86</v>
      </c>
      <c r="G24" s="120" t="s">
        <v>86</v>
      </c>
      <c r="H24" s="120"/>
      <c r="I24" s="120"/>
      <c r="J24" s="120"/>
      <c r="K24" s="120"/>
      <c r="L24" s="120" t="s">
        <v>86</v>
      </c>
      <c r="M24" s="120"/>
      <c r="N24" s="120"/>
      <c r="O24" s="120"/>
      <c r="P24" s="120"/>
      <c r="Q24" s="120"/>
      <c r="R24" s="120"/>
      <c r="S24" s="120"/>
      <c r="T24" s="141"/>
    </row>
    <row r="25" spans="1:20" ht="13.5" customHeight="1">
      <c r="A25" s="152"/>
      <c r="B25" s="89"/>
      <c r="C25" s="124"/>
      <c r="D25" s="91" t="b">
        <v>0</v>
      </c>
      <c r="E25" s="93"/>
      <c r="F25" s="120"/>
      <c r="G25" s="120"/>
      <c r="H25" s="120" t="s">
        <v>86</v>
      </c>
      <c r="I25" s="120" t="s">
        <v>86</v>
      </c>
      <c r="J25" s="120" t="s">
        <v>86</v>
      </c>
      <c r="K25" s="120" t="s">
        <v>86</v>
      </c>
      <c r="L25" s="120"/>
      <c r="M25" s="120" t="s">
        <v>86</v>
      </c>
      <c r="N25" s="120"/>
      <c r="O25" s="120"/>
      <c r="P25" s="120"/>
      <c r="Q25" s="120"/>
      <c r="R25" s="120"/>
      <c r="S25" s="120"/>
      <c r="T25" s="141"/>
    </row>
    <row r="26" spans="1:20" ht="13.5" customHeight="1">
      <c r="A26" s="152"/>
      <c r="B26" s="89" t="s">
        <v>247</v>
      </c>
      <c r="C26" s="124"/>
      <c r="D26" s="91"/>
      <c r="E26" s="93"/>
      <c r="F26" s="120"/>
      <c r="G26" s="120"/>
      <c r="H26" s="120"/>
      <c r="I26" s="120"/>
      <c r="J26" s="120"/>
      <c r="K26" s="120"/>
      <c r="L26" s="120"/>
      <c r="M26" s="120"/>
      <c r="N26" s="120"/>
      <c r="O26" s="120"/>
      <c r="P26" s="120"/>
      <c r="Q26" s="120"/>
      <c r="R26" s="120"/>
      <c r="S26" s="120"/>
      <c r="T26" s="141"/>
    </row>
    <row r="27" spans="1:20" ht="13.5" customHeight="1">
      <c r="A27" s="152"/>
      <c r="B27" s="89"/>
      <c r="C27" s="124"/>
      <c r="D27" s="91" t="s">
        <v>248</v>
      </c>
      <c r="E27" s="93"/>
      <c r="F27" s="120" t="s">
        <v>86</v>
      </c>
      <c r="G27" s="120" t="s">
        <v>86</v>
      </c>
      <c r="H27" s="120"/>
      <c r="I27" s="120"/>
      <c r="J27" s="120"/>
      <c r="K27" s="120"/>
      <c r="L27" s="120"/>
      <c r="M27" s="120"/>
      <c r="N27" s="120"/>
      <c r="O27" s="120"/>
      <c r="P27" s="120"/>
      <c r="Q27" s="120"/>
      <c r="R27" s="120"/>
      <c r="S27" s="120"/>
      <c r="T27" s="141"/>
    </row>
    <row r="28" spans="1:20" ht="13.5" customHeight="1">
      <c r="A28" s="152"/>
      <c r="B28" s="89"/>
      <c r="C28" s="124"/>
      <c r="D28" s="91" t="s">
        <v>249</v>
      </c>
      <c r="E28" s="93"/>
      <c r="F28" s="120"/>
      <c r="G28" s="120"/>
      <c r="H28" s="120"/>
      <c r="I28" s="120"/>
      <c r="J28" s="120"/>
      <c r="K28" s="120"/>
      <c r="L28" s="120" t="s">
        <v>86</v>
      </c>
      <c r="M28" s="120"/>
      <c r="N28" s="120"/>
      <c r="O28" s="120"/>
      <c r="P28" s="120"/>
      <c r="Q28" s="120"/>
      <c r="R28" s="120"/>
      <c r="S28" s="120"/>
      <c r="T28" s="141"/>
    </row>
    <row r="29" spans="1:20" ht="13.5" customHeight="1" thickBot="1">
      <c r="A29" s="152"/>
      <c r="B29" s="133"/>
      <c r="C29" s="134"/>
      <c r="D29" s="135" t="s">
        <v>250</v>
      </c>
      <c r="E29" s="136"/>
      <c r="F29" s="137"/>
      <c r="G29" s="137"/>
      <c r="H29" s="137"/>
      <c r="I29" s="137"/>
      <c r="J29" s="137"/>
      <c r="K29" s="137" t="s">
        <v>86</v>
      </c>
      <c r="L29" s="137"/>
      <c r="M29" s="137" t="s">
        <v>86</v>
      </c>
      <c r="N29" s="137"/>
      <c r="O29" s="137"/>
      <c r="P29" s="137"/>
      <c r="Q29" s="137"/>
      <c r="R29" s="137"/>
      <c r="S29" s="137"/>
      <c r="T29" s="145"/>
    </row>
    <row r="30" spans="1:20" ht="13.5" customHeight="1" thickTop="1">
      <c r="A30" s="153" t="s">
        <v>48</v>
      </c>
      <c r="B30" s="206" t="s">
        <v>49</v>
      </c>
      <c r="C30" s="206"/>
      <c r="D30" s="206"/>
      <c r="E30" s="138"/>
      <c r="F30" s="139" t="s">
        <v>50</v>
      </c>
      <c r="G30" s="139" t="s">
        <v>51</v>
      </c>
      <c r="H30" s="139" t="s">
        <v>52</v>
      </c>
      <c r="I30" s="139" t="s">
        <v>52</v>
      </c>
      <c r="J30" s="139" t="s">
        <v>52</v>
      </c>
      <c r="K30" s="139" t="s">
        <v>52</v>
      </c>
      <c r="L30" s="139" t="s">
        <v>52</v>
      </c>
      <c r="M30" s="139" t="s">
        <v>52</v>
      </c>
      <c r="N30" s="139"/>
      <c r="O30" s="139"/>
      <c r="P30" s="139"/>
      <c r="Q30" s="139"/>
      <c r="R30" s="139"/>
      <c r="S30" s="139"/>
      <c r="T30" s="146"/>
    </row>
    <row r="31" spans="1:20" ht="13.5" customHeight="1">
      <c r="A31" s="152"/>
      <c r="B31" s="196" t="s">
        <v>53</v>
      </c>
      <c r="C31" s="196"/>
      <c r="D31" s="196"/>
      <c r="E31" s="94"/>
      <c r="F31" s="125" t="s">
        <v>54</v>
      </c>
      <c r="G31" s="125" t="s">
        <v>54</v>
      </c>
      <c r="H31" s="125" t="s">
        <v>54</v>
      </c>
      <c r="I31" s="125" t="s">
        <v>54</v>
      </c>
      <c r="J31" s="125" t="s">
        <v>54</v>
      </c>
      <c r="K31" s="125" t="s">
        <v>54</v>
      </c>
      <c r="L31" s="125" t="s">
        <v>54</v>
      </c>
      <c r="M31" s="125" t="s">
        <v>54</v>
      </c>
      <c r="N31" s="125"/>
      <c r="O31" s="125"/>
      <c r="P31" s="125"/>
      <c r="Q31" s="125"/>
      <c r="R31" s="125"/>
      <c r="S31" s="125"/>
      <c r="T31" s="147"/>
    </row>
    <row r="32" spans="1:20" ht="13.5" customHeight="1">
      <c r="A32" s="152"/>
      <c r="B32" s="204" t="s">
        <v>55</v>
      </c>
      <c r="C32" s="204"/>
      <c r="D32" s="204"/>
      <c r="E32" s="95"/>
      <c r="F32" s="96">
        <v>46244.708333333336</v>
      </c>
      <c r="G32" s="96">
        <v>46244.708333333336</v>
      </c>
      <c r="H32" s="96">
        <v>46244.708333333336</v>
      </c>
      <c r="I32" s="96">
        <v>46244.708333333336</v>
      </c>
      <c r="J32" s="96">
        <v>46244.708333333336</v>
      </c>
      <c r="K32" s="96">
        <v>46244.708333333336</v>
      </c>
      <c r="L32" s="96">
        <v>46244.708333333336</v>
      </c>
      <c r="M32" s="96">
        <v>46244.708333333336</v>
      </c>
      <c r="N32" s="96"/>
      <c r="O32" s="96"/>
      <c r="P32" s="96"/>
      <c r="Q32" s="96"/>
      <c r="R32" s="96"/>
      <c r="S32" s="96"/>
      <c r="T32" s="148"/>
    </row>
    <row r="33" spans="1:20" ht="10.5" thickBot="1">
      <c r="A33" s="158"/>
      <c r="B33" s="205" t="s">
        <v>56</v>
      </c>
      <c r="C33" s="205"/>
      <c r="D33" s="205"/>
      <c r="E33" s="149"/>
      <c r="F33" s="150"/>
      <c r="G33" s="150"/>
      <c r="H33" s="150"/>
      <c r="I33" s="150"/>
      <c r="J33" s="150"/>
      <c r="K33" s="150"/>
      <c r="L33" s="150"/>
      <c r="M33" s="150"/>
      <c r="N33" s="150"/>
      <c r="O33" s="150"/>
      <c r="P33" s="150"/>
      <c r="Q33" s="150"/>
      <c r="R33" s="150"/>
      <c r="S33" s="150"/>
      <c r="T33" s="151"/>
    </row>
    <row r="34" spans="1:20" ht="10.5" thickTop="1">
      <c r="A34" s="140"/>
    </row>
  </sheetData>
  <mergeCells count="24">
    <mergeCell ref="B31:D31"/>
    <mergeCell ref="B32:D32"/>
    <mergeCell ref="B33:D33"/>
    <mergeCell ref="A5:B5"/>
    <mergeCell ref="C5:E5"/>
    <mergeCell ref="F5:K5"/>
    <mergeCell ref="O5:T5"/>
    <mergeCell ref="D17:E17"/>
    <mergeCell ref="B30:D30"/>
    <mergeCell ref="A3:B3"/>
    <mergeCell ref="C3:T3"/>
    <mergeCell ref="A4:B4"/>
    <mergeCell ref="C4:E4"/>
    <mergeCell ref="F4:K4"/>
    <mergeCell ref="L4:N4"/>
    <mergeCell ref="O4:T4"/>
    <mergeCell ref="A1:B1"/>
    <mergeCell ref="C1:E1"/>
    <mergeCell ref="F1:K1"/>
    <mergeCell ref="L1:T1"/>
    <mergeCell ref="A2:B2"/>
    <mergeCell ref="C2:E2"/>
    <mergeCell ref="F2:K2"/>
    <mergeCell ref="L2:N2"/>
  </mergeCells>
  <dataValidations count="3">
    <dataValidation type="list" allowBlank="1" showInputMessage="1" showErrorMessage="1" sqref="F31:T31" xr:uid="{18DD6A1D-04E4-4D26-8135-F119C1C73A50}">
      <formula1>"P,F, "</formula1>
    </dataValidation>
    <dataValidation type="list" allowBlank="1" showInputMessage="1" showErrorMessage="1" sqref="F30:T30" xr:uid="{38964722-3B32-4135-8274-7D4FB9C6DD6C}">
      <formula1>"N,A,B, "</formula1>
    </dataValidation>
    <dataValidation type="list" allowBlank="1" showInputMessage="1" showErrorMessage="1" sqref="F8:T29" xr:uid="{68AB63A0-E3B6-4044-9A5E-F676A211AAA7}">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E276-8079-4199-82A1-494A1B7D1666}">
  <dimension ref="A1:V29"/>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19" width="2.81640625" style="69" customWidth="1"/>
    <col min="20" max="20" width="2.81640625" style="69" bestFit="1" customWidth="1"/>
    <col min="21" max="21" width="2.81640625" style="69" customWidth="1"/>
    <col min="22" max="16384" width="9" style="69"/>
  </cols>
  <sheetData>
    <row r="1" spans="1:22" ht="13.5" customHeight="1">
      <c r="A1" s="189" t="s">
        <v>110</v>
      </c>
      <c r="B1" s="190"/>
      <c r="C1" s="191" t="s">
        <v>251</v>
      </c>
      <c r="D1" s="192"/>
      <c r="E1" s="193"/>
      <c r="F1" s="194" t="s">
        <v>111</v>
      </c>
      <c r="G1" s="195"/>
      <c r="H1" s="195"/>
      <c r="I1" s="195"/>
      <c r="J1" s="195"/>
      <c r="K1" s="195"/>
      <c r="L1" s="220" t="s">
        <v>252</v>
      </c>
      <c r="M1" s="221"/>
      <c r="N1" s="221"/>
      <c r="O1" s="221"/>
      <c r="P1" s="221"/>
      <c r="Q1" s="221"/>
      <c r="R1" s="221"/>
      <c r="S1" s="221"/>
      <c r="T1" s="222"/>
      <c r="V1" s="71"/>
    </row>
    <row r="2" spans="1:2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7"/>
    </row>
    <row r="3" spans="1:22" ht="13.5" customHeight="1">
      <c r="A3" s="202" t="s">
        <v>64</v>
      </c>
      <c r="B3" s="203"/>
      <c r="C3" s="213" t="s">
        <v>253</v>
      </c>
      <c r="D3" s="213"/>
      <c r="E3" s="213"/>
      <c r="F3" s="214"/>
      <c r="G3" s="214"/>
      <c r="H3" s="214"/>
      <c r="I3" s="214"/>
      <c r="J3" s="214"/>
      <c r="K3" s="214"/>
      <c r="L3" s="213"/>
      <c r="M3" s="213"/>
      <c r="N3" s="213"/>
      <c r="O3" s="213"/>
      <c r="P3" s="213"/>
      <c r="Q3" s="213"/>
      <c r="R3" s="213"/>
      <c r="S3" s="213"/>
      <c r="T3" s="213"/>
    </row>
    <row r="4" spans="1:2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9"/>
      <c r="V4" s="71"/>
    </row>
    <row r="5" spans="1:22" ht="13.5" customHeight="1" thickBot="1">
      <c r="A5" s="201">
        <f>COUNTIF(F26:HQ26,"P")</f>
        <v>8</v>
      </c>
      <c r="B5" s="200"/>
      <c r="C5" s="197">
        <f>COUNTIF(F26:HQ26,"F")</f>
        <v>0</v>
      </c>
      <c r="D5" s="198"/>
      <c r="E5" s="200"/>
      <c r="F5" s="197">
        <f>SUM(O5,- A5,- C5)</f>
        <v>0</v>
      </c>
      <c r="G5" s="198"/>
      <c r="H5" s="198"/>
      <c r="I5" s="198"/>
      <c r="J5" s="198"/>
      <c r="K5" s="199"/>
      <c r="L5" s="128">
        <f>COUNTIF(E25:HQ25,"N")</f>
        <v>2</v>
      </c>
      <c r="M5" s="128">
        <f>COUNTIF(E25:HQ25,"A")</f>
        <v>5</v>
      </c>
      <c r="N5" s="128">
        <f>COUNTIF(E25:HQ25,"B")</f>
        <v>1</v>
      </c>
      <c r="O5" s="216">
        <f>COUNTA(E7:HT7)</f>
        <v>8</v>
      </c>
      <c r="P5" s="198"/>
      <c r="Q5" s="198"/>
      <c r="R5" s="198"/>
      <c r="S5" s="198"/>
      <c r="T5" s="217"/>
      <c r="U5" s="72"/>
    </row>
    <row r="6" spans="1:22" ht="10.5" thickBot="1"/>
    <row r="7" spans="1:22" ht="46.5" customHeight="1" thickTop="1" thickBot="1">
      <c r="A7" s="159"/>
      <c r="B7" s="160"/>
      <c r="C7" s="161"/>
      <c r="D7" s="162"/>
      <c r="E7" s="161"/>
      <c r="F7" s="163" t="s">
        <v>32</v>
      </c>
      <c r="G7" s="163" t="s">
        <v>33</v>
      </c>
      <c r="H7" s="163" t="s">
        <v>34</v>
      </c>
      <c r="I7" s="163" t="s">
        <v>35</v>
      </c>
      <c r="J7" s="163" t="s">
        <v>36</v>
      </c>
      <c r="K7" s="163" t="s">
        <v>37</v>
      </c>
      <c r="L7" s="163" t="s">
        <v>38</v>
      </c>
      <c r="M7" s="163" t="s">
        <v>39</v>
      </c>
      <c r="N7" s="163"/>
      <c r="O7" s="163"/>
      <c r="P7" s="163"/>
      <c r="Q7" s="163"/>
      <c r="R7" s="163"/>
      <c r="S7" s="163"/>
      <c r="T7" s="164"/>
      <c r="U7" s="74"/>
      <c r="V7" s="71"/>
    </row>
    <row r="8" spans="1:22" ht="13.5" customHeight="1">
      <c r="A8" s="154" t="s">
        <v>66</v>
      </c>
      <c r="B8" s="155" t="s">
        <v>254</v>
      </c>
      <c r="C8" s="156"/>
      <c r="D8" s="157"/>
      <c r="E8" s="78"/>
      <c r="F8" s="123"/>
      <c r="G8" s="123"/>
      <c r="H8" s="123"/>
      <c r="I8" s="123"/>
      <c r="J8" s="123"/>
      <c r="K8" s="123"/>
      <c r="L8" s="123"/>
      <c r="M8" s="123"/>
      <c r="N8" s="123"/>
      <c r="O8" s="123"/>
      <c r="P8" s="123"/>
      <c r="Q8" s="123"/>
      <c r="R8" s="123"/>
      <c r="S8" s="123"/>
      <c r="T8" s="144"/>
    </row>
    <row r="9" spans="1:22" ht="13.5" customHeight="1">
      <c r="A9" s="142"/>
      <c r="B9" s="75"/>
      <c r="C9" s="76"/>
      <c r="D9" s="77" t="s">
        <v>255</v>
      </c>
      <c r="E9" s="78"/>
      <c r="F9" s="120" t="s">
        <v>86</v>
      </c>
      <c r="G9" s="120"/>
      <c r="H9" s="120"/>
      <c r="I9" s="120"/>
      <c r="J9" s="120"/>
      <c r="K9" s="120"/>
      <c r="L9" s="120"/>
      <c r="M9" s="120"/>
      <c r="N9" s="120"/>
      <c r="O9" s="120"/>
      <c r="P9" s="120"/>
      <c r="Q9" s="120"/>
      <c r="R9" s="120"/>
      <c r="S9" s="120"/>
      <c r="T9" s="141"/>
      <c r="V9" s="71"/>
    </row>
    <row r="10" spans="1:22" ht="13.5" customHeight="1">
      <c r="A10" s="142"/>
      <c r="B10" s="75"/>
      <c r="C10" s="76"/>
      <c r="D10" s="77" t="s">
        <v>256</v>
      </c>
      <c r="E10" s="78"/>
      <c r="F10" s="120"/>
      <c r="G10" s="120" t="s">
        <v>86</v>
      </c>
      <c r="H10" s="120" t="s">
        <v>86</v>
      </c>
      <c r="I10" s="120" t="s">
        <v>86</v>
      </c>
      <c r="J10" s="120" t="s">
        <v>86</v>
      </c>
      <c r="K10" s="120"/>
      <c r="L10" s="120"/>
      <c r="M10" s="120"/>
      <c r="N10" s="120"/>
      <c r="O10" s="120"/>
      <c r="P10" s="120"/>
      <c r="Q10" s="120"/>
      <c r="R10" s="120"/>
      <c r="S10" s="120"/>
      <c r="T10" s="141"/>
    </row>
    <row r="11" spans="1:22" ht="13.5" customHeight="1">
      <c r="A11" s="142"/>
      <c r="B11" s="75"/>
      <c r="C11" s="76"/>
      <c r="D11" s="77" t="s">
        <v>257</v>
      </c>
      <c r="E11" s="79"/>
      <c r="F11" s="120"/>
      <c r="G11" s="120"/>
      <c r="H11" s="120"/>
      <c r="I11" s="120"/>
      <c r="J11" s="120"/>
      <c r="K11" s="120" t="s">
        <v>86</v>
      </c>
      <c r="L11" s="120"/>
      <c r="M11" s="120"/>
      <c r="N11" s="120"/>
      <c r="O11" s="120"/>
      <c r="P11" s="120"/>
      <c r="Q11" s="120"/>
      <c r="R11" s="120"/>
      <c r="S11" s="120"/>
      <c r="T11" s="141"/>
    </row>
    <row r="12" spans="1:22" ht="13.5" customHeight="1">
      <c r="A12" s="142"/>
      <c r="B12" s="75"/>
      <c r="C12" s="76"/>
      <c r="D12" s="77" t="s">
        <v>258</v>
      </c>
      <c r="E12" s="80"/>
      <c r="F12" s="120"/>
      <c r="G12" s="120"/>
      <c r="H12" s="120"/>
      <c r="I12" s="120"/>
      <c r="J12" s="120"/>
      <c r="K12" s="120"/>
      <c r="L12" s="120" t="s">
        <v>86</v>
      </c>
      <c r="M12" s="120" t="s">
        <v>86</v>
      </c>
      <c r="N12" s="120"/>
      <c r="O12" s="120"/>
      <c r="P12" s="120"/>
      <c r="Q12" s="120"/>
      <c r="R12" s="120"/>
      <c r="S12" s="120"/>
      <c r="T12" s="141"/>
    </row>
    <row r="13" spans="1:22" ht="13.5" customHeight="1">
      <c r="A13" s="142"/>
      <c r="B13" s="75" t="s">
        <v>259</v>
      </c>
      <c r="C13" s="76"/>
      <c r="D13" s="77"/>
      <c r="E13" s="80"/>
      <c r="F13" s="120"/>
      <c r="G13" s="120"/>
      <c r="H13" s="120"/>
      <c r="I13" s="120"/>
      <c r="J13" s="120"/>
      <c r="K13" s="120"/>
      <c r="L13" s="120"/>
      <c r="M13" s="120"/>
      <c r="N13" s="120"/>
      <c r="O13" s="120"/>
      <c r="P13" s="120"/>
      <c r="Q13" s="120"/>
      <c r="R13" s="120"/>
      <c r="S13" s="120"/>
      <c r="T13" s="141"/>
    </row>
    <row r="14" spans="1:22" ht="13.5" customHeight="1">
      <c r="A14" s="142"/>
      <c r="B14" s="75"/>
      <c r="C14" s="76"/>
      <c r="D14" s="77" t="b">
        <v>1</v>
      </c>
      <c r="E14" s="80"/>
      <c r="F14" s="120" t="s">
        <v>86</v>
      </c>
      <c r="G14" s="120"/>
      <c r="H14" s="120"/>
      <c r="I14" s="120" t="s">
        <v>86</v>
      </c>
      <c r="J14" s="120" t="s">
        <v>86</v>
      </c>
      <c r="K14" s="120" t="s">
        <v>86</v>
      </c>
      <c r="L14" s="120" t="s">
        <v>86</v>
      </c>
      <c r="M14" s="120" t="s">
        <v>86</v>
      </c>
      <c r="N14" s="120"/>
      <c r="O14" s="120"/>
      <c r="P14" s="120"/>
      <c r="Q14" s="120"/>
      <c r="R14" s="120"/>
      <c r="S14" s="120"/>
      <c r="T14" s="141"/>
    </row>
    <row r="15" spans="1:22" ht="13.5" customHeight="1">
      <c r="A15" s="142"/>
      <c r="B15" s="75"/>
      <c r="C15" s="76"/>
      <c r="D15" s="77" t="b">
        <v>0</v>
      </c>
      <c r="E15" s="80"/>
      <c r="F15" s="120"/>
      <c r="G15" s="120" t="s">
        <v>86</v>
      </c>
      <c r="H15" s="120" t="s">
        <v>86</v>
      </c>
      <c r="I15" s="120"/>
      <c r="J15" s="120"/>
      <c r="K15" s="120"/>
      <c r="L15" s="120"/>
      <c r="M15" s="120"/>
      <c r="N15" s="120"/>
      <c r="O15" s="120"/>
      <c r="P15" s="120"/>
      <c r="Q15" s="120"/>
      <c r="R15" s="120"/>
      <c r="S15" s="120"/>
      <c r="T15" s="141"/>
      <c r="U15" s="121"/>
    </row>
    <row r="16" spans="1:22" ht="13.5" customHeight="1">
      <c r="A16" s="142"/>
      <c r="B16" s="75" t="s">
        <v>260</v>
      </c>
      <c r="C16" s="76"/>
      <c r="D16" s="77"/>
      <c r="E16" s="80"/>
      <c r="F16" s="120"/>
      <c r="G16" s="120"/>
      <c r="H16" s="120"/>
      <c r="I16" s="120"/>
      <c r="J16" s="120"/>
      <c r="K16" s="120"/>
      <c r="L16" s="120"/>
      <c r="M16" s="120"/>
      <c r="N16" s="120"/>
      <c r="O16" s="120"/>
      <c r="P16" s="120"/>
      <c r="Q16" s="120"/>
      <c r="R16" s="120"/>
      <c r="S16" s="120"/>
      <c r="T16" s="141"/>
      <c r="U16" s="121"/>
    </row>
    <row r="17" spans="1:20" ht="13.5" customHeight="1">
      <c r="A17" s="142"/>
      <c r="B17" s="75"/>
      <c r="C17" s="76"/>
      <c r="D17" s="210" t="s">
        <v>261</v>
      </c>
      <c r="E17" s="210"/>
      <c r="F17" s="120"/>
      <c r="G17" s="120" t="s">
        <v>86</v>
      </c>
      <c r="H17" s="120"/>
      <c r="I17" s="120"/>
      <c r="J17" s="120"/>
      <c r="K17" s="120" t="s">
        <v>86</v>
      </c>
      <c r="L17" s="120" t="s">
        <v>86</v>
      </c>
      <c r="M17" s="120"/>
      <c r="N17" s="120"/>
      <c r="O17" s="120"/>
      <c r="P17" s="120"/>
      <c r="Q17" s="120"/>
      <c r="R17" s="120"/>
      <c r="S17" s="120"/>
      <c r="T17" s="141"/>
    </row>
    <row r="18" spans="1:20" ht="13.5" customHeight="1">
      <c r="A18" s="142"/>
      <c r="B18" s="75"/>
      <c r="C18" s="76"/>
      <c r="D18" s="77" t="s">
        <v>262</v>
      </c>
      <c r="E18" s="80"/>
      <c r="F18" s="120"/>
      <c r="G18" s="120"/>
      <c r="H18" s="120" t="s">
        <v>86</v>
      </c>
      <c r="I18" s="120" t="s">
        <v>86</v>
      </c>
      <c r="J18" s="120"/>
      <c r="K18" s="120"/>
      <c r="L18" s="120"/>
      <c r="M18" s="120"/>
      <c r="N18" s="120"/>
      <c r="O18" s="120"/>
      <c r="P18" s="120"/>
      <c r="Q18" s="120"/>
      <c r="R18" s="120"/>
      <c r="S18" s="120"/>
      <c r="T18" s="141"/>
    </row>
    <row r="19" spans="1:20" ht="13.5" customHeight="1" thickBot="1">
      <c r="A19" s="142"/>
      <c r="B19" s="81"/>
      <c r="C19" s="82"/>
      <c r="D19" s="83" t="s">
        <v>263</v>
      </c>
      <c r="E19" s="84"/>
      <c r="F19" s="122" t="s">
        <v>86</v>
      </c>
      <c r="G19" s="122"/>
      <c r="H19" s="122"/>
      <c r="I19" s="122"/>
      <c r="J19" s="122" t="s">
        <v>86</v>
      </c>
      <c r="K19" s="122"/>
      <c r="L19" s="122"/>
      <c r="M19" s="122" t="s">
        <v>86</v>
      </c>
      <c r="N19" s="122"/>
      <c r="O19" s="122"/>
      <c r="P19" s="122"/>
      <c r="Q19" s="122"/>
      <c r="R19" s="122"/>
      <c r="S19" s="122"/>
      <c r="T19" s="143"/>
    </row>
    <row r="20" spans="1:20" ht="13.5" customHeight="1" thickTop="1">
      <c r="A20" s="153" t="s">
        <v>67</v>
      </c>
      <c r="B20" s="85" t="s">
        <v>264</v>
      </c>
      <c r="C20" s="86"/>
      <c r="D20" s="87"/>
      <c r="E20" s="88"/>
      <c r="F20" s="123"/>
      <c r="G20" s="123"/>
      <c r="H20" s="123"/>
      <c r="I20" s="123"/>
      <c r="J20" s="123"/>
      <c r="K20" s="123"/>
      <c r="L20" s="123"/>
      <c r="M20" s="123"/>
      <c r="N20" s="123"/>
      <c r="O20" s="123"/>
      <c r="P20" s="123"/>
      <c r="Q20" s="123"/>
      <c r="R20" s="123"/>
      <c r="S20" s="123"/>
      <c r="T20" s="144"/>
    </row>
    <row r="21" spans="1:20" ht="13.5" customHeight="1">
      <c r="A21" s="152"/>
      <c r="B21" s="89"/>
      <c r="C21" s="90"/>
      <c r="D21" s="91" t="s">
        <v>265</v>
      </c>
      <c r="E21" s="92"/>
      <c r="F21" s="120"/>
      <c r="G21" s="120" t="s">
        <v>86</v>
      </c>
      <c r="H21" s="120"/>
      <c r="I21" s="120"/>
      <c r="J21" s="120"/>
      <c r="K21" s="120"/>
      <c r="L21" s="120"/>
      <c r="M21" s="120"/>
      <c r="N21" s="120"/>
      <c r="O21" s="120"/>
      <c r="P21" s="120"/>
      <c r="Q21" s="120"/>
      <c r="R21" s="120"/>
      <c r="S21" s="120"/>
      <c r="T21" s="141"/>
    </row>
    <row r="22" spans="1:20" ht="13.5" customHeight="1">
      <c r="A22" s="152"/>
      <c r="B22" s="89"/>
      <c r="C22" s="124"/>
      <c r="D22" s="91" t="s">
        <v>266</v>
      </c>
      <c r="E22" s="93"/>
      <c r="F22" s="120"/>
      <c r="G22" s="120"/>
      <c r="H22" s="120" t="s">
        <v>86</v>
      </c>
      <c r="I22" s="120" t="s">
        <v>86</v>
      </c>
      <c r="J22" s="120" t="s">
        <v>86</v>
      </c>
      <c r="K22" s="120"/>
      <c r="L22" s="120"/>
      <c r="M22" s="120"/>
      <c r="N22" s="120"/>
      <c r="O22" s="120"/>
      <c r="P22" s="120"/>
      <c r="Q22" s="120"/>
      <c r="R22" s="120"/>
      <c r="S22" s="120"/>
      <c r="T22" s="141"/>
    </row>
    <row r="23" spans="1:20" ht="13.5" customHeight="1">
      <c r="A23" s="152"/>
      <c r="B23" s="89"/>
      <c r="C23" s="124"/>
      <c r="D23" s="91" t="s">
        <v>267</v>
      </c>
      <c r="E23" s="93"/>
      <c r="F23" s="120" t="s">
        <v>86</v>
      </c>
      <c r="G23" s="120"/>
      <c r="H23" s="120"/>
      <c r="I23" s="120"/>
      <c r="J23" s="120"/>
      <c r="K23" s="120"/>
      <c r="L23" s="120"/>
      <c r="M23" s="120"/>
      <c r="N23" s="120"/>
      <c r="O23" s="120"/>
      <c r="P23" s="120"/>
      <c r="Q23" s="120"/>
      <c r="R23" s="120"/>
      <c r="S23" s="120"/>
      <c r="T23" s="141"/>
    </row>
    <row r="24" spans="1:20" ht="13.5" customHeight="1" thickBot="1">
      <c r="A24" s="152"/>
      <c r="B24" s="133"/>
      <c r="C24" s="134"/>
      <c r="D24" s="135" t="s">
        <v>268</v>
      </c>
      <c r="E24" s="136"/>
      <c r="F24" s="137"/>
      <c r="G24" s="137"/>
      <c r="H24" s="137"/>
      <c r="I24" s="137"/>
      <c r="J24" s="137"/>
      <c r="K24" s="137" t="s">
        <v>86</v>
      </c>
      <c r="L24" s="137" t="s">
        <v>86</v>
      </c>
      <c r="M24" s="137" t="s">
        <v>86</v>
      </c>
      <c r="N24" s="137"/>
      <c r="O24" s="137"/>
      <c r="P24" s="137"/>
      <c r="Q24" s="137"/>
      <c r="R24" s="137"/>
      <c r="S24" s="137"/>
      <c r="T24" s="145"/>
    </row>
    <row r="25" spans="1:20" ht="13.5" customHeight="1" thickTop="1">
      <c r="A25" s="153" t="s">
        <v>48</v>
      </c>
      <c r="B25" s="206" t="s">
        <v>49</v>
      </c>
      <c r="C25" s="206"/>
      <c r="D25" s="206"/>
      <c r="E25" s="138"/>
      <c r="F25" s="139" t="s">
        <v>50</v>
      </c>
      <c r="G25" s="139" t="s">
        <v>50</v>
      </c>
      <c r="H25" s="139" t="s">
        <v>52</v>
      </c>
      <c r="I25" s="139" t="s">
        <v>52</v>
      </c>
      <c r="J25" s="139" t="s">
        <v>51</v>
      </c>
      <c r="K25" s="139" t="s">
        <v>52</v>
      </c>
      <c r="L25" s="139" t="s">
        <v>52</v>
      </c>
      <c r="M25" s="139" t="s">
        <v>52</v>
      </c>
      <c r="N25" s="139"/>
      <c r="O25" s="139"/>
      <c r="P25" s="139"/>
      <c r="Q25" s="139"/>
      <c r="R25" s="139"/>
      <c r="S25" s="139"/>
      <c r="T25" s="146"/>
    </row>
    <row r="26" spans="1:20" ht="13.5" customHeight="1">
      <c r="A26" s="152"/>
      <c r="B26" s="196" t="s">
        <v>53</v>
      </c>
      <c r="C26" s="196"/>
      <c r="D26" s="196"/>
      <c r="E26" s="94"/>
      <c r="F26" s="125" t="s">
        <v>54</v>
      </c>
      <c r="G26" s="125" t="s">
        <v>54</v>
      </c>
      <c r="H26" s="125" t="s">
        <v>54</v>
      </c>
      <c r="I26" s="125" t="s">
        <v>54</v>
      </c>
      <c r="J26" s="125" t="s">
        <v>54</v>
      </c>
      <c r="K26" s="125" t="s">
        <v>54</v>
      </c>
      <c r="L26" s="125" t="s">
        <v>54</v>
      </c>
      <c r="M26" s="125" t="s">
        <v>54</v>
      </c>
      <c r="N26" s="125"/>
      <c r="O26" s="125"/>
      <c r="P26" s="125"/>
      <c r="Q26" s="125"/>
      <c r="R26" s="125"/>
      <c r="S26" s="125"/>
      <c r="T26" s="147"/>
    </row>
    <row r="27" spans="1:20" ht="13.5" customHeight="1">
      <c r="A27" s="152"/>
      <c r="B27" s="204" t="s">
        <v>55</v>
      </c>
      <c r="C27" s="204"/>
      <c r="D27" s="204"/>
      <c r="E27" s="95"/>
      <c r="F27" s="96">
        <v>46244.708333333336</v>
      </c>
      <c r="G27" s="96">
        <v>46244.708333333336</v>
      </c>
      <c r="H27" s="96">
        <v>46244.708333333336</v>
      </c>
      <c r="I27" s="96">
        <v>46244.708333333336</v>
      </c>
      <c r="J27" s="96">
        <v>46244.708333333336</v>
      </c>
      <c r="K27" s="96">
        <v>46244.708333333336</v>
      </c>
      <c r="L27" s="96">
        <v>46244.708333333336</v>
      </c>
      <c r="M27" s="96">
        <v>46244.708333333336</v>
      </c>
      <c r="N27" s="96"/>
      <c r="O27" s="96"/>
      <c r="P27" s="96"/>
      <c r="Q27" s="96"/>
      <c r="R27" s="96"/>
      <c r="S27" s="96"/>
      <c r="T27" s="148"/>
    </row>
    <row r="28" spans="1:20" ht="10.5" thickBot="1">
      <c r="A28" s="158"/>
      <c r="B28" s="205" t="s">
        <v>56</v>
      </c>
      <c r="C28" s="205"/>
      <c r="D28" s="205"/>
      <c r="E28" s="149"/>
      <c r="F28" s="150"/>
      <c r="G28" s="150"/>
      <c r="H28" s="150"/>
      <c r="I28" s="150"/>
      <c r="J28" s="150"/>
      <c r="K28" s="150"/>
      <c r="L28" s="150"/>
      <c r="M28" s="150"/>
      <c r="N28" s="150"/>
      <c r="O28" s="150"/>
      <c r="P28" s="150"/>
      <c r="Q28" s="150"/>
      <c r="R28" s="150"/>
      <c r="S28" s="150"/>
      <c r="T28" s="151"/>
    </row>
    <row r="29" spans="1:20" ht="10.5" thickTop="1">
      <c r="A29" s="140"/>
    </row>
  </sheetData>
  <mergeCells count="24">
    <mergeCell ref="B26:D26"/>
    <mergeCell ref="B27:D27"/>
    <mergeCell ref="B28:D28"/>
    <mergeCell ref="A5:B5"/>
    <mergeCell ref="C5:E5"/>
    <mergeCell ref="F5:K5"/>
    <mergeCell ref="O5:T5"/>
    <mergeCell ref="D17:E17"/>
    <mergeCell ref="B25:D25"/>
    <mergeCell ref="A3:B3"/>
    <mergeCell ref="C3:T3"/>
    <mergeCell ref="A4:B4"/>
    <mergeCell ref="C4:E4"/>
    <mergeCell ref="F4:K4"/>
    <mergeCell ref="L4:N4"/>
    <mergeCell ref="O4:T4"/>
    <mergeCell ref="A1:B1"/>
    <mergeCell ref="C1:E1"/>
    <mergeCell ref="F1:K1"/>
    <mergeCell ref="L1:T1"/>
    <mergeCell ref="A2:B2"/>
    <mergeCell ref="C2:E2"/>
    <mergeCell ref="F2:K2"/>
    <mergeCell ref="L2:N2"/>
  </mergeCells>
  <dataValidations count="3">
    <dataValidation type="list" allowBlank="1" showInputMessage="1" showErrorMessage="1" sqref="F26:T26" xr:uid="{5CDC7372-EEA7-4341-8317-36239CA525A8}">
      <formula1>"P,F, "</formula1>
    </dataValidation>
    <dataValidation type="list" allowBlank="1" showInputMessage="1" showErrorMessage="1" sqref="F25:T25" xr:uid="{0F108B6D-5420-4694-8592-9E751A479991}">
      <formula1>"N,A,B, "</formula1>
    </dataValidation>
    <dataValidation type="list" allowBlank="1" showInputMessage="1" showErrorMessage="1" sqref="F8:T24" xr:uid="{E91F805B-324C-481D-98B2-7B5023F543E0}">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34B9-467A-4F63-9AAD-A39D7CAE2BAB}">
  <dimension ref="A1:W45"/>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20" width="2.81640625" style="69" customWidth="1"/>
    <col min="21" max="21" width="2.81640625" style="69" bestFit="1" customWidth="1"/>
    <col min="22" max="22" width="2.81640625" style="69" customWidth="1"/>
    <col min="23" max="16384" width="9" style="69"/>
  </cols>
  <sheetData>
    <row r="1" spans="1:23" ht="13.5" customHeight="1">
      <c r="A1" s="189" t="s">
        <v>110</v>
      </c>
      <c r="B1" s="190"/>
      <c r="C1" s="191" t="s">
        <v>206</v>
      </c>
      <c r="D1" s="192"/>
      <c r="E1" s="193"/>
      <c r="F1" s="194" t="s">
        <v>111</v>
      </c>
      <c r="G1" s="195"/>
      <c r="H1" s="195"/>
      <c r="I1" s="195"/>
      <c r="J1" s="195"/>
      <c r="K1" s="195"/>
      <c r="L1" s="220" t="s">
        <v>269</v>
      </c>
      <c r="M1" s="221"/>
      <c r="N1" s="221"/>
      <c r="O1" s="221"/>
      <c r="P1" s="221"/>
      <c r="Q1" s="221"/>
      <c r="R1" s="221"/>
      <c r="S1" s="221"/>
      <c r="T1" s="221"/>
      <c r="U1" s="222"/>
      <c r="W1" s="71"/>
    </row>
    <row r="2" spans="1:23"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6"/>
      <c r="U2" s="127"/>
    </row>
    <row r="3" spans="1:23" ht="13.5" customHeight="1">
      <c r="A3" s="202" t="s">
        <v>64</v>
      </c>
      <c r="B3" s="203"/>
      <c r="C3" s="213" t="s">
        <v>270</v>
      </c>
      <c r="D3" s="213"/>
      <c r="E3" s="213"/>
      <c r="F3" s="214"/>
      <c r="G3" s="214"/>
      <c r="H3" s="214"/>
      <c r="I3" s="214"/>
      <c r="J3" s="214"/>
      <c r="K3" s="214"/>
      <c r="L3" s="213"/>
      <c r="M3" s="213"/>
      <c r="N3" s="213"/>
      <c r="O3" s="213"/>
      <c r="P3" s="213"/>
      <c r="Q3" s="213"/>
      <c r="R3" s="213"/>
      <c r="S3" s="213"/>
      <c r="T3" s="213"/>
      <c r="U3" s="213"/>
    </row>
    <row r="4" spans="1:23"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5"/>
      <c r="U4" s="219"/>
      <c r="W4" s="71"/>
    </row>
    <row r="5" spans="1:23" ht="13.5" customHeight="1" thickBot="1">
      <c r="A5" s="201">
        <f>COUNTIF(F42:HR42,"P")</f>
        <v>16</v>
      </c>
      <c r="B5" s="200"/>
      <c r="C5" s="197">
        <f>COUNTIF(F42:HR42,"F")</f>
        <v>0</v>
      </c>
      <c r="D5" s="198"/>
      <c r="E5" s="200"/>
      <c r="F5" s="197">
        <f>SUM(O5,- A5,- C5)</f>
        <v>0</v>
      </c>
      <c r="G5" s="198"/>
      <c r="H5" s="198"/>
      <c r="I5" s="198"/>
      <c r="J5" s="198"/>
      <c r="K5" s="199"/>
      <c r="L5" s="128">
        <f>COUNTIF(E41:HR41,"N")</f>
        <v>4</v>
      </c>
      <c r="M5" s="128">
        <f>COUNTIF(E41:HR41,"A")</f>
        <v>12</v>
      </c>
      <c r="N5" s="128">
        <f>COUNTIF(E41:HR41,"B")</f>
        <v>0</v>
      </c>
      <c r="O5" s="216">
        <f>COUNTA(E7:HU7)</f>
        <v>16</v>
      </c>
      <c r="P5" s="198"/>
      <c r="Q5" s="198"/>
      <c r="R5" s="198"/>
      <c r="S5" s="198"/>
      <c r="T5" s="198"/>
      <c r="U5" s="217"/>
      <c r="V5" s="72"/>
    </row>
    <row r="6" spans="1:23" ht="10.5" thickBot="1"/>
    <row r="7" spans="1:23" ht="46.5" customHeight="1" thickTop="1" thickBot="1">
      <c r="A7" s="159"/>
      <c r="B7" s="160"/>
      <c r="C7" s="161"/>
      <c r="D7" s="162"/>
      <c r="E7" s="161"/>
      <c r="F7" s="163" t="s">
        <v>32</v>
      </c>
      <c r="G7" s="163" t="s">
        <v>33</v>
      </c>
      <c r="H7" s="163" t="s">
        <v>34</v>
      </c>
      <c r="I7" s="163" t="s">
        <v>35</v>
      </c>
      <c r="J7" s="163" t="s">
        <v>36</v>
      </c>
      <c r="K7" s="163" t="s">
        <v>37</v>
      </c>
      <c r="L7" s="163" t="s">
        <v>38</v>
      </c>
      <c r="M7" s="163" t="s">
        <v>39</v>
      </c>
      <c r="N7" s="163" t="s">
        <v>40</v>
      </c>
      <c r="O7" s="163" t="s">
        <v>41</v>
      </c>
      <c r="P7" s="163" t="s">
        <v>42</v>
      </c>
      <c r="Q7" s="163" t="s">
        <v>43</v>
      </c>
      <c r="R7" s="163" t="s">
        <v>44</v>
      </c>
      <c r="S7" s="163" t="s">
        <v>45</v>
      </c>
      <c r="T7" s="163" t="s">
        <v>46</v>
      </c>
      <c r="U7" s="164" t="s">
        <v>302</v>
      </c>
      <c r="V7" s="74"/>
      <c r="W7" s="71"/>
    </row>
    <row r="8" spans="1:23" ht="13.5" customHeight="1">
      <c r="A8" s="154" t="s">
        <v>66</v>
      </c>
      <c r="B8" s="155" t="s">
        <v>271</v>
      </c>
      <c r="C8" s="156"/>
      <c r="D8" s="157"/>
      <c r="E8" s="78"/>
      <c r="F8" s="123"/>
      <c r="G8" s="123"/>
      <c r="H8" s="123"/>
      <c r="I8" s="123"/>
      <c r="J8" s="123"/>
      <c r="K8" s="123"/>
      <c r="L8" s="123"/>
      <c r="M8" s="123"/>
      <c r="N8" s="123"/>
      <c r="O8" s="123"/>
      <c r="P8" s="123"/>
      <c r="Q8" s="123"/>
      <c r="R8" s="123"/>
      <c r="S8" s="123"/>
      <c r="T8" s="123"/>
      <c r="U8" s="144"/>
    </row>
    <row r="9" spans="1:23" ht="13.5" customHeight="1">
      <c r="A9" s="142"/>
      <c r="B9" s="75"/>
      <c r="C9" s="76"/>
      <c r="D9" s="77" t="s">
        <v>272</v>
      </c>
      <c r="E9" s="78"/>
      <c r="F9" s="120" t="s">
        <v>86</v>
      </c>
      <c r="G9" s="120"/>
      <c r="H9" s="120"/>
      <c r="I9" s="120"/>
      <c r="J9" s="120"/>
      <c r="K9" s="120"/>
      <c r="L9" s="120"/>
      <c r="M9" s="120"/>
      <c r="N9" s="120"/>
      <c r="O9" s="120"/>
      <c r="P9" s="120"/>
      <c r="Q9" s="120"/>
      <c r="R9" s="120"/>
      <c r="S9" s="120"/>
      <c r="T9" s="120"/>
      <c r="U9" s="141"/>
      <c r="W9" s="71"/>
    </row>
    <row r="10" spans="1:23" ht="13.5" customHeight="1">
      <c r="A10" s="142"/>
      <c r="B10" s="75"/>
      <c r="C10" s="76"/>
      <c r="D10" s="77" t="s">
        <v>273</v>
      </c>
      <c r="E10" s="78"/>
      <c r="F10" s="120"/>
      <c r="G10" s="120" t="s">
        <v>86</v>
      </c>
      <c r="H10" s="120"/>
      <c r="I10" s="120"/>
      <c r="J10" s="120"/>
      <c r="K10" s="120"/>
      <c r="L10" s="120"/>
      <c r="M10" s="120"/>
      <c r="N10" s="120"/>
      <c r="O10" s="120"/>
      <c r="P10" s="120"/>
      <c r="Q10" s="120"/>
      <c r="R10" s="120"/>
      <c r="S10" s="120"/>
      <c r="T10" s="120"/>
      <c r="U10" s="141"/>
    </row>
    <row r="11" spans="1:23" ht="13.5" customHeight="1">
      <c r="A11" s="142"/>
      <c r="B11" s="75"/>
      <c r="C11" s="76"/>
      <c r="D11" s="77" t="s">
        <v>274</v>
      </c>
      <c r="E11" s="79"/>
      <c r="F11" s="120"/>
      <c r="G11" s="120"/>
      <c r="H11" s="120" t="s">
        <v>86</v>
      </c>
      <c r="I11" s="120"/>
      <c r="J11" s="120"/>
      <c r="K11" s="120"/>
      <c r="L11" s="120"/>
      <c r="M11" s="120"/>
      <c r="N11" s="120"/>
      <c r="O11" s="120"/>
      <c r="P11" s="120"/>
      <c r="Q11" s="120"/>
      <c r="R11" s="120"/>
      <c r="S11" s="120"/>
      <c r="T11" s="120"/>
      <c r="U11" s="141"/>
    </row>
    <row r="12" spans="1:23" ht="13.5" customHeight="1">
      <c r="A12" s="142"/>
      <c r="B12" s="75"/>
      <c r="C12" s="76"/>
      <c r="D12" s="77" t="s">
        <v>275</v>
      </c>
      <c r="E12" s="80"/>
      <c r="F12" s="120"/>
      <c r="G12" s="120"/>
      <c r="H12" s="120"/>
      <c r="I12" s="120" t="s">
        <v>86</v>
      </c>
      <c r="J12" s="120"/>
      <c r="K12" s="120"/>
      <c r="L12" s="120"/>
      <c r="M12" s="120"/>
      <c r="N12" s="120"/>
      <c r="O12" s="120"/>
      <c r="P12" s="120"/>
      <c r="Q12" s="120"/>
      <c r="R12" s="120"/>
      <c r="S12" s="120"/>
      <c r="T12" s="120"/>
      <c r="U12" s="141"/>
    </row>
    <row r="13" spans="1:23" ht="13.5" customHeight="1">
      <c r="A13" s="142"/>
      <c r="B13" s="75"/>
      <c r="C13" s="76"/>
      <c r="D13" s="77" t="s">
        <v>276</v>
      </c>
      <c r="E13" s="80"/>
      <c r="F13" s="120"/>
      <c r="G13" s="120"/>
      <c r="H13" s="120"/>
      <c r="I13" s="120"/>
      <c r="J13" s="120" t="s">
        <v>86</v>
      </c>
      <c r="K13" s="120"/>
      <c r="L13" s="120"/>
      <c r="M13" s="120"/>
      <c r="N13" s="120"/>
      <c r="O13" s="120"/>
      <c r="P13" s="120"/>
      <c r="Q13" s="120"/>
      <c r="R13" s="120"/>
      <c r="S13" s="120"/>
      <c r="T13" s="120"/>
      <c r="U13" s="141"/>
    </row>
    <row r="14" spans="1:23" ht="13.5" customHeight="1">
      <c r="A14" s="142"/>
      <c r="B14" s="75"/>
      <c r="C14" s="76"/>
      <c r="D14" s="77" t="s">
        <v>277</v>
      </c>
      <c r="E14" s="80"/>
      <c r="F14" s="120"/>
      <c r="G14" s="120"/>
      <c r="H14" s="120"/>
      <c r="I14" s="120"/>
      <c r="J14" s="120"/>
      <c r="K14" s="120" t="s">
        <v>86</v>
      </c>
      <c r="L14" s="120"/>
      <c r="M14" s="120"/>
      <c r="N14" s="120"/>
      <c r="O14" s="120"/>
      <c r="P14" s="120"/>
      <c r="Q14" s="120"/>
      <c r="R14" s="120"/>
      <c r="S14" s="120"/>
      <c r="T14" s="120"/>
      <c r="U14" s="141"/>
    </row>
    <row r="15" spans="1:23" ht="13.5" customHeight="1">
      <c r="A15" s="142"/>
      <c r="B15" s="75"/>
      <c r="C15" s="76"/>
      <c r="D15" s="77" t="s">
        <v>278</v>
      </c>
      <c r="E15" s="80"/>
      <c r="F15" s="120"/>
      <c r="G15" s="120"/>
      <c r="H15" s="120"/>
      <c r="I15" s="120"/>
      <c r="J15" s="120"/>
      <c r="K15" s="120"/>
      <c r="L15" s="120" t="s">
        <v>86</v>
      </c>
      <c r="M15" s="120"/>
      <c r="N15" s="120"/>
      <c r="O15" s="120"/>
      <c r="P15" s="120"/>
      <c r="Q15" s="120"/>
      <c r="R15" s="120"/>
      <c r="S15" s="120"/>
      <c r="T15" s="120"/>
      <c r="U15" s="141"/>
      <c r="V15" s="121"/>
    </row>
    <row r="16" spans="1:23" ht="13.5" customHeight="1">
      <c r="A16" s="142"/>
      <c r="B16" s="75"/>
      <c r="C16" s="76"/>
      <c r="D16" s="77" t="s">
        <v>279</v>
      </c>
      <c r="E16" s="80"/>
      <c r="F16" s="120"/>
      <c r="G16" s="120"/>
      <c r="H16" s="120"/>
      <c r="I16" s="120"/>
      <c r="J16" s="120"/>
      <c r="K16" s="120"/>
      <c r="L16" s="120"/>
      <c r="M16" s="120" t="s">
        <v>86</v>
      </c>
      <c r="N16" s="120" t="s">
        <v>86</v>
      </c>
      <c r="O16" s="120"/>
      <c r="P16" s="120"/>
      <c r="Q16" s="120" t="s">
        <v>86</v>
      </c>
      <c r="R16" s="120" t="s">
        <v>86</v>
      </c>
      <c r="S16" s="120" t="s">
        <v>86</v>
      </c>
      <c r="T16" s="120"/>
      <c r="U16" s="141"/>
      <c r="V16" s="121"/>
    </row>
    <row r="17" spans="1:21" ht="13.5" customHeight="1">
      <c r="A17" s="142"/>
      <c r="B17" s="75"/>
      <c r="C17" s="76"/>
      <c r="D17" s="210" t="s">
        <v>280</v>
      </c>
      <c r="E17" s="210"/>
      <c r="F17" s="120"/>
      <c r="G17" s="120"/>
      <c r="H17" s="120"/>
      <c r="I17" s="120"/>
      <c r="J17" s="120"/>
      <c r="K17" s="120"/>
      <c r="L17" s="120"/>
      <c r="M17" s="120"/>
      <c r="N17" s="120"/>
      <c r="O17" s="120" t="s">
        <v>86</v>
      </c>
      <c r="P17" s="120"/>
      <c r="Q17" s="120"/>
      <c r="R17" s="120"/>
      <c r="S17" s="120"/>
      <c r="T17" s="120"/>
      <c r="U17" s="141"/>
    </row>
    <row r="18" spans="1:21" ht="13.5" customHeight="1">
      <c r="A18" s="142"/>
      <c r="B18" s="75"/>
      <c r="C18" s="76"/>
      <c r="D18" s="77" t="s">
        <v>281</v>
      </c>
      <c r="E18" s="80"/>
      <c r="F18" s="120"/>
      <c r="G18" s="120"/>
      <c r="H18" s="120"/>
      <c r="I18" s="120"/>
      <c r="J18" s="120"/>
      <c r="K18" s="120"/>
      <c r="L18" s="120"/>
      <c r="M18" s="120"/>
      <c r="N18" s="120"/>
      <c r="O18" s="120"/>
      <c r="P18" s="120" t="s">
        <v>86</v>
      </c>
      <c r="Q18" s="120"/>
      <c r="R18" s="120"/>
      <c r="S18" s="120"/>
      <c r="T18" s="120"/>
      <c r="U18" s="141"/>
    </row>
    <row r="19" spans="1:21" ht="13.5" customHeight="1">
      <c r="A19" s="142"/>
      <c r="B19" s="75"/>
      <c r="C19" s="76"/>
      <c r="D19" s="77" t="s">
        <v>282</v>
      </c>
      <c r="E19" s="80"/>
      <c r="F19" s="120"/>
      <c r="G19" s="120"/>
      <c r="H19" s="120"/>
      <c r="I19" s="120"/>
      <c r="J19" s="120"/>
      <c r="K19" s="120"/>
      <c r="L19" s="120"/>
      <c r="M19" s="120"/>
      <c r="N19" s="120"/>
      <c r="O19" s="120"/>
      <c r="P19" s="120"/>
      <c r="Q19" s="120"/>
      <c r="R19" s="120"/>
      <c r="S19" s="120"/>
      <c r="T19" s="120" t="s">
        <v>86</v>
      </c>
      <c r="U19" s="141"/>
    </row>
    <row r="20" spans="1:21" ht="13.5" customHeight="1">
      <c r="A20" s="142"/>
      <c r="B20" s="75" t="s">
        <v>283</v>
      </c>
      <c r="C20" s="76"/>
      <c r="D20" s="77"/>
      <c r="E20" s="80"/>
      <c r="F20" s="120"/>
      <c r="G20" s="120"/>
      <c r="H20" s="120"/>
      <c r="I20" s="120"/>
      <c r="J20" s="120"/>
      <c r="K20" s="120"/>
      <c r="L20" s="120"/>
      <c r="M20" s="120"/>
      <c r="N20" s="120"/>
      <c r="O20" s="120"/>
      <c r="P20" s="120"/>
      <c r="Q20" s="120"/>
      <c r="R20" s="120"/>
      <c r="S20" s="120"/>
      <c r="T20" s="120"/>
      <c r="U20" s="141"/>
    </row>
    <row r="21" spans="1:21" ht="13.5" customHeight="1">
      <c r="A21" s="142"/>
      <c r="B21" s="75"/>
      <c r="C21" s="76"/>
      <c r="D21" s="77" t="s">
        <v>284</v>
      </c>
      <c r="E21" s="80"/>
      <c r="F21" s="120"/>
      <c r="G21" s="120"/>
      <c r="H21" s="120" t="s">
        <v>86</v>
      </c>
      <c r="I21" s="120"/>
      <c r="J21" s="120"/>
      <c r="K21" s="120" t="s">
        <v>86</v>
      </c>
      <c r="L21" s="120" t="s">
        <v>86</v>
      </c>
      <c r="M21" s="120"/>
      <c r="N21" s="120" t="s">
        <v>86</v>
      </c>
      <c r="O21" s="120" t="s">
        <v>86</v>
      </c>
      <c r="P21" s="120" t="s">
        <v>86</v>
      </c>
      <c r="Q21" s="120" t="s">
        <v>86</v>
      </c>
      <c r="R21" s="120"/>
      <c r="S21" s="120"/>
      <c r="T21" s="120" t="s">
        <v>86</v>
      </c>
      <c r="U21" s="141"/>
    </row>
    <row r="22" spans="1:21" ht="13.5" customHeight="1">
      <c r="A22" s="142"/>
      <c r="B22" s="75"/>
      <c r="C22" s="76"/>
      <c r="D22" s="77" t="s">
        <v>285</v>
      </c>
      <c r="E22" s="80"/>
      <c r="F22" s="120"/>
      <c r="G22" s="120"/>
      <c r="H22" s="120"/>
      <c r="I22" s="120"/>
      <c r="J22" s="120"/>
      <c r="K22" s="120"/>
      <c r="L22" s="120"/>
      <c r="M22" s="120"/>
      <c r="N22" s="120"/>
      <c r="O22" s="120"/>
      <c r="P22" s="120"/>
      <c r="Q22" s="120"/>
      <c r="R22" s="120" t="s">
        <v>86</v>
      </c>
      <c r="S22" s="120"/>
      <c r="T22" s="120"/>
      <c r="U22" s="141"/>
    </row>
    <row r="23" spans="1:21" ht="13.5" customHeight="1">
      <c r="A23" s="142"/>
      <c r="B23" s="75"/>
      <c r="C23" s="76"/>
      <c r="D23" s="77" t="s">
        <v>286</v>
      </c>
      <c r="E23" s="80"/>
      <c r="F23" s="120"/>
      <c r="G23" s="120"/>
      <c r="H23" s="120"/>
      <c r="I23" s="120"/>
      <c r="J23" s="120"/>
      <c r="K23" s="120"/>
      <c r="L23" s="120"/>
      <c r="M23" s="120"/>
      <c r="N23" s="120"/>
      <c r="O23" s="120"/>
      <c r="P23" s="120"/>
      <c r="Q23" s="120"/>
      <c r="R23" s="120"/>
      <c r="S23" s="120" t="s">
        <v>86</v>
      </c>
      <c r="T23" s="120"/>
      <c r="U23" s="141"/>
    </row>
    <row r="24" spans="1:21" ht="13.5" customHeight="1">
      <c r="A24" s="142"/>
      <c r="B24" s="75"/>
      <c r="C24" s="76"/>
      <c r="D24" s="77" t="s">
        <v>287</v>
      </c>
      <c r="E24" s="80"/>
      <c r="F24" s="120"/>
      <c r="G24" s="120"/>
      <c r="H24" s="120"/>
      <c r="I24" s="120"/>
      <c r="J24" s="120"/>
      <c r="K24" s="120"/>
      <c r="L24" s="120"/>
      <c r="M24" s="120" t="s">
        <v>86</v>
      </c>
      <c r="N24" s="120"/>
      <c r="O24" s="120"/>
      <c r="P24" s="120"/>
      <c r="Q24" s="120"/>
      <c r="R24" s="120"/>
      <c r="S24" s="120"/>
      <c r="T24" s="120"/>
      <c r="U24" s="141"/>
    </row>
    <row r="25" spans="1:21" ht="13.5" customHeight="1">
      <c r="A25" s="142"/>
      <c r="B25" s="75" t="s">
        <v>288</v>
      </c>
      <c r="C25" s="76"/>
      <c r="D25" s="77"/>
      <c r="E25" s="80"/>
      <c r="F25" s="120"/>
      <c r="G25" s="120"/>
      <c r="H25" s="120"/>
      <c r="I25" s="120"/>
      <c r="J25" s="120"/>
      <c r="K25" s="120"/>
      <c r="L25" s="120"/>
      <c r="M25" s="120"/>
      <c r="N25" s="120"/>
      <c r="O25" s="120"/>
      <c r="P25" s="120"/>
      <c r="Q25" s="120"/>
      <c r="R25" s="120"/>
      <c r="S25" s="120"/>
      <c r="T25" s="120"/>
      <c r="U25" s="141"/>
    </row>
    <row r="26" spans="1:21" ht="13.5" customHeight="1">
      <c r="A26" s="142"/>
      <c r="B26" s="75"/>
      <c r="C26" s="76"/>
      <c r="D26" s="77" t="s">
        <v>289</v>
      </c>
      <c r="E26" s="80"/>
      <c r="F26" s="120"/>
      <c r="G26" s="120"/>
      <c r="H26" s="120" t="s">
        <v>86</v>
      </c>
      <c r="I26" s="120"/>
      <c r="J26" s="120"/>
      <c r="K26" s="120" t="s">
        <v>86</v>
      </c>
      <c r="L26" s="120" t="s">
        <v>86</v>
      </c>
      <c r="M26" s="120" t="s">
        <v>86</v>
      </c>
      <c r="N26" s="120"/>
      <c r="O26" s="120" t="s">
        <v>86</v>
      </c>
      <c r="P26" s="120" t="s">
        <v>86</v>
      </c>
      <c r="Q26" s="120" t="s">
        <v>86</v>
      </c>
      <c r="R26" s="120" t="s">
        <v>86</v>
      </c>
      <c r="S26" s="120" t="s">
        <v>86</v>
      </c>
      <c r="T26" s="120" t="s">
        <v>86</v>
      </c>
      <c r="U26" s="141"/>
    </row>
    <row r="27" spans="1:21" ht="13.5" customHeight="1" thickBot="1">
      <c r="A27" s="142"/>
      <c r="B27" s="81"/>
      <c r="C27" s="82"/>
      <c r="D27" s="83" t="s">
        <v>290</v>
      </c>
      <c r="E27" s="84"/>
      <c r="F27" s="122"/>
      <c r="G27" s="122"/>
      <c r="H27" s="122"/>
      <c r="I27" s="122"/>
      <c r="J27" s="122"/>
      <c r="K27" s="122"/>
      <c r="L27" s="122"/>
      <c r="M27" s="122"/>
      <c r="N27" s="122" t="s">
        <v>86</v>
      </c>
      <c r="O27" s="122"/>
      <c r="P27" s="122"/>
      <c r="Q27" s="122"/>
      <c r="R27" s="122"/>
      <c r="S27" s="122"/>
      <c r="T27" s="122"/>
      <c r="U27" s="143"/>
    </row>
    <row r="28" spans="1:21" ht="13.5" customHeight="1" thickTop="1">
      <c r="A28" s="153" t="s">
        <v>67</v>
      </c>
      <c r="B28" s="85" t="s">
        <v>48</v>
      </c>
      <c r="C28" s="86"/>
      <c r="D28" s="87"/>
      <c r="E28" s="88"/>
      <c r="F28" s="123"/>
      <c r="G28" s="123"/>
      <c r="H28" s="123"/>
      <c r="I28" s="123"/>
      <c r="J28" s="123"/>
      <c r="K28" s="123"/>
      <c r="L28" s="123"/>
      <c r="M28" s="123"/>
      <c r="N28" s="123"/>
      <c r="O28" s="123"/>
      <c r="P28" s="123"/>
      <c r="Q28" s="123"/>
      <c r="R28" s="123"/>
      <c r="S28" s="123"/>
      <c r="T28" s="123"/>
      <c r="U28" s="144"/>
    </row>
    <row r="29" spans="1:21" ht="13.5" customHeight="1">
      <c r="A29" s="152"/>
      <c r="B29" s="89"/>
      <c r="C29" s="90"/>
      <c r="D29" s="91" t="s">
        <v>291</v>
      </c>
      <c r="E29" s="92"/>
      <c r="F29" s="120"/>
      <c r="G29" s="120"/>
      <c r="H29" s="120"/>
      <c r="I29" s="120"/>
      <c r="J29" s="120"/>
      <c r="K29" s="120"/>
      <c r="L29" s="120"/>
      <c r="M29" s="120"/>
      <c r="N29" s="120"/>
      <c r="O29" s="120"/>
      <c r="P29" s="120"/>
      <c r="Q29" s="120" t="s">
        <v>86</v>
      </c>
      <c r="R29" s="120" t="s">
        <v>86</v>
      </c>
      <c r="S29" s="120" t="s">
        <v>86</v>
      </c>
      <c r="T29" s="120" t="s">
        <v>86</v>
      </c>
      <c r="U29" s="141"/>
    </row>
    <row r="30" spans="1:21" ht="13.5" customHeight="1">
      <c r="A30" s="152"/>
      <c r="B30" s="89"/>
      <c r="C30" s="124"/>
      <c r="D30" s="91" t="s">
        <v>292</v>
      </c>
      <c r="E30" s="93"/>
      <c r="F30" s="120" t="s">
        <v>86</v>
      </c>
      <c r="G30" s="120" t="s">
        <v>86</v>
      </c>
      <c r="H30" s="120"/>
      <c r="I30" s="120"/>
      <c r="J30" s="120"/>
      <c r="K30" s="120"/>
      <c r="L30" s="120"/>
      <c r="M30" s="120"/>
      <c r="N30" s="120"/>
      <c r="O30" s="120"/>
      <c r="P30" s="120"/>
      <c r="Q30" s="120"/>
      <c r="R30" s="120"/>
      <c r="S30" s="120"/>
      <c r="T30" s="120"/>
      <c r="U30" s="141"/>
    </row>
    <row r="31" spans="1:21" ht="13.5" customHeight="1">
      <c r="A31" s="152"/>
      <c r="B31" s="89"/>
      <c r="C31" s="124"/>
      <c r="D31" s="91" t="s">
        <v>293</v>
      </c>
      <c r="E31" s="93"/>
      <c r="F31" s="120"/>
      <c r="G31" s="120"/>
      <c r="H31" s="120" t="s">
        <v>86</v>
      </c>
      <c r="I31" s="120"/>
      <c r="J31" s="120"/>
      <c r="K31" s="120"/>
      <c r="L31" s="120"/>
      <c r="M31" s="120"/>
      <c r="N31" s="120"/>
      <c r="O31" s="120"/>
      <c r="P31" s="120"/>
      <c r="Q31" s="120"/>
      <c r="R31" s="120"/>
      <c r="S31" s="120"/>
      <c r="T31" s="120"/>
      <c r="U31" s="141"/>
    </row>
    <row r="32" spans="1:21" ht="13.5" customHeight="1">
      <c r="A32" s="152"/>
      <c r="B32" s="89"/>
      <c r="C32" s="124"/>
      <c r="D32" s="91" t="s">
        <v>294</v>
      </c>
      <c r="E32" s="93"/>
      <c r="F32" s="120"/>
      <c r="G32" s="120"/>
      <c r="H32" s="120"/>
      <c r="I32" s="120" t="s">
        <v>86</v>
      </c>
      <c r="J32" s="120"/>
      <c r="K32" s="120"/>
      <c r="L32" s="120"/>
      <c r="M32" s="120"/>
      <c r="N32" s="120"/>
      <c r="O32" s="120"/>
      <c r="P32" s="120"/>
      <c r="Q32" s="120"/>
      <c r="R32" s="120"/>
      <c r="S32" s="120"/>
      <c r="T32" s="120"/>
      <c r="U32" s="141"/>
    </row>
    <row r="33" spans="1:21" ht="13.5" customHeight="1">
      <c r="A33" s="152"/>
      <c r="B33" s="89"/>
      <c r="C33" s="124"/>
      <c r="D33" s="91" t="s">
        <v>295</v>
      </c>
      <c r="E33" s="93"/>
      <c r="F33" s="120"/>
      <c r="G33" s="120"/>
      <c r="H33" s="120"/>
      <c r="I33" s="120"/>
      <c r="J33" s="120" t="s">
        <v>86</v>
      </c>
      <c r="K33" s="120"/>
      <c r="L33" s="120"/>
      <c r="M33" s="120"/>
      <c r="N33" s="120"/>
      <c r="O33" s="120"/>
      <c r="P33" s="120"/>
      <c r="Q33" s="120"/>
      <c r="R33" s="120"/>
      <c r="S33" s="120"/>
      <c r="T33" s="120"/>
      <c r="U33" s="141"/>
    </row>
    <row r="34" spans="1:21" ht="13.5" customHeight="1">
      <c r="A34" s="152"/>
      <c r="B34" s="89"/>
      <c r="C34" s="124"/>
      <c r="D34" s="91" t="s">
        <v>296</v>
      </c>
      <c r="E34" s="93"/>
      <c r="F34" s="120"/>
      <c r="G34" s="120"/>
      <c r="H34" s="120"/>
      <c r="I34" s="120"/>
      <c r="J34" s="120"/>
      <c r="K34" s="120" t="s">
        <v>86</v>
      </c>
      <c r="L34" s="120"/>
      <c r="M34" s="120"/>
      <c r="N34" s="120"/>
      <c r="O34" s="120"/>
      <c r="P34" s="120"/>
      <c r="Q34" s="120"/>
      <c r="R34" s="120"/>
      <c r="S34" s="120"/>
      <c r="T34" s="120"/>
      <c r="U34" s="141"/>
    </row>
    <row r="35" spans="1:21" ht="13.5" customHeight="1">
      <c r="A35" s="152"/>
      <c r="B35" s="89"/>
      <c r="C35" s="124"/>
      <c r="D35" s="91" t="s">
        <v>297</v>
      </c>
      <c r="E35" s="93"/>
      <c r="F35" s="120"/>
      <c r="G35" s="120"/>
      <c r="H35" s="120"/>
      <c r="I35" s="120"/>
      <c r="J35" s="120"/>
      <c r="K35" s="120"/>
      <c r="L35" s="120" t="s">
        <v>86</v>
      </c>
      <c r="M35" s="120"/>
      <c r="N35" s="120"/>
      <c r="O35" s="120"/>
      <c r="P35" s="120"/>
      <c r="Q35" s="120"/>
      <c r="R35" s="120"/>
      <c r="S35" s="120"/>
      <c r="T35" s="120"/>
      <c r="U35" s="141"/>
    </row>
    <row r="36" spans="1:21" ht="13.5" customHeight="1">
      <c r="A36" s="152"/>
      <c r="B36" s="89"/>
      <c r="C36" s="124"/>
      <c r="D36" s="91" t="s">
        <v>298</v>
      </c>
      <c r="E36" s="93"/>
      <c r="F36" s="120"/>
      <c r="G36" s="120"/>
      <c r="H36" s="120"/>
      <c r="I36" s="120"/>
      <c r="J36" s="120"/>
      <c r="K36" s="120"/>
      <c r="L36" s="120"/>
      <c r="M36" s="120" t="s">
        <v>86</v>
      </c>
      <c r="N36" s="120" t="s">
        <v>86</v>
      </c>
      <c r="O36" s="120"/>
      <c r="P36" s="120"/>
      <c r="Q36" s="120"/>
      <c r="R36" s="120"/>
      <c r="S36" s="120"/>
      <c r="T36" s="120"/>
      <c r="U36" s="141"/>
    </row>
    <row r="37" spans="1:21" ht="13.5" customHeight="1">
      <c r="A37" s="152"/>
      <c r="B37" s="89"/>
      <c r="C37" s="124"/>
      <c r="D37" s="91" t="s">
        <v>299</v>
      </c>
      <c r="E37" s="93"/>
      <c r="F37" s="120"/>
      <c r="G37" s="120"/>
      <c r="H37" s="120"/>
      <c r="I37" s="120"/>
      <c r="J37" s="120"/>
      <c r="K37" s="120"/>
      <c r="L37" s="120"/>
      <c r="M37" s="120"/>
      <c r="N37" s="120"/>
      <c r="O37" s="120" t="s">
        <v>86</v>
      </c>
      <c r="P37" s="120"/>
      <c r="Q37" s="120"/>
      <c r="R37" s="120"/>
      <c r="S37" s="120"/>
      <c r="T37" s="120"/>
      <c r="U37" s="141"/>
    </row>
    <row r="38" spans="1:21" ht="13.5" customHeight="1">
      <c r="A38" s="152"/>
      <c r="B38" s="89"/>
      <c r="C38" s="124"/>
      <c r="D38" s="91" t="s">
        <v>300</v>
      </c>
      <c r="E38" s="93"/>
      <c r="F38" s="120"/>
      <c r="G38" s="120"/>
      <c r="H38" s="120"/>
      <c r="I38" s="120"/>
      <c r="J38" s="120"/>
      <c r="K38" s="120"/>
      <c r="L38" s="120"/>
      <c r="M38" s="120"/>
      <c r="N38" s="120"/>
      <c r="O38" s="120"/>
      <c r="P38" s="120" t="s">
        <v>86</v>
      </c>
      <c r="Q38" s="120"/>
      <c r="R38" s="120"/>
      <c r="S38" s="120"/>
      <c r="T38" s="120"/>
      <c r="U38" s="141"/>
    </row>
    <row r="39" spans="1:21" ht="13.5" customHeight="1">
      <c r="A39" s="152"/>
      <c r="B39" s="89" t="s">
        <v>69</v>
      </c>
      <c r="C39" s="124"/>
      <c r="D39" s="91"/>
      <c r="E39" s="93"/>
      <c r="F39" s="120"/>
      <c r="G39" s="120"/>
      <c r="H39" s="120"/>
      <c r="I39" s="120"/>
      <c r="J39" s="120"/>
      <c r="K39" s="120"/>
      <c r="L39" s="120"/>
      <c r="M39" s="120"/>
      <c r="N39" s="120"/>
      <c r="O39" s="120"/>
      <c r="P39" s="120"/>
      <c r="Q39" s="120"/>
      <c r="R39" s="120"/>
      <c r="S39" s="120"/>
      <c r="T39" s="120"/>
      <c r="U39" s="141"/>
    </row>
    <row r="40" spans="1:21" ht="13.5" customHeight="1" thickBot="1">
      <c r="A40" s="152"/>
      <c r="B40" s="133"/>
      <c r="C40" s="134"/>
      <c r="D40" s="135" t="s">
        <v>301</v>
      </c>
      <c r="E40" s="136"/>
      <c r="F40" s="137"/>
      <c r="G40" s="137"/>
      <c r="H40" s="137"/>
      <c r="I40" s="137"/>
      <c r="J40" s="137"/>
      <c r="K40" s="137"/>
      <c r="L40" s="137"/>
      <c r="M40" s="137"/>
      <c r="N40" s="137"/>
      <c r="O40" s="137"/>
      <c r="P40" s="137"/>
      <c r="Q40" s="137"/>
      <c r="R40" s="137"/>
      <c r="S40" s="137"/>
      <c r="T40" s="137"/>
      <c r="U40" s="145" t="s">
        <v>86</v>
      </c>
    </row>
    <row r="41" spans="1:21" ht="13.5" customHeight="1" thickTop="1">
      <c r="A41" s="153" t="s">
        <v>48</v>
      </c>
      <c r="B41" s="206" t="s">
        <v>49</v>
      </c>
      <c r="C41" s="206"/>
      <c r="D41" s="206"/>
      <c r="E41" s="138"/>
      <c r="F41" s="139" t="s">
        <v>52</v>
      </c>
      <c r="G41" s="139" t="s">
        <v>52</v>
      </c>
      <c r="H41" s="139" t="s">
        <v>52</v>
      </c>
      <c r="I41" s="139" t="s">
        <v>52</v>
      </c>
      <c r="J41" s="139" t="s">
        <v>52</v>
      </c>
      <c r="K41" s="139" t="s">
        <v>52</v>
      </c>
      <c r="L41" s="139" t="s">
        <v>52</v>
      </c>
      <c r="M41" s="139" t="s">
        <v>52</v>
      </c>
      <c r="N41" s="139" t="s">
        <v>52</v>
      </c>
      <c r="O41" s="139" t="s">
        <v>52</v>
      </c>
      <c r="P41" s="139" t="s">
        <v>52</v>
      </c>
      <c r="Q41" s="139" t="s">
        <v>50</v>
      </c>
      <c r="R41" s="139" t="s">
        <v>50</v>
      </c>
      <c r="S41" s="139" t="s">
        <v>50</v>
      </c>
      <c r="T41" s="139" t="s">
        <v>50</v>
      </c>
      <c r="U41" s="146" t="s">
        <v>52</v>
      </c>
    </row>
    <row r="42" spans="1:21" ht="13.5" customHeight="1">
      <c r="A42" s="152"/>
      <c r="B42" s="196" t="s">
        <v>53</v>
      </c>
      <c r="C42" s="196"/>
      <c r="D42" s="196"/>
      <c r="E42" s="94"/>
      <c r="F42" s="125" t="s">
        <v>54</v>
      </c>
      <c r="G42" s="125" t="s">
        <v>54</v>
      </c>
      <c r="H42" s="125" t="s">
        <v>54</v>
      </c>
      <c r="I42" s="125" t="s">
        <v>54</v>
      </c>
      <c r="J42" s="125" t="s">
        <v>54</v>
      </c>
      <c r="K42" s="125" t="s">
        <v>54</v>
      </c>
      <c r="L42" s="125" t="s">
        <v>54</v>
      </c>
      <c r="M42" s="125" t="s">
        <v>54</v>
      </c>
      <c r="N42" s="125" t="s">
        <v>54</v>
      </c>
      <c r="O42" s="125" t="s">
        <v>54</v>
      </c>
      <c r="P42" s="125" t="s">
        <v>54</v>
      </c>
      <c r="Q42" s="125" t="s">
        <v>54</v>
      </c>
      <c r="R42" s="125" t="s">
        <v>54</v>
      </c>
      <c r="S42" s="125" t="s">
        <v>54</v>
      </c>
      <c r="T42" s="125" t="s">
        <v>54</v>
      </c>
      <c r="U42" s="147" t="s">
        <v>54</v>
      </c>
    </row>
    <row r="43" spans="1:21" ht="13.5" customHeight="1">
      <c r="A43" s="152"/>
      <c r="B43" s="204" t="s">
        <v>55</v>
      </c>
      <c r="C43" s="204"/>
      <c r="D43" s="204"/>
      <c r="E43" s="95"/>
      <c r="F43" s="96">
        <v>46244.708333333336</v>
      </c>
      <c r="G43" s="96">
        <v>46244.708333333336</v>
      </c>
      <c r="H43" s="96">
        <v>46244.708333333336</v>
      </c>
      <c r="I43" s="96">
        <v>46244.708333333336</v>
      </c>
      <c r="J43" s="96">
        <v>46244.708333333336</v>
      </c>
      <c r="K43" s="96">
        <v>46244.708333333336</v>
      </c>
      <c r="L43" s="96">
        <v>46244.708333333336</v>
      </c>
      <c r="M43" s="96">
        <v>46244.708333333336</v>
      </c>
      <c r="N43" s="96">
        <v>46244.708333333336</v>
      </c>
      <c r="O43" s="96">
        <v>46244.708333333336</v>
      </c>
      <c r="P43" s="96">
        <v>46244.708333333336</v>
      </c>
      <c r="Q43" s="96">
        <v>46244.708333333336</v>
      </c>
      <c r="R43" s="96">
        <v>46244.708333333336</v>
      </c>
      <c r="S43" s="96">
        <v>46244.708333333336</v>
      </c>
      <c r="T43" s="96">
        <v>46244.708333333336</v>
      </c>
      <c r="U43" s="148">
        <v>46244.708333333336</v>
      </c>
    </row>
    <row r="44" spans="1:21" ht="10.5" thickBot="1">
      <c r="A44" s="158"/>
      <c r="B44" s="205" t="s">
        <v>56</v>
      </c>
      <c r="C44" s="205"/>
      <c r="D44" s="205"/>
      <c r="E44" s="149"/>
      <c r="F44" s="150"/>
      <c r="G44" s="150"/>
      <c r="H44" s="150"/>
      <c r="I44" s="150"/>
      <c r="J44" s="150"/>
      <c r="K44" s="150"/>
      <c r="L44" s="150"/>
      <c r="M44" s="150"/>
      <c r="N44" s="150"/>
      <c r="O44" s="150"/>
      <c r="P44" s="150"/>
      <c r="Q44" s="150"/>
      <c r="R44" s="150"/>
      <c r="S44" s="150"/>
      <c r="T44" s="150"/>
      <c r="U44" s="151"/>
    </row>
    <row r="45" spans="1:21" ht="10.5" thickTop="1">
      <c r="A45" s="140"/>
    </row>
  </sheetData>
  <mergeCells count="24">
    <mergeCell ref="B42:D42"/>
    <mergeCell ref="B43:D43"/>
    <mergeCell ref="B44:D44"/>
    <mergeCell ref="A5:B5"/>
    <mergeCell ref="C5:E5"/>
    <mergeCell ref="F5:K5"/>
    <mergeCell ref="O5:U5"/>
    <mergeCell ref="D17:E17"/>
    <mergeCell ref="B41:D41"/>
    <mergeCell ref="A3:B3"/>
    <mergeCell ref="C3:U3"/>
    <mergeCell ref="A4:B4"/>
    <mergeCell ref="C4:E4"/>
    <mergeCell ref="F4:K4"/>
    <mergeCell ref="L4:N4"/>
    <mergeCell ref="O4:U4"/>
    <mergeCell ref="A1:B1"/>
    <mergeCell ref="C1:E1"/>
    <mergeCell ref="F1:K1"/>
    <mergeCell ref="L1:U1"/>
    <mergeCell ref="A2:B2"/>
    <mergeCell ref="C2:E2"/>
    <mergeCell ref="F2:K2"/>
    <mergeCell ref="L2:N2"/>
  </mergeCells>
  <dataValidations count="3">
    <dataValidation type="list" allowBlank="1" showInputMessage="1" showErrorMessage="1" sqref="F42:U42" xr:uid="{F6534703-4BF0-43C8-B267-5E162EB2B7A8}">
      <formula1>"P,F, "</formula1>
    </dataValidation>
    <dataValidation type="list" allowBlank="1" showInputMessage="1" showErrorMessage="1" sqref="F41:U41" xr:uid="{01426830-EA7F-4701-B54C-E754551795F5}">
      <formula1>"N,A,B, "</formula1>
    </dataValidation>
    <dataValidation type="list" allowBlank="1" showInputMessage="1" showErrorMessage="1" sqref="F8:U40" xr:uid="{E7CCB0D2-FCDA-4741-A350-48447C0F612D}">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3BBF-21A9-4229-ABF4-EA8CBA674D20}">
  <dimension ref="A1:V45"/>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19" width="2.81640625" style="69" customWidth="1"/>
    <col min="20" max="20" width="2.81640625" style="69" bestFit="1" customWidth="1"/>
    <col min="21" max="21" width="2.81640625" style="69" customWidth="1"/>
    <col min="22" max="16384" width="9" style="69"/>
  </cols>
  <sheetData>
    <row r="1" spans="1:22" ht="13.5" customHeight="1">
      <c r="A1" s="189" t="s">
        <v>110</v>
      </c>
      <c r="B1" s="190"/>
      <c r="C1" s="191" t="s">
        <v>206</v>
      </c>
      <c r="D1" s="192"/>
      <c r="E1" s="193"/>
      <c r="F1" s="194" t="s">
        <v>111</v>
      </c>
      <c r="G1" s="195"/>
      <c r="H1" s="195"/>
      <c r="I1" s="195"/>
      <c r="J1" s="195"/>
      <c r="K1" s="195"/>
      <c r="L1" s="220" t="s">
        <v>303</v>
      </c>
      <c r="M1" s="221"/>
      <c r="N1" s="221"/>
      <c r="O1" s="221"/>
      <c r="P1" s="221"/>
      <c r="Q1" s="221"/>
      <c r="R1" s="221"/>
      <c r="S1" s="221"/>
      <c r="T1" s="222"/>
      <c r="V1" s="71"/>
    </row>
    <row r="2" spans="1:2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7"/>
    </row>
    <row r="3" spans="1:22" ht="13.5" customHeight="1">
      <c r="A3" s="202" t="s">
        <v>64</v>
      </c>
      <c r="B3" s="203"/>
      <c r="C3" s="213" t="s">
        <v>304</v>
      </c>
      <c r="D3" s="213"/>
      <c r="E3" s="213"/>
      <c r="F3" s="214"/>
      <c r="G3" s="214"/>
      <c r="H3" s="214"/>
      <c r="I3" s="214"/>
      <c r="J3" s="214"/>
      <c r="K3" s="214"/>
      <c r="L3" s="213"/>
      <c r="M3" s="213"/>
      <c r="N3" s="213"/>
      <c r="O3" s="213"/>
      <c r="P3" s="213"/>
      <c r="Q3" s="213"/>
      <c r="R3" s="213"/>
      <c r="S3" s="213"/>
      <c r="T3" s="213"/>
    </row>
    <row r="4" spans="1:2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9"/>
      <c r="V4" s="71"/>
    </row>
    <row r="5" spans="1:22" ht="13.5" customHeight="1" thickBot="1">
      <c r="A5" s="201">
        <f>COUNTIF(F42:HQ42,"P")</f>
        <v>14</v>
      </c>
      <c r="B5" s="200"/>
      <c r="C5" s="197">
        <f>COUNTIF(F42:HQ42,"F")</f>
        <v>0</v>
      </c>
      <c r="D5" s="198"/>
      <c r="E5" s="200"/>
      <c r="F5" s="197">
        <f>SUM(O5,- A5,- C5)</f>
        <v>0</v>
      </c>
      <c r="G5" s="198"/>
      <c r="H5" s="198"/>
      <c r="I5" s="198"/>
      <c r="J5" s="198"/>
      <c r="K5" s="199"/>
      <c r="L5" s="128">
        <f>COUNTIF(E41:HQ41,"N")</f>
        <v>5</v>
      </c>
      <c r="M5" s="128">
        <f>COUNTIF(E41:HQ41,"A")</f>
        <v>9</v>
      </c>
      <c r="N5" s="128">
        <f>COUNTIF(E41:HQ41,"B")</f>
        <v>0</v>
      </c>
      <c r="O5" s="216">
        <f>COUNTA(E7:HT7)</f>
        <v>14</v>
      </c>
      <c r="P5" s="198"/>
      <c r="Q5" s="198"/>
      <c r="R5" s="198"/>
      <c r="S5" s="198"/>
      <c r="T5" s="217"/>
      <c r="U5" s="72"/>
    </row>
    <row r="6" spans="1:22" ht="10.5" thickBot="1"/>
    <row r="7" spans="1:22" ht="46.5" customHeight="1" thickTop="1" thickBot="1">
      <c r="A7" s="159"/>
      <c r="B7" s="160"/>
      <c r="C7" s="161"/>
      <c r="D7" s="162"/>
      <c r="E7" s="161"/>
      <c r="F7" s="163" t="s">
        <v>32</v>
      </c>
      <c r="G7" s="163" t="s">
        <v>33</v>
      </c>
      <c r="H7" s="163" t="s">
        <v>34</v>
      </c>
      <c r="I7" s="163" t="s">
        <v>35</v>
      </c>
      <c r="J7" s="163" t="s">
        <v>36</v>
      </c>
      <c r="K7" s="163" t="s">
        <v>37</v>
      </c>
      <c r="L7" s="163" t="s">
        <v>38</v>
      </c>
      <c r="M7" s="163" t="s">
        <v>39</v>
      </c>
      <c r="N7" s="163" t="s">
        <v>40</v>
      </c>
      <c r="O7" s="163" t="s">
        <v>41</v>
      </c>
      <c r="P7" s="163" t="s">
        <v>42</v>
      </c>
      <c r="Q7" s="163" t="s">
        <v>43</v>
      </c>
      <c r="R7" s="163" t="s">
        <v>44</v>
      </c>
      <c r="S7" s="163" t="s">
        <v>45</v>
      </c>
      <c r="T7" s="164"/>
      <c r="U7" s="74"/>
      <c r="V7" s="71"/>
    </row>
    <row r="8" spans="1:22" ht="13.5" customHeight="1">
      <c r="A8" s="154" t="s">
        <v>66</v>
      </c>
      <c r="B8" s="155" t="s">
        <v>305</v>
      </c>
      <c r="C8" s="156"/>
      <c r="D8" s="157"/>
      <c r="E8" s="78"/>
      <c r="F8" s="123"/>
      <c r="G8" s="123"/>
      <c r="H8" s="123"/>
      <c r="I8" s="123"/>
      <c r="J8" s="123"/>
      <c r="K8" s="123"/>
      <c r="L8" s="123"/>
      <c r="M8" s="123"/>
      <c r="N8" s="123"/>
      <c r="O8" s="123"/>
      <c r="P8" s="123"/>
      <c r="Q8" s="123"/>
      <c r="R8" s="123"/>
      <c r="S8" s="123"/>
      <c r="T8" s="144"/>
    </row>
    <row r="9" spans="1:22" ht="13.5" customHeight="1">
      <c r="A9" s="142"/>
      <c r="B9" s="75"/>
      <c r="C9" s="76"/>
      <c r="D9" s="77" t="s">
        <v>306</v>
      </c>
      <c r="E9" s="78"/>
      <c r="F9" s="120" t="s">
        <v>86</v>
      </c>
      <c r="G9" s="120" t="s">
        <v>86</v>
      </c>
      <c r="H9" s="120" t="s">
        <v>86</v>
      </c>
      <c r="I9" s="120" t="s">
        <v>86</v>
      </c>
      <c r="J9" s="120"/>
      <c r="K9" s="120"/>
      <c r="L9" s="120"/>
      <c r="M9" s="120"/>
      <c r="N9" s="120"/>
      <c r="O9" s="120"/>
      <c r="P9" s="120"/>
      <c r="Q9" s="120"/>
      <c r="R9" s="120"/>
      <c r="S9" s="120"/>
      <c r="T9" s="141"/>
      <c r="V9" s="71"/>
    </row>
    <row r="10" spans="1:22" ht="13.5" customHeight="1">
      <c r="A10" s="142"/>
      <c r="B10" s="75"/>
      <c r="C10" s="76"/>
      <c r="D10" s="77" t="s">
        <v>307</v>
      </c>
      <c r="E10" s="78"/>
      <c r="F10" s="120"/>
      <c r="G10" s="120"/>
      <c r="H10" s="120"/>
      <c r="I10" s="120"/>
      <c r="J10" s="120" t="s">
        <v>86</v>
      </c>
      <c r="K10" s="120" t="s">
        <v>86</v>
      </c>
      <c r="L10" s="120" t="s">
        <v>86</v>
      </c>
      <c r="M10" s="120" t="s">
        <v>86</v>
      </c>
      <c r="N10" s="120"/>
      <c r="O10" s="120"/>
      <c r="P10" s="120"/>
      <c r="Q10" s="120"/>
      <c r="R10" s="120"/>
      <c r="S10" s="120"/>
      <c r="T10" s="141"/>
    </row>
    <row r="11" spans="1:22" ht="13.5" customHeight="1">
      <c r="A11" s="142"/>
      <c r="B11" s="75"/>
      <c r="C11" s="76"/>
      <c r="D11" s="77" t="s">
        <v>308</v>
      </c>
      <c r="E11" s="79"/>
      <c r="F11" s="120"/>
      <c r="G11" s="120"/>
      <c r="H11" s="120"/>
      <c r="I11" s="120"/>
      <c r="J11" s="120"/>
      <c r="K11" s="120"/>
      <c r="L11" s="120"/>
      <c r="M11" s="120"/>
      <c r="N11" s="120" t="s">
        <v>86</v>
      </c>
      <c r="O11" s="120" t="s">
        <v>86</v>
      </c>
      <c r="P11" s="120" t="s">
        <v>86</v>
      </c>
      <c r="Q11" s="120"/>
      <c r="R11" s="120"/>
      <c r="S11" s="120"/>
      <c r="T11" s="141"/>
    </row>
    <row r="12" spans="1:22" ht="13.5" customHeight="1">
      <c r="A12" s="142"/>
      <c r="B12" s="75"/>
      <c r="C12" s="76"/>
      <c r="D12" s="77" t="s">
        <v>309</v>
      </c>
      <c r="E12" s="80"/>
      <c r="F12" s="120"/>
      <c r="G12" s="120"/>
      <c r="H12" s="120"/>
      <c r="I12" s="120"/>
      <c r="J12" s="120"/>
      <c r="K12" s="120"/>
      <c r="L12" s="120"/>
      <c r="M12" s="120"/>
      <c r="N12" s="120"/>
      <c r="O12" s="120"/>
      <c r="P12" s="120"/>
      <c r="Q12" s="120" t="s">
        <v>86</v>
      </c>
      <c r="R12" s="120" t="s">
        <v>86</v>
      </c>
      <c r="S12" s="120" t="s">
        <v>86</v>
      </c>
      <c r="T12" s="141"/>
    </row>
    <row r="13" spans="1:22" ht="13.5" customHeight="1">
      <c r="A13" s="142"/>
      <c r="B13" s="75" t="s">
        <v>310</v>
      </c>
      <c r="C13" s="76"/>
      <c r="D13" s="77"/>
      <c r="E13" s="80"/>
      <c r="F13" s="120"/>
      <c r="G13" s="120"/>
      <c r="H13" s="120"/>
      <c r="I13" s="120"/>
      <c r="J13" s="120"/>
      <c r="K13" s="120"/>
      <c r="L13" s="120"/>
      <c r="M13" s="120"/>
      <c r="N13" s="120"/>
      <c r="O13" s="120"/>
      <c r="P13" s="120"/>
      <c r="Q13" s="120"/>
      <c r="R13" s="120"/>
      <c r="S13" s="120"/>
      <c r="T13" s="141"/>
    </row>
    <row r="14" spans="1:22" ht="13.5" customHeight="1">
      <c r="A14" s="142"/>
      <c r="B14" s="75"/>
      <c r="C14" s="76"/>
      <c r="D14" s="77" t="s">
        <v>311</v>
      </c>
      <c r="E14" s="80"/>
      <c r="F14" s="120" t="s">
        <v>86</v>
      </c>
      <c r="G14" s="120"/>
      <c r="H14" s="120"/>
      <c r="I14" s="120"/>
      <c r="J14" s="120" t="s">
        <v>86</v>
      </c>
      <c r="K14" s="120"/>
      <c r="L14" s="120" t="s">
        <v>86</v>
      </c>
      <c r="M14" s="120" t="s">
        <v>86</v>
      </c>
      <c r="N14" s="120"/>
      <c r="O14" s="120"/>
      <c r="P14" s="120"/>
      <c r="Q14" s="120"/>
      <c r="R14" s="120"/>
      <c r="S14" s="120"/>
      <c r="T14" s="141"/>
    </row>
    <row r="15" spans="1:22" ht="13.5" customHeight="1">
      <c r="A15" s="142"/>
      <c r="B15" s="75"/>
      <c r="C15" s="76"/>
      <c r="D15" s="77" t="s">
        <v>312</v>
      </c>
      <c r="E15" s="80"/>
      <c r="F15" s="120"/>
      <c r="G15" s="120" t="s">
        <v>86</v>
      </c>
      <c r="H15" s="120"/>
      <c r="I15" s="120"/>
      <c r="J15" s="120"/>
      <c r="K15" s="120"/>
      <c r="L15" s="120"/>
      <c r="M15" s="120"/>
      <c r="N15" s="120"/>
      <c r="O15" s="120"/>
      <c r="P15" s="120"/>
      <c r="Q15" s="120"/>
      <c r="R15" s="120"/>
      <c r="S15" s="120"/>
      <c r="T15" s="141"/>
      <c r="U15" s="121"/>
    </row>
    <row r="16" spans="1:22" ht="13.5" customHeight="1">
      <c r="A16" s="142"/>
      <c r="B16" s="75"/>
      <c r="C16" s="76"/>
      <c r="D16" s="77" t="s">
        <v>313</v>
      </c>
      <c r="E16" s="80"/>
      <c r="F16" s="120"/>
      <c r="G16" s="120"/>
      <c r="H16" s="120" t="s">
        <v>86</v>
      </c>
      <c r="I16" s="120" t="s">
        <v>86</v>
      </c>
      <c r="J16" s="120"/>
      <c r="K16" s="120" t="s">
        <v>86</v>
      </c>
      <c r="L16" s="120"/>
      <c r="M16" s="120"/>
      <c r="N16" s="120"/>
      <c r="O16" s="120"/>
      <c r="P16" s="120"/>
      <c r="Q16" s="120"/>
      <c r="R16" s="120"/>
      <c r="S16" s="120"/>
      <c r="T16" s="141"/>
      <c r="U16" s="121"/>
    </row>
    <row r="17" spans="1:20" ht="13.5" customHeight="1">
      <c r="A17" s="142"/>
      <c r="B17" s="75" t="s">
        <v>314</v>
      </c>
      <c r="C17" s="76"/>
      <c r="D17" s="210"/>
      <c r="E17" s="210"/>
      <c r="F17" s="120"/>
      <c r="G17" s="120"/>
      <c r="H17" s="120"/>
      <c r="I17" s="120"/>
      <c r="J17" s="120"/>
      <c r="K17" s="120"/>
      <c r="L17" s="120"/>
      <c r="M17" s="120"/>
      <c r="N17" s="120"/>
      <c r="O17" s="120"/>
      <c r="P17" s="120"/>
      <c r="Q17" s="120"/>
      <c r="R17" s="120"/>
      <c r="S17" s="120"/>
      <c r="T17" s="141"/>
    </row>
    <row r="18" spans="1:20" ht="13.5" customHeight="1">
      <c r="A18" s="142"/>
      <c r="B18" s="75"/>
      <c r="C18" s="76"/>
      <c r="D18" s="77" t="s">
        <v>315</v>
      </c>
      <c r="E18" s="80"/>
      <c r="F18" s="120" t="s">
        <v>86</v>
      </c>
      <c r="G18" s="120" t="s">
        <v>86</v>
      </c>
      <c r="H18" s="120" t="s">
        <v>86</v>
      </c>
      <c r="I18" s="120"/>
      <c r="J18" s="120" t="s">
        <v>86</v>
      </c>
      <c r="K18" s="120" t="s">
        <v>86</v>
      </c>
      <c r="L18" s="120" t="s">
        <v>86</v>
      </c>
      <c r="M18" s="120" t="s">
        <v>86</v>
      </c>
      <c r="N18" s="120"/>
      <c r="O18" s="120"/>
      <c r="P18" s="120"/>
      <c r="Q18" s="120"/>
      <c r="R18" s="120"/>
      <c r="S18" s="120"/>
      <c r="T18" s="141"/>
    </row>
    <row r="19" spans="1:20" ht="13.5" customHeight="1">
      <c r="A19" s="142"/>
      <c r="B19" s="75"/>
      <c r="C19" s="76"/>
      <c r="D19" s="77" t="s">
        <v>316</v>
      </c>
      <c r="E19" s="80"/>
      <c r="F19" s="120"/>
      <c r="G19" s="120"/>
      <c r="H19" s="120"/>
      <c r="I19" s="120"/>
      <c r="J19" s="120"/>
      <c r="K19" s="120"/>
      <c r="L19" s="120"/>
      <c r="M19" s="120"/>
      <c r="N19" s="120"/>
      <c r="O19" s="120"/>
      <c r="P19" s="120"/>
      <c r="Q19" s="120"/>
      <c r="R19" s="120"/>
      <c r="S19" s="120"/>
      <c r="T19" s="141"/>
    </row>
    <row r="20" spans="1:20" ht="13.5" customHeight="1">
      <c r="A20" s="142"/>
      <c r="B20" s="75"/>
      <c r="C20" s="76"/>
      <c r="D20" s="77" t="s">
        <v>317</v>
      </c>
      <c r="E20" s="80"/>
      <c r="F20" s="120"/>
      <c r="G20" s="120"/>
      <c r="H20" s="120"/>
      <c r="I20" s="120" t="s">
        <v>86</v>
      </c>
      <c r="J20" s="120"/>
      <c r="K20" s="120"/>
      <c r="L20" s="120"/>
      <c r="M20" s="120"/>
      <c r="N20" s="120"/>
      <c r="O20" s="120"/>
      <c r="P20" s="120"/>
      <c r="Q20" s="120"/>
      <c r="R20" s="120"/>
      <c r="S20" s="120"/>
      <c r="T20" s="141"/>
    </row>
    <row r="21" spans="1:20" ht="13.5" customHeight="1">
      <c r="A21" s="142"/>
      <c r="B21" s="75" t="s">
        <v>318</v>
      </c>
      <c r="C21" s="76"/>
      <c r="D21" s="77"/>
      <c r="E21" s="80"/>
      <c r="F21" s="120"/>
      <c r="G21" s="120"/>
      <c r="H21" s="120"/>
      <c r="I21" s="120"/>
      <c r="J21" s="120"/>
      <c r="K21" s="120"/>
      <c r="L21" s="120"/>
      <c r="M21" s="120"/>
      <c r="N21" s="120"/>
      <c r="O21" s="120"/>
      <c r="P21" s="120"/>
      <c r="Q21" s="120"/>
      <c r="R21" s="120"/>
      <c r="S21" s="120"/>
      <c r="T21" s="141"/>
    </row>
    <row r="22" spans="1:20" ht="13.5" customHeight="1">
      <c r="A22" s="142"/>
      <c r="B22" s="75"/>
      <c r="C22" s="76"/>
      <c r="D22" s="77" t="s">
        <v>319</v>
      </c>
      <c r="E22" s="80"/>
      <c r="F22" s="120" t="s">
        <v>86</v>
      </c>
      <c r="G22" s="120" t="s">
        <v>86</v>
      </c>
      <c r="H22" s="120" t="s">
        <v>86</v>
      </c>
      <c r="I22" s="120" t="s">
        <v>86</v>
      </c>
      <c r="J22" s="120" t="s">
        <v>86</v>
      </c>
      <c r="K22" s="120" t="s">
        <v>86</v>
      </c>
      <c r="L22" s="120"/>
      <c r="M22" s="120"/>
      <c r="N22" s="120"/>
      <c r="O22" s="120"/>
      <c r="P22" s="120"/>
      <c r="Q22" s="120"/>
      <c r="R22" s="120"/>
      <c r="S22" s="120" t="s">
        <v>86</v>
      </c>
      <c r="T22" s="141"/>
    </row>
    <row r="23" spans="1:20" ht="13.5" customHeight="1">
      <c r="A23" s="142"/>
      <c r="B23" s="75"/>
      <c r="C23" s="76"/>
      <c r="D23" s="77" t="s">
        <v>320</v>
      </c>
      <c r="E23" s="80"/>
      <c r="F23" s="120"/>
      <c r="G23" s="120"/>
      <c r="H23" s="120"/>
      <c r="I23" s="120"/>
      <c r="J23" s="120"/>
      <c r="K23" s="120"/>
      <c r="L23" s="120" t="s">
        <v>86</v>
      </c>
      <c r="M23" s="120"/>
      <c r="N23" s="120"/>
      <c r="O23" s="120"/>
      <c r="P23" s="120"/>
      <c r="Q23" s="120" t="s">
        <v>86</v>
      </c>
      <c r="R23" s="120" t="s">
        <v>86</v>
      </c>
      <c r="S23" s="120"/>
      <c r="T23" s="141"/>
    </row>
    <row r="24" spans="1:20" ht="13.5" customHeight="1">
      <c r="A24" s="142"/>
      <c r="B24" s="75"/>
      <c r="C24" s="76"/>
      <c r="D24" s="77" t="s">
        <v>321</v>
      </c>
      <c r="E24" s="80"/>
      <c r="F24" s="120"/>
      <c r="G24" s="120"/>
      <c r="H24" s="120"/>
      <c r="I24" s="120"/>
      <c r="J24" s="120"/>
      <c r="K24" s="120"/>
      <c r="L24" s="120"/>
      <c r="M24" s="120" t="s">
        <v>86</v>
      </c>
      <c r="N24" s="120"/>
      <c r="O24" s="120"/>
      <c r="P24" s="120"/>
      <c r="Q24" s="120"/>
      <c r="R24" s="120"/>
      <c r="S24" s="120"/>
      <c r="T24" s="141"/>
    </row>
    <row r="25" spans="1:20" ht="13.5" customHeight="1">
      <c r="A25" s="142"/>
      <c r="B25" s="75" t="s">
        <v>322</v>
      </c>
      <c r="C25" s="76"/>
      <c r="D25" s="77"/>
      <c r="E25" s="80"/>
      <c r="F25" s="120"/>
      <c r="G25" s="120"/>
      <c r="H25" s="120"/>
      <c r="I25" s="120"/>
      <c r="J25" s="120"/>
      <c r="K25" s="120"/>
      <c r="L25" s="120"/>
      <c r="M25" s="120"/>
      <c r="N25" s="120"/>
      <c r="O25" s="120"/>
      <c r="P25" s="120"/>
      <c r="Q25" s="120"/>
      <c r="R25" s="120"/>
      <c r="S25" s="120"/>
      <c r="T25" s="141"/>
    </row>
    <row r="26" spans="1:20" ht="13.5" customHeight="1">
      <c r="A26" s="142"/>
      <c r="B26" s="75"/>
      <c r="C26" s="76"/>
      <c r="D26" s="77" t="s">
        <v>323</v>
      </c>
      <c r="E26" s="80"/>
      <c r="F26" s="120"/>
      <c r="G26" s="120"/>
      <c r="H26" s="120"/>
      <c r="I26" s="120"/>
      <c r="J26" s="120"/>
      <c r="K26" s="120"/>
      <c r="L26" s="120"/>
      <c r="M26" s="120"/>
      <c r="N26" s="120" t="s">
        <v>86</v>
      </c>
      <c r="O26" s="120"/>
      <c r="P26" s="120"/>
      <c r="Q26" s="120"/>
      <c r="R26" s="120"/>
      <c r="S26" s="120"/>
      <c r="T26" s="141"/>
    </row>
    <row r="27" spans="1:20" ht="13.5" customHeight="1">
      <c r="A27" s="142"/>
      <c r="B27" s="75"/>
      <c r="C27" s="76"/>
      <c r="D27" s="77" t="s">
        <v>324</v>
      </c>
      <c r="E27" s="80"/>
      <c r="F27" s="120"/>
      <c r="G27" s="120"/>
      <c r="H27" s="120"/>
      <c r="I27" s="120"/>
      <c r="J27" s="120"/>
      <c r="K27" s="120"/>
      <c r="L27" s="120"/>
      <c r="M27" s="120"/>
      <c r="N27" s="120"/>
      <c r="O27" s="120" t="s">
        <v>86</v>
      </c>
      <c r="P27" s="120"/>
      <c r="Q27" s="120"/>
      <c r="R27" s="120"/>
      <c r="S27" s="120"/>
      <c r="T27" s="141"/>
    </row>
    <row r="28" spans="1:20" ht="13.5" customHeight="1">
      <c r="A28" s="142"/>
      <c r="B28" s="75"/>
      <c r="C28" s="76"/>
      <c r="D28" s="77" t="s">
        <v>325</v>
      </c>
      <c r="E28" s="80"/>
      <c r="F28" s="120"/>
      <c r="G28" s="120"/>
      <c r="H28" s="120"/>
      <c r="I28" s="120"/>
      <c r="J28" s="120"/>
      <c r="K28" s="120"/>
      <c r="L28" s="120"/>
      <c r="M28" s="120"/>
      <c r="N28" s="120"/>
      <c r="O28" s="120"/>
      <c r="P28" s="120" t="s">
        <v>86</v>
      </c>
      <c r="Q28" s="120"/>
      <c r="R28" s="120"/>
      <c r="S28" s="120"/>
      <c r="T28" s="141"/>
    </row>
    <row r="29" spans="1:20" ht="13.5" customHeight="1">
      <c r="A29" s="142"/>
      <c r="B29" s="75" t="s">
        <v>326</v>
      </c>
      <c r="C29" s="76"/>
      <c r="D29" s="77"/>
      <c r="E29" s="80"/>
      <c r="F29" s="120"/>
      <c r="G29" s="120"/>
      <c r="H29" s="120"/>
      <c r="I29" s="120"/>
      <c r="J29" s="120"/>
      <c r="K29" s="120"/>
      <c r="L29" s="120"/>
      <c r="M29" s="120"/>
      <c r="N29" s="120"/>
      <c r="O29" s="120"/>
      <c r="P29" s="120"/>
      <c r="Q29" s="120"/>
      <c r="R29" s="120"/>
      <c r="S29" s="120"/>
      <c r="T29" s="141"/>
    </row>
    <row r="30" spans="1:20" ht="13.5" customHeight="1">
      <c r="A30" s="142"/>
      <c r="B30" s="75"/>
      <c r="C30" s="76"/>
      <c r="D30" s="77" t="s">
        <v>47</v>
      </c>
      <c r="E30" s="80"/>
      <c r="F30" s="120"/>
      <c r="G30" s="120"/>
      <c r="H30" s="120"/>
      <c r="I30" s="120"/>
      <c r="J30" s="120"/>
      <c r="K30" s="120"/>
      <c r="L30" s="120"/>
      <c r="M30" s="120"/>
      <c r="N30" s="120" t="s">
        <v>86</v>
      </c>
      <c r="O30" s="120" t="s">
        <v>86</v>
      </c>
      <c r="P30" s="120"/>
      <c r="Q30" s="120"/>
      <c r="R30" s="120" t="s">
        <v>86</v>
      </c>
      <c r="S30" s="120"/>
      <c r="T30" s="141"/>
    </row>
    <row r="31" spans="1:20" ht="13.5" customHeight="1" thickBot="1">
      <c r="A31" s="142"/>
      <c r="B31" s="81"/>
      <c r="C31" s="82"/>
      <c r="D31" s="83" t="s">
        <v>327</v>
      </c>
      <c r="E31" s="84"/>
      <c r="F31" s="122"/>
      <c r="G31" s="122"/>
      <c r="H31" s="122"/>
      <c r="I31" s="122"/>
      <c r="J31" s="122"/>
      <c r="K31" s="122"/>
      <c r="L31" s="122"/>
      <c r="M31" s="122"/>
      <c r="N31" s="122"/>
      <c r="O31" s="122"/>
      <c r="P31" s="122" t="s">
        <v>86</v>
      </c>
      <c r="Q31" s="122" t="s">
        <v>86</v>
      </c>
      <c r="R31" s="122"/>
      <c r="S31" s="122" t="s">
        <v>86</v>
      </c>
      <c r="T31" s="143"/>
    </row>
    <row r="32" spans="1:20" ht="13.5" customHeight="1" thickTop="1">
      <c r="A32" s="153" t="s">
        <v>67</v>
      </c>
      <c r="B32" s="85" t="s">
        <v>153</v>
      </c>
      <c r="C32" s="86"/>
      <c r="D32" s="87"/>
      <c r="E32" s="88"/>
      <c r="F32" s="123"/>
      <c r="G32" s="123"/>
      <c r="H32" s="123"/>
      <c r="I32" s="123"/>
      <c r="J32" s="123"/>
      <c r="K32" s="123"/>
      <c r="L32" s="123"/>
      <c r="M32" s="123"/>
      <c r="N32" s="123"/>
      <c r="O32" s="123"/>
      <c r="P32" s="123"/>
      <c r="Q32" s="123"/>
      <c r="R32" s="123"/>
      <c r="S32" s="123"/>
      <c r="T32" s="144"/>
    </row>
    <row r="33" spans="1:20" ht="13.5" customHeight="1">
      <c r="A33" s="152"/>
      <c r="B33" s="89"/>
      <c r="C33" s="90"/>
      <c r="D33" s="91" t="s">
        <v>328</v>
      </c>
      <c r="E33" s="92"/>
      <c r="F33" s="120" t="s">
        <v>86</v>
      </c>
      <c r="G33" s="120" t="s">
        <v>86</v>
      </c>
      <c r="H33" s="120"/>
      <c r="I33" s="120"/>
      <c r="J33" s="120" t="s">
        <v>86</v>
      </c>
      <c r="K33" s="120"/>
      <c r="L33" s="120"/>
      <c r="M33" s="120"/>
      <c r="N33" s="120"/>
      <c r="O33" s="120"/>
      <c r="P33" s="120"/>
      <c r="Q33" s="120"/>
      <c r="R33" s="120"/>
      <c r="S33" s="120"/>
      <c r="T33" s="141"/>
    </row>
    <row r="34" spans="1:20" ht="13.5" customHeight="1">
      <c r="A34" s="152"/>
      <c r="B34" s="89"/>
      <c r="C34" s="124"/>
      <c r="D34" s="91" t="s">
        <v>329</v>
      </c>
      <c r="E34" s="93"/>
      <c r="F34" s="120"/>
      <c r="G34" s="120"/>
      <c r="H34" s="120" t="s">
        <v>86</v>
      </c>
      <c r="I34" s="120" t="s">
        <v>86</v>
      </c>
      <c r="J34" s="120"/>
      <c r="K34" s="120"/>
      <c r="L34" s="120"/>
      <c r="M34" s="120"/>
      <c r="N34" s="120"/>
      <c r="O34" s="120"/>
      <c r="P34" s="120"/>
      <c r="Q34" s="120"/>
      <c r="R34" s="120"/>
      <c r="S34" s="120"/>
      <c r="T34" s="141"/>
    </row>
    <row r="35" spans="1:20" ht="13.5" customHeight="1">
      <c r="A35" s="152"/>
      <c r="B35" s="89"/>
      <c r="C35" s="124"/>
      <c r="D35" s="91" t="s">
        <v>330</v>
      </c>
      <c r="E35" s="93"/>
      <c r="F35" s="120"/>
      <c r="G35" s="120"/>
      <c r="H35" s="120"/>
      <c r="I35" s="120"/>
      <c r="J35" s="120"/>
      <c r="K35" s="120" t="s">
        <v>86</v>
      </c>
      <c r="L35" s="120"/>
      <c r="M35" s="120" t="s">
        <v>86</v>
      </c>
      <c r="N35" s="120"/>
      <c r="O35" s="120"/>
      <c r="P35" s="120"/>
      <c r="Q35" s="120"/>
      <c r="R35" s="120"/>
      <c r="S35" s="120"/>
      <c r="T35" s="141"/>
    </row>
    <row r="36" spans="1:20" ht="13.5" customHeight="1">
      <c r="A36" s="152"/>
      <c r="B36" s="89"/>
      <c r="C36" s="124"/>
      <c r="D36" s="91" t="s">
        <v>331</v>
      </c>
      <c r="E36" s="93"/>
      <c r="F36" s="120"/>
      <c r="G36" s="120"/>
      <c r="H36" s="120"/>
      <c r="I36" s="120"/>
      <c r="J36" s="120"/>
      <c r="K36" s="120"/>
      <c r="L36" s="120" t="s">
        <v>86</v>
      </c>
      <c r="M36" s="120"/>
      <c r="N36" s="120"/>
      <c r="O36" s="120"/>
      <c r="P36" s="120"/>
      <c r="Q36" s="120"/>
      <c r="R36" s="120"/>
      <c r="S36" s="120"/>
      <c r="T36" s="141"/>
    </row>
    <row r="37" spans="1:20" ht="13.5" customHeight="1">
      <c r="A37" s="152"/>
      <c r="B37" s="89"/>
      <c r="C37" s="124"/>
      <c r="D37" s="91" t="s">
        <v>332</v>
      </c>
      <c r="E37" s="93"/>
      <c r="F37" s="120"/>
      <c r="G37" s="120"/>
      <c r="H37" s="120"/>
      <c r="I37" s="120"/>
      <c r="J37" s="120"/>
      <c r="K37" s="120"/>
      <c r="L37" s="120"/>
      <c r="M37" s="120"/>
      <c r="N37" s="120"/>
      <c r="O37" s="120" t="s">
        <v>86</v>
      </c>
      <c r="P37" s="120" t="s">
        <v>86</v>
      </c>
      <c r="Q37" s="120"/>
      <c r="R37" s="120"/>
      <c r="S37" s="120"/>
      <c r="T37" s="141"/>
    </row>
    <row r="38" spans="1:20" ht="13.5" customHeight="1">
      <c r="A38" s="152"/>
      <c r="B38" s="89"/>
      <c r="C38" s="124"/>
      <c r="D38" s="91" t="s">
        <v>333</v>
      </c>
      <c r="E38" s="93"/>
      <c r="F38" s="120"/>
      <c r="G38" s="120"/>
      <c r="H38" s="120"/>
      <c r="I38" s="120"/>
      <c r="J38" s="120"/>
      <c r="K38" s="120"/>
      <c r="L38" s="120"/>
      <c r="M38" s="120"/>
      <c r="N38" s="120" t="s">
        <v>86</v>
      </c>
      <c r="O38" s="120"/>
      <c r="P38" s="120"/>
      <c r="Q38" s="120"/>
      <c r="R38" s="120"/>
      <c r="S38" s="120"/>
      <c r="T38" s="141"/>
    </row>
    <row r="39" spans="1:20" ht="13.5" customHeight="1">
      <c r="A39" s="152"/>
      <c r="B39" s="89"/>
      <c r="C39" s="124"/>
      <c r="D39" s="91" t="s">
        <v>334</v>
      </c>
      <c r="E39" s="93"/>
      <c r="F39" s="120"/>
      <c r="G39" s="120"/>
      <c r="H39" s="120"/>
      <c r="I39" s="120"/>
      <c r="J39" s="120"/>
      <c r="K39" s="120"/>
      <c r="L39" s="120"/>
      <c r="M39" s="120"/>
      <c r="N39" s="120"/>
      <c r="O39" s="120"/>
      <c r="P39" s="120"/>
      <c r="Q39" s="120" t="s">
        <v>86</v>
      </c>
      <c r="R39" s="120"/>
      <c r="S39" s="120"/>
      <c r="T39" s="141"/>
    </row>
    <row r="40" spans="1:20" ht="13.5" customHeight="1" thickBot="1">
      <c r="A40" s="152"/>
      <c r="B40" s="133"/>
      <c r="C40" s="134"/>
      <c r="D40" s="135" t="s">
        <v>335</v>
      </c>
      <c r="E40" s="136"/>
      <c r="F40" s="137"/>
      <c r="G40" s="137"/>
      <c r="H40" s="137"/>
      <c r="I40" s="137"/>
      <c r="J40" s="137"/>
      <c r="K40" s="137"/>
      <c r="L40" s="137"/>
      <c r="M40" s="137"/>
      <c r="N40" s="137"/>
      <c r="O40" s="137"/>
      <c r="P40" s="137"/>
      <c r="Q40" s="137"/>
      <c r="R40" s="137" t="s">
        <v>86</v>
      </c>
      <c r="S40" s="137" t="s">
        <v>86</v>
      </c>
      <c r="T40" s="145"/>
    </row>
    <row r="41" spans="1:20" ht="13.5" customHeight="1" thickTop="1">
      <c r="A41" s="153" t="s">
        <v>48</v>
      </c>
      <c r="B41" s="206" t="s">
        <v>49</v>
      </c>
      <c r="C41" s="206"/>
      <c r="D41" s="206"/>
      <c r="E41" s="138"/>
      <c r="F41" s="139" t="s">
        <v>50</v>
      </c>
      <c r="G41" s="139" t="s">
        <v>52</v>
      </c>
      <c r="H41" s="139" t="s">
        <v>52</v>
      </c>
      <c r="I41" s="139" t="s">
        <v>52</v>
      </c>
      <c r="J41" s="139" t="s">
        <v>50</v>
      </c>
      <c r="K41" s="139" t="s">
        <v>52</v>
      </c>
      <c r="L41" s="139" t="s">
        <v>50</v>
      </c>
      <c r="M41" s="139" t="s">
        <v>52</v>
      </c>
      <c r="N41" s="139" t="s">
        <v>52</v>
      </c>
      <c r="O41" s="139" t="s">
        <v>52</v>
      </c>
      <c r="P41" s="139" t="s">
        <v>50</v>
      </c>
      <c r="Q41" s="139" t="s">
        <v>50</v>
      </c>
      <c r="R41" s="139" t="s">
        <v>52</v>
      </c>
      <c r="S41" s="139" t="s">
        <v>52</v>
      </c>
      <c r="T41" s="146"/>
    </row>
    <row r="42" spans="1:20" ht="13.5" customHeight="1">
      <c r="A42" s="152"/>
      <c r="B42" s="196" t="s">
        <v>53</v>
      </c>
      <c r="C42" s="196"/>
      <c r="D42" s="196"/>
      <c r="E42" s="94"/>
      <c r="F42" s="125" t="s">
        <v>54</v>
      </c>
      <c r="G42" s="125" t="s">
        <v>54</v>
      </c>
      <c r="H42" s="125" t="s">
        <v>54</v>
      </c>
      <c r="I42" s="125" t="s">
        <v>54</v>
      </c>
      <c r="J42" s="125" t="s">
        <v>54</v>
      </c>
      <c r="K42" s="125" t="s">
        <v>54</v>
      </c>
      <c r="L42" s="125" t="s">
        <v>54</v>
      </c>
      <c r="M42" s="125" t="s">
        <v>54</v>
      </c>
      <c r="N42" s="125" t="s">
        <v>54</v>
      </c>
      <c r="O42" s="125" t="s">
        <v>54</v>
      </c>
      <c r="P42" s="125" t="s">
        <v>54</v>
      </c>
      <c r="Q42" s="125" t="s">
        <v>54</v>
      </c>
      <c r="R42" s="125" t="s">
        <v>54</v>
      </c>
      <c r="S42" s="125" t="s">
        <v>54</v>
      </c>
      <c r="T42" s="147"/>
    </row>
    <row r="43" spans="1:20" ht="13.5" customHeight="1">
      <c r="A43" s="152"/>
      <c r="B43" s="204" t="s">
        <v>55</v>
      </c>
      <c r="C43" s="204"/>
      <c r="D43" s="204"/>
      <c r="E43" s="95"/>
      <c r="F43" s="96">
        <v>46244.708333333336</v>
      </c>
      <c r="G43" s="96">
        <v>46244.708333333336</v>
      </c>
      <c r="H43" s="96">
        <v>46244.708333333336</v>
      </c>
      <c r="I43" s="96">
        <v>46244.708333333336</v>
      </c>
      <c r="J43" s="96">
        <v>46244.708333333336</v>
      </c>
      <c r="K43" s="96">
        <v>46244.708333333336</v>
      </c>
      <c r="L43" s="96">
        <v>46244.708333333336</v>
      </c>
      <c r="M43" s="96">
        <v>46244.708333333336</v>
      </c>
      <c r="N43" s="96">
        <v>46244.708333333336</v>
      </c>
      <c r="O43" s="96">
        <v>46244.708333333336</v>
      </c>
      <c r="P43" s="96">
        <v>46244.708333333336</v>
      </c>
      <c r="Q43" s="96">
        <v>46244.708333333336</v>
      </c>
      <c r="R43" s="96">
        <v>46244.708333333336</v>
      </c>
      <c r="S43" s="96">
        <v>46244.708333333336</v>
      </c>
      <c r="T43" s="148"/>
    </row>
    <row r="44" spans="1:20" ht="10.5" thickBot="1">
      <c r="A44" s="158"/>
      <c r="B44" s="205" t="s">
        <v>56</v>
      </c>
      <c r="C44" s="205"/>
      <c r="D44" s="205"/>
      <c r="E44" s="149"/>
      <c r="F44" s="150"/>
      <c r="G44" s="150"/>
      <c r="H44" s="150"/>
      <c r="I44" s="150"/>
      <c r="J44" s="150"/>
      <c r="K44" s="150"/>
      <c r="L44" s="150"/>
      <c r="M44" s="150"/>
      <c r="N44" s="150"/>
      <c r="O44" s="150"/>
      <c r="P44" s="150"/>
      <c r="Q44" s="150"/>
      <c r="R44" s="150"/>
      <c r="S44" s="150"/>
      <c r="T44" s="151"/>
    </row>
    <row r="45" spans="1:20" ht="10.5" thickTop="1">
      <c r="A45" s="140"/>
    </row>
  </sheetData>
  <mergeCells count="24">
    <mergeCell ref="B42:D42"/>
    <mergeCell ref="B43:D43"/>
    <mergeCell ref="B44:D44"/>
    <mergeCell ref="A5:B5"/>
    <mergeCell ref="C5:E5"/>
    <mergeCell ref="F5:K5"/>
    <mergeCell ref="O5:T5"/>
    <mergeCell ref="D17:E17"/>
    <mergeCell ref="B41:D41"/>
    <mergeCell ref="A3:B3"/>
    <mergeCell ref="C3:T3"/>
    <mergeCell ref="A4:B4"/>
    <mergeCell ref="C4:E4"/>
    <mergeCell ref="F4:K4"/>
    <mergeCell ref="L4:N4"/>
    <mergeCell ref="O4:T4"/>
    <mergeCell ref="A1:B1"/>
    <mergeCell ref="C1:E1"/>
    <mergeCell ref="F1:K1"/>
    <mergeCell ref="L1:T1"/>
    <mergeCell ref="A2:B2"/>
    <mergeCell ref="C2:E2"/>
    <mergeCell ref="F2:K2"/>
    <mergeCell ref="L2:N2"/>
  </mergeCells>
  <dataValidations count="3">
    <dataValidation type="list" allowBlank="1" showInputMessage="1" showErrorMessage="1" sqref="F8:T40" xr:uid="{262CE846-3E72-4DBE-9DA3-6067AAF96898}">
      <formula1>"O, "</formula1>
    </dataValidation>
    <dataValidation type="list" allowBlank="1" showInputMessage="1" showErrorMessage="1" sqref="F42:T42" xr:uid="{1C15E736-BBB2-47C4-A87D-B1E6AB148C12}">
      <formula1>"P,F, "</formula1>
    </dataValidation>
    <dataValidation type="list" allowBlank="1" showInputMessage="1" showErrorMessage="1" sqref="F41:T41" xr:uid="{C346C299-D6D8-41AF-8BE0-AD3B9563D5B6}">
      <formula1>"N,A,B,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7A1F-A7F5-4138-A593-C4CF48851E2E}">
  <dimension ref="A1:AB44"/>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25" width="2.81640625" style="69" customWidth="1"/>
    <col min="26" max="26" width="2.81640625" style="69" bestFit="1" customWidth="1"/>
    <col min="27" max="27" width="2.81640625" style="69" customWidth="1"/>
    <col min="28" max="16384" width="9" style="69"/>
  </cols>
  <sheetData>
    <row r="1" spans="1:28" ht="13.5" customHeight="1">
      <c r="A1" s="189" t="s">
        <v>110</v>
      </c>
      <c r="B1" s="190"/>
      <c r="C1" s="191" t="s">
        <v>336</v>
      </c>
      <c r="D1" s="192"/>
      <c r="E1" s="193"/>
      <c r="F1" s="194" t="s">
        <v>111</v>
      </c>
      <c r="G1" s="195"/>
      <c r="H1" s="195"/>
      <c r="I1" s="195"/>
      <c r="J1" s="195"/>
      <c r="K1" s="195"/>
      <c r="L1" s="220" t="s">
        <v>337</v>
      </c>
      <c r="M1" s="221"/>
      <c r="N1" s="221"/>
      <c r="O1" s="221"/>
      <c r="P1" s="221"/>
      <c r="Q1" s="221"/>
      <c r="R1" s="221"/>
      <c r="S1" s="221"/>
      <c r="T1" s="221"/>
      <c r="U1" s="221"/>
      <c r="V1" s="221"/>
      <c r="W1" s="221"/>
      <c r="X1" s="221"/>
      <c r="Y1" s="221"/>
      <c r="Z1" s="222"/>
      <c r="AB1" s="71"/>
    </row>
    <row r="2" spans="1:28"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6"/>
      <c r="U2" s="126"/>
      <c r="V2" s="126"/>
      <c r="W2" s="126"/>
      <c r="X2" s="126"/>
      <c r="Y2" s="126"/>
      <c r="Z2" s="127"/>
    </row>
    <row r="3" spans="1:28" ht="13.5" customHeight="1">
      <c r="A3" s="202" t="s">
        <v>64</v>
      </c>
      <c r="B3" s="203"/>
      <c r="C3" s="213" t="s">
        <v>338</v>
      </c>
      <c r="D3" s="213"/>
      <c r="E3" s="213"/>
      <c r="F3" s="214"/>
      <c r="G3" s="214"/>
      <c r="H3" s="214"/>
      <c r="I3" s="214"/>
      <c r="J3" s="214"/>
      <c r="K3" s="214"/>
      <c r="L3" s="213"/>
      <c r="M3" s="213"/>
      <c r="N3" s="213"/>
      <c r="O3" s="213"/>
      <c r="P3" s="213"/>
      <c r="Q3" s="213"/>
      <c r="R3" s="213"/>
      <c r="S3" s="213"/>
      <c r="T3" s="213"/>
      <c r="U3" s="213"/>
      <c r="V3" s="213"/>
      <c r="W3" s="213"/>
      <c r="X3" s="213"/>
      <c r="Y3" s="213"/>
      <c r="Z3" s="213"/>
    </row>
    <row r="4" spans="1:28"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5"/>
      <c r="U4" s="215"/>
      <c r="V4" s="215"/>
      <c r="W4" s="215"/>
      <c r="X4" s="215"/>
      <c r="Y4" s="215"/>
      <c r="Z4" s="219"/>
      <c r="AB4" s="71"/>
    </row>
    <row r="5" spans="1:28" ht="13.5" customHeight="1" thickBot="1">
      <c r="A5" s="201">
        <f>COUNTIF(F41:HW41,"P")</f>
        <v>21</v>
      </c>
      <c r="B5" s="200"/>
      <c r="C5" s="197">
        <f>COUNTIF(F41:HW41,"F")</f>
        <v>0</v>
      </c>
      <c r="D5" s="198"/>
      <c r="E5" s="200"/>
      <c r="F5" s="197">
        <f>SUM(O5,- A5,- C5)</f>
        <v>0</v>
      </c>
      <c r="G5" s="198"/>
      <c r="H5" s="198"/>
      <c r="I5" s="198"/>
      <c r="J5" s="198"/>
      <c r="K5" s="199"/>
      <c r="L5" s="128">
        <f>COUNTIF(E40:HW40,"N")</f>
        <v>2</v>
      </c>
      <c r="M5" s="128">
        <f>COUNTIF(E40:HW40,"A")</f>
        <v>19</v>
      </c>
      <c r="N5" s="128">
        <f>COUNTIF(E40:HW40,"B")</f>
        <v>0</v>
      </c>
      <c r="O5" s="216">
        <f>COUNTA(E7:HZ7)</f>
        <v>21</v>
      </c>
      <c r="P5" s="198"/>
      <c r="Q5" s="198"/>
      <c r="R5" s="198"/>
      <c r="S5" s="198"/>
      <c r="T5" s="198"/>
      <c r="U5" s="198"/>
      <c r="V5" s="198"/>
      <c r="W5" s="198"/>
      <c r="X5" s="198"/>
      <c r="Y5" s="198"/>
      <c r="Z5" s="217"/>
      <c r="AA5" s="72"/>
    </row>
    <row r="6" spans="1:28" ht="10.5" thickBot="1"/>
    <row r="7" spans="1:28" ht="46.5" customHeight="1" thickTop="1" thickBot="1">
      <c r="A7" s="159"/>
      <c r="B7" s="160"/>
      <c r="C7" s="161"/>
      <c r="D7" s="162"/>
      <c r="E7" s="161"/>
      <c r="F7" s="163" t="s">
        <v>32</v>
      </c>
      <c r="G7" s="163" t="s">
        <v>33</v>
      </c>
      <c r="H7" s="163" t="s">
        <v>34</v>
      </c>
      <c r="I7" s="163" t="s">
        <v>35</v>
      </c>
      <c r="J7" s="163" t="s">
        <v>36</v>
      </c>
      <c r="K7" s="163" t="s">
        <v>37</v>
      </c>
      <c r="L7" s="163" t="s">
        <v>38</v>
      </c>
      <c r="M7" s="163" t="s">
        <v>39</v>
      </c>
      <c r="N7" s="163" t="s">
        <v>40</v>
      </c>
      <c r="O7" s="163" t="s">
        <v>41</v>
      </c>
      <c r="P7" s="163" t="s">
        <v>42</v>
      </c>
      <c r="Q7" s="163" t="s">
        <v>43</v>
      </c>
      <c r="R7" s="163" t="s">
        <v>44</v>
      </c>
      <c r="S7" s="163" t="s">
        <v>45</v>
      </c>
      <c r="T7" s="163" t="s">
        <v>46</v>
      </c>
      <c r="U7" s="163" t="s">
        <v>302</v>
      </c>
      <c r="V7" s="163" t="s">
        <v>369</v>
      </c>
      <c r="W7" s="163" t="s">
        <v>370</v>
      </c>
      <c r="X7" s="163" t="s">
        <v>371</v>
      </c>
      <c r="Y7" s="163" t="s">
        <v>372</v>
      </c>
      <c r="Z7" s="164" t="s">
        <v>373</v>
      </c>
      <c r="AA7" s="74"/>
      <c r="AB7" s="71"/>
    </row>
    <row r="8" spans="1:28" ht="13.5" customHeight="1">
      <c r="A8" s="154" t="s">
        <v>66</v>
      </c>
      <c r="B8" s="155" t="s">
        <v>339</v>
      </c>
      <c r="C8" s="156"/>
      <c r="D8" s="157"/>
      <c r="E8" s="78"/>
      <c r="F8" s="123"/>
      <c r="G8" s="123"/>
      <c r="H8" s="123"/>
      <c r="I8" s="123"/>
      <c r="J8" s="123"/>
      <c r="K8" s="123"/>
      <c r="L8" s="123"/>
      <c r="M8" s="123"/>
      <c r="N8" s="123"/>
      <c r="O8" s="123"/>
      <c r="P8" s="123"/>
      <c r="Q8" s="123"/>
      <c r="R8" s="123"/>
      <c r="S8" s="123"/>
      <c r="T8" s="123"/>
      <c r="U8" s="123"/>
      <c r="V8" s="123"/>
      <c r="W8" s="123"/>
      <c r="X8" s="123"/>
      <c r="Y8" s="123"/>
      <c r="Z8" s="144"/>
    </row>
    <row r="9" spans="1:28" ht="13.5" customHeight="1">
      <c r="A9" s="142"/>
      <c r="B9" s="75"/>
      <c r="C9" s="76"/>
      <c r="D9" s="77" t="s">
        <v>340</v>
      </c>
      <c r="E9" s="78"/>
      <c r="F9" s="120" t="s">
        <v>86</v>
      </c>
      <c r="G9" s="120"/>
      <c r="H9" s="120"/>
      <c r="I9" s="120"/>
      <c r="J9" s="120"/>
      <c r="K9" s="120"/>
      <c r="L9" s="120"/>
      <c r="M9" s="120"/>
      <c r="N9" s="120"/>
      <c r="O9" s="120"/>
      <c r="P9" s="120"/>
      <c r="Q9" s="120"/>
      <c r="R9" s="120"/>
      <c r="S9" s="120"/>
      <c r="T9" s="120"/>
      <c r="U9" s="120"/>
      <c r="V9" s="120"/>
      <c r="W9" s="120"/>
      <c r="X9" s="120"/>
      <c r="Y9" s="120"/>
      <c r="Z9" s="141"/>
      <c r="AB9" s="71"/>
    </row>
    <row r="10" spans="1:28" ht="13.5" customHeight="1">
      <c r="A10" s="142"/>
      <c r="B10" s="75"/>
      <c r="C10" s="76"/>
      <c r="D10" s="77" t="s">
        <v>341</v>
      </c>
      <c r="E10" s="78"/>
      <c r="F10" s="120"/>
      <c r="G10" s="120" t="s">
        <v>86</v>
      </c>
      <c r="H10" s="120"/>
      <c r="I10" s="120"/>
      <c r="J10" s="120"/>
      <c r="K10" s="120"/>
      <c r="L10" s="120"/>
      <c r="M10" s="120"/>
      <c r="N10" s="120"/>
      <c r="O10" s="120"/>
      <c r="P10" s="120"/>
      <c r="Q10" s="120"/>
      <c r="R10" s="120"/>
      <c r="S10" s="120"/>
      <c r="T10" s="120"/>
      <c r="U10" s="120"/>
      <c r="V10" s="120"/>
      <c r="W10" s="120"/>
      <c r="X10" s="120"/>
      <c r="Y10" s="120"/>
      <c r="Z10" s="141"/>
    </row>
    <row r="11" spans="1:28" ht="13.5" customHeight="1">
      <c r="A11" s="142"/>
      <c r="B11" s="75"/>
      <c r="C11" s="76"/>
      <c r="D11" s="77" t="s">
        <v>342</v>
      </c>
      <c r="E11" s="79"/>
      <c r="F11" s="120"/>
      <c r="G11" s="120"/>
      <c r="H11" s="120" t="s">
        <v>86</v>
      </c>
      <c r="I11" s="120"/>
      <c r="J11" s="120"/>
      <c r="K11" s="120"/>
      <c r="L11" s="120"/>
      <c r="M11" s="120"/>
      <c r="N11" s="120"/>
      <c r="O11" s="120"/>
      <c r="P11" s="120"/>
      <c r="Q11" s="120"/>
      <c r="R11" s="120"/>
      <c r="S11" s="120"/>
      <c r="T11" s="120"/>
      <c r="U11" s="120"/>
      <c r="V11" s="120"/>
      <c r="W11" s="120"/>
      <c r="X11" s="120"/>
      <c r="Y11" s="120"/>
      <c r="Z11" s="141"/>
    </row>
    <row r="12" spans="1:28" ht="13.5" customHeight="1">
      <c r="A12" s="142"/>
      <c r="B12" s="75"/>
      <c r="C12" s="76"/>
      <c r="D12" s="77" t="s">
        <v>343</v>
      </c>
      <c r="E12" s="80"/>
      <c r="F12" s="120"/>
      <c r="G12" s="120"/>
      <c r="H12" s="120"/>
      <c r="I12" s="120" t="s">
        <v>86</v>
      </c>
      <c r="J12" s="120"/>
      <c r="K12" s="120"/>
      <c r="L12" s="120"/>
      <c r="M12" s="120"/>
      <c r="N12" s="120"/>
      <c r="O12" s="120"/>
      <c r="P12" s="120"/>
      <c r="Q12" s="120"/>
      <c r="R12" s="120"/>
      <c r="S12" s="120"/>
      <c r="T12" s="120"/>
      <c r="U12" s="120"/>
      <c r="V12" s="120"/>
      <c r="W12" s="120"/>
      <c r="X12" s="120"/>
      <c r="Y12" s="120"/>
      <c r="Z12" s="141"/>
    </row>
    <row r="13" spans="1:28" ht="13.5" customHeight="1">
      <c r="A13" s="142"/>
      <c r="B13" s="75"/>
      <c r="C13" s="76"/>
      <c r="D13" s="77" t="s">
        <v>344</v>
      </c>
      <c r="E13" s="80"/>
      <c r="F13" s="120"/>
      <c r="G13" s="120"/>
      <c r="H13" s="120"/>
      <c r="I13" s="120"/>
      <c r="J13" s="120" t="s">
        <v>86</v>
      </c>
      <c r="K13" s="120"/>
      <c r="L13" s="120"/>
      <c r="M13" s="120"/>
      <c r="N13" s="120"/>
      <c r="O13" s="120"/>
      <c r="P13" s="120"/>
      <c r="Q13" s="120"/>
      <c r="R13" s="120"/>
      <c r="S13" s="120"/>
      <c r="T13" s="120"/>
      <c r="U13" s="120"/>
      <c r="V13" s="120"/>
      <c r="W13" s="120"/>
      <c r="X13" s="120"/>
      <c r="Y13" s="120"/>
      <c r="Z13" s="141"/>
    </row>
    <row r="14" spans="1:28" ht="13.5" customHeight="1">
      <c r="A14" s="142"/>
      <c r="B14" s="75"/>
      <c r="C14" s="76"/>
      <c r="D14" s="77" t="s">
        <v>345</v>
      </c>
      <c r="E14" s="80"/>
      <c r="F14" s="120"/>
      <c r="G14" s="120"/>
      <c r="H14" s="120"/>
      <c r="I14" s="120"/>
      <c r="J14" s="120"/>
      <c r="K14" s="120" t="s">
        <v>86</v>
      </c>
      <c r="L14" s="120"/>
      <c r="M14" s="120"/>
      <c r="N14" s="120"/>
      <c r="O14" s="120"/>
      <c r="P14" s="120"/>
      <c r="Q14" s="120"/>
      <c r="R14" s="120"/>
      <c r="S14" s="120"/>
      <c r="T14" s="120"/>
      <c r="U14" s="120"/>
      <c r="V14" s="120"/>
      <c r="W14" s="120"/>
      <c r="X14" s="120"/>
      <c r="Y14" s="120"/>
      <c r="Z14" s="141"/>
    </row>
    <row r="15" spans="1:28" ht="13.5" customHeight="1">
      <c r="A15" s="142"/>
      <c r="B15" s="75"/>
      <c r="C15" s="76"/>
      <c r="D15" s="77" t="s">
        <v>346</v>
      </c>
      <c r="E15" s="80"/>
      <c r="F15" s="120"/>
      <c r="G15" s="120"/>
      <c r="H15" s="120"/>
      <c r="I15" s="120"/>
      <c r="J15" s="120"/>
      <c r="K15" s="120"/>
      <c r="L15" s="120" t="s">
        <v>86</v>
      </c>
      <c r="M15" s="120"/>
      <c r="N15" s="120"/>
      <c r="O15" s="120"/>
      <c r="P15" s="120"/>
      <c r="Q15" s="120"/>
      <c r="R15" s="120"/>
      <c r="S15" s="120"/>
      <c r="T15" s="120"/>
      <c r="U15" s="120"/>
      <c r="V15" s="120"/>
      <c r="W15" s="120"/>
      <c r="X15" s="120"/>
      <c r="Y15" s="120"/>
      <c r="Z15" s="141"/>
      <c r="AA15" s="121"/>
    </row>
    <row r="16" spans="1:28" ht="13.5" customHeight="1">
      <c r="A16" s="142"/>
      <c r="B16" s="75"/>
      <c r="C16" s="76"/>
      <c r="D16" s="77" t="s">
        <v>347</v>
      </c>
      <c r="E16" s="80"/>
      <c r="F16" s="120"/>
      <c r="G16" s="120"/>
      <c r="H16" s="120"/>
      <c r="I16" s="120"/>
      <c r="J16" s="120"/>
      <c r="K16" s="120"/>
      <c r="L16" s="120"/>
      <c r="M16" s="120" t="s">
        <v>86</v>
      </c>
      <c r="N16" s="120"/>
      <c r="O16" s="120"/>
      <c r="P16" s="120"/>
      <c r="Q16" s="120"/>
      <c r="R16" s="120"/>
      <c r="S16" s="120"/>
      <c r="T16" s="120"/>
      <c r="U16" s="120"/>
      <c r="V16" s="120"/>
      <c r="W16" s="120"/>
      <c r="X16" s="120"/>
      <c r="Y16" s="120"/>
      <c r="Z16" s="141"/>
      <c r="AA16" s="121"/>
    </row>
    <row r="17" spans="1:26" ht="13.5" customHeight="1">
      <c r="A17" s="142"/>
      <c r="B17" s="75"/>
      <c r="C17" s="76"/>
      <c r="D17" s="210" t="s">
        <v>348</v>
      </c>
      <c r="E17" s="210"/>
      <c r="F17" s="120"/>
      <c r="G17" s="120"/>
      <c r="H17" s="120"/>
      <c r="I17" s="120"/>
      <c r="J17" s="120"/>
      <c r="K17" s="120"/>
      <c r="L17" s="120"/>
      <c r="M17" s="120"/>
      <c r="N17" s="120" t="s">
        <v>86</v>
      </c>
      <c r="O17" s="120"/>
      <c r="P17" s="120"/>
      <c r="Q17" s="120"/>
      <c r="R17" s="120"/>
      <c r="S17" s="120"/>
      <c r="T17" s="120"/>
      <c r="U17" s="120"/>
      <c r="V17" s="120"/>
      <c r="W17" s="120"/>
      <c r="X17" s="120"/>
      <c r="Y17" s="120"/>
      <c r="Z17" s="141"/>
    </row>
    <row r="18" spans="1:26" ht="13.5" customHeight="1">
      <c r="A18" s="142"/>
      <c r="B18" s="75"/>
      <c r="C18" s="76"/>
      <c r="D18" s="77" t="s">
        <v>349</v>
      </c>
      <c r="E18" s="80"/>
      <c r="F18" s="120"/>
      <c r="G18" s="120"/>
      <c r="H18" s="120"/>
      <c r="I18" s="120"/>
      <c r="J18" s="120"/>
      <c r="K18" s="120"/>
      <c r="L18" s="120"/>
      <c r="M18" s="120"/>
      <c r="N18" s="120"/>
      <c r="O18" s="120" t="s">
        <v>86</v>
      </c>
      <c r="P18" s="120"/>
      <c r="Q18" s="120"/>
      <c r="R18" s="120"/>
      <c r="S18" s="120"/>
      <c r="T18" s="120"/>
      <c r="U18" s="120"/>
      <c r="V18" s="120"/>
      <c r="W18" s="120"/>
      <c r="X18" s="120"/>
      <c r="Y18" s="120"/>
      <c r="Z18" s="141"/>
    </row>
    <row r="19" spans="1:26" ht="13.5" customHeight="1">
      <c r="A19" s="142"/>
      <c r="B19" s="75"/>
      <c r="C19" s="76"/>
      <c r="D19" s="77" t="s">
        <v>350</v>
      </c>
      <c r="E19" s="80"/>
      <c r="F19" s="120"/>
      <c r="G19" s="120"/>
      <c r="H19" s="120"/>
      <c r="I19" s="120"/>
      <c r="J19" s="120"/>
      <c r="K19" s="120"/>
      <c r="L19" s="120"/>
      <c r="M19" s="120"/>
      <c r="N19" s="120"/>
      <c r="O19" s="120"/>
      <c r="P19" s="120" t="s">
        <v>86</v>
      </c>
      <c r="Q19" s="120"/>
      <c r="R19" s="120"/>
      <c r="S19" s="120"/>
      <c r="T19" s="120"/>
      <c r="U19" s="120"/>
      <c r="V19" s="120"/>
      <c r="W19" s="120"/>
      <c r="X19" s="120"/>
      <c r="Y19" s="120"/>
      <c r="Z19" s="141"/>
    </row>
    <row r="20" spans="1:26" ht="13.5" customHeight="1">
      <c r="A20" s="142"/>
      <c r="B20" s="75"/>
      <c r="C20" s="76"/>
      <c r="D20" s="77" t="s">
        <v>351</v>
      </c>
      <c r="E20" s="80"/>
      <c r="F20" s="120"/>
      <c r="G20" s="120"/>
      <c r="H20" s="120"/>
      <c r="I20" s="120"/>
      <c r="J20" s="120"/>
      <c r="K20" s="120"/>
      <c r="L20" s="120"/>
      <c r="M20" s="120"/>
      <c r="N20" s="120"/>
      <c r="O20" s="120"/>
      <c r="P20" s="120"/>
      <c r="Q20" s="120" t="s">
        <v>86</v>
      </c>
      <c r="R20" s="120"/>
      <c r="S20" s="120"/>
      <c r="T20" s="120"/>
      <c r="U20" s="120"/>
      <c r="V20" s="120"/>
      <c r="W20" s="120"/>
      <c r="X20" s="120"/>
      <c r="Y20" s="120"/>
      <c r="Z20" s="141"/>
    </row>
    <row r="21" spans="1:26" ht="13.5" customHeight="1">
      <c r="A21" s="142"/>
      <c r="B21" s="75"/>
      <c r="C21" s="76"/>
      <c r="D21" s="77" t="s">
        <v>352</v>
      </c>
      <c r="E21" s="80"/>
      <c r="F21" s="120"/>
      <c r="G21" s="120"/>
      <c r="H21" s="120"/>
      <c r="I21" s="120"/>
      <c r="J21" s="120"/>
      <c r="K21" s="120"/>
      <c r="L21" s="120"/>
      <c r="M21" s="120"/>
      <c r="N21" s="120"/>
      <c r="O21" s="120"/>
      <c r="P21" s="120"/>
      <c r="Q21" s="120"/>
      <c r="R21" s="120" t="s">
        <v>86</v>
      </c>
      <c r="S21" s="120"/>
      <c r="T21" s="120"/>
      <c r="U21" s="120"/>
      <c r="V21" s="120"/>
      <c r="W21" s="120"/>
      <c r="X21" s="120"/>
      <c r="Y21" s="120"/>
      <c r="Z21" s="141"/>
    </row>
    <row r="22" spans="1:26" ht="13.5" customHeight="1">
      <c r="A22" s="142"/>
      <c r="B22" s="75"/>
      <c r="C22" s="76"/>
      <c r="D22" s="77" t="s">
        <v>353</v>
      </c>
      <c r="E22" s="80"/>
      <c r="F22" s="120"/>
      <c r="G22" s="120"/>
      <c r="H22" s="120"/>
      <c r="I22" s="120"/>
      <c r="J22" s="120"/>
      <c r="K22" s="120"/>
      <c r="L22" s="120"/>
      <c r="M22" s="120"/>
      <c r="N22" s="120"/>
      <c r="O22" s="120"/>
      <c r="P22" s="120"/>
      <c r="Q22" s="120"/>
      <c r="R22" s="120"/>
      <c r="S22" s="120" t="s">
        <v>86</v>
      </c>
      <c r="T22" s="120" t="s">
        <v>86</v>
      </c>
      <c r="U22" s="120" t="s">
        <v>86</v>
      </c>
      <c r="V22" s="120" t="s">
        <v>86</v>
      </c>
      <c r="W22" s="120" t="s">
        <v>86</v>
      </c>
      <c r="X22" s="120" t="s">
        <v>86</v>
      </c>
      <c r="Y22" s="120" t="s">
        <v>86</v>
      </c>
      <c r="Z22" s="141"/>
    </row>
    <row r="23" spans="1:26" ht="13.5" customHeight="1">
      <c r="A23" s="142"/>
      <c r="B23" s="75" t="s">
        <v>354</v>
      </c>
      <c r="C23" s="76"/>
      <c r="D23" s="77"/>
      <c r="E23" s="80"/>
      <c r="F23" s="120"/>
      <c r="G23" s="120"/>
      <c r="H23" s="120"/>
      <c r="I23" s="120"/>
      <c r="J23" s="120"/>
      <c r="K23" s="120"/>
      <c r="L23" s="120"/>
      <c r="M23" s="120"/>
      <c r="N23" s="120"/>
      <c r="O23" s="120"/>
      <c r="P23" s="120"/>
      <c r="Q23" s="120"/>
      <c r="R23" s="120"/>
      <c r="S23" s="120"/>
      <c r="T23" s="120"/>
      <c r="U23" s="120"/>
      <c r="V23" s="120"/>
      <c r="W23" s="120"/>
      <c r="X23" s="120"/>
      <c r="Y23" s="120"/>
      <c r="Z23" s="141"/>
    </row>
    <row r="24" spans="1:26" ht="13.5" customHeight="1">
      <c r="A24" s="142"/>
      <c r="B24" s="75"/>
      <c r="C24" s="76"/>
      <c r="D24" s="77" t="s">
        <v>355</v>
      </c>
      <c r="E24" s="80"/>
      <c r="F24" s="120" t="s">
        <v>86</v>
      </c>
      <c r="G24" s="120" t="s">
        <v>86</v>
      </c>
      <c r="H24" s="120" t="s">
        <v>86</v>
      </c>
      <c r="I24" s="120" t="s">
        <v>86</v>
      </c>
      <c r="J24" s="120" t="s">
        <v>86</v>
      </c>
      <c r="K24" s="120" t="s">
        <v>86</v>
      </c>
      <c r="L24" s="120" t="s">
        <v>86</v>
      </c>
      <c r="M24" s="120" t="s">
        <v>86</v>
      </c>
      <c r="N24" s="120" t="s">
        <v>86</v>
      </c>
      <c r="O24" s="120" t="s">
        <v>86</v>
      </c>
      <c r="P24" s="120" t="s">
        <v>86</v>
      </c>
      <c r="Q24" s="120" t="s">
        <v>86</v>
      </c>
      <c r="R24" s="120" t="s">
        <v>86</v>
      </c>
      <c r="S24" s="120"/>
      <c r="T24" s="120"/>
      <c r="U24" s="120"/>
      <c r="V24" s="120"/>
      <c r="W24" s="120"/>
      <c r="X24" s="120"/>
      <c r="Y24" s="120"/>
      <c r="Z24" s="141"/>
    </row>
    <row r="25" spans="1:26" ht="13.5" customHeight="1">
      <c r="A25" s="142"/>
      <c r="B25" s="75"/>
      <c r="C25" s="76"/>
      <c r="D25" s="77" t="s">
        <v>356</v>
      </c>
      <c r="E25" s="80"/>
      <c r="F25" s="120"/>
      <c r="G25" s="120"/>
      <c r="H25" s="120"/>
      <c r="I25" s="120"/>
      <c r="J25" s="120"/>
      <c r="K25" s="120"/>
      <c r="L25" s="120"/>
      <c r="M25" s="120"/>
      <c r="N25" s="120"/>
      <c r="O25" s="120"/>
      <c r="P25" s="120"/>
      <c r="Q25" s="120"/>
      <c r="R25" s="120"/>
      <c r="S25" s="120" t="s">
        <v>86</v>
      </c>
      <c r="T25" s="120"/>
      <c r="U25" s="120"/>
      <c r="V25" s="120"/>
      <c r="W25" s="120"/>
      <c r="X25" s="120"/>
      <c r="Y25" s="120"/>
      <c r="Z25" s="141"/>
    </row>
    <row r="26" spans="1:26" ht="13.5" customHeight="1">
      <c r="A26" s="142"/>
      <c r="B26" s="75"/>
      <c r="C26" s="76"/>
      <c r="D26" s="77" t="s">
        <v>357</v>
      </c>
      <c r="E26" s="80"/>
      <c r="F26" s="120"/>
      <c r="G26" s="120"/>
      <c r="H26" s="120"/>
      <c r="I26" s="120"/>
      <c r="J26" s="120"/>
      <c r="K26" s="120"/>
      <c r="L26" s="120"/>
      <c r="M26" s="120"/>
      <c r="N26" s="120"/>
      <c r="O26" s="120"/>
      <c r="P26" s="120"/>
      <c r="Q26" s="120"/>
      <c r="R26" s="120"/>
      <c r="S26" s="120"/>
      <c r="T26" s="120" t="s">
        <v>86</v>
      </c>
      <c r="U26" s="120"/>
      <c r="V26" s="120"/>
      <c r="W26" s="120"/>
      <c r="X26" s="120"/>
      <c r="Y26" s="120"/>
      <c r="Z26" s="141"/>
    </row>
    <row r="27" spans="1:26" ht="13.5" customHeight="1">
      <c r="A27" s="142"/>
      <c r="B27" s="75"/>
      <c r="C27" s="76"/>
      <c r="D27" s="77" t="s">
        <v>358</v>
      </c>
      <c r="E27" s="80"/>
      <c r="F27" s="120"/>
      <c r="G27" s="120"/>
      <c r="H27" s="120"/>
      <c r="I27" s="120"/>
      <c r="J27" s="120"/>
      <c r="K27" s="120"/>
      <c r="L27" s="120"/>
      <c r="M27" s="120"/>
      <c r="N27" s="120"/>
      <c r="O27" s="120"/>
      <c r="P27" s="120"/>
      <c r="Q27" s="120"/>
      <c r="R27" s="120"/>
      <c r="S27" s="120"/>
      <c r="T27" s="120"/>
      <c r="U27" s="120" t="s">
        <v>86</v>
      </c>
      <c r="V27" s="120"/>
      <c r="W27" s="120"/>
      <c r="X27" s="120"/>
      <c r="Y27" s="120"/>
      <c r="Z27" s="141"/>
    </row>
    <row r="28" spans="1:26" ht="13.5" customHeight="1">
      <c r="A28" s="142"/>
      <c r="B28" s="75"/>
      <c r="C28" s="76"/>
      <c r="D28" s="77" t="s">
        <v>359</v>
      </c>
      <c r="E28" s="80"/>
      <c r="F28" s="120"/>
      <c r="G28" s="120"/>
      <c r="H28" s="120"/>
      <c r="I28" s="120"/>
      <c r="J28" s="120"/>
      <c r="K28" s="120"/>
      <c r="L28" s="120"/>
      <c r="M28" s="120"/>
      <c r="N28" s="120"/>
      <c r="O28" s="120"/>
      <c r="P28" s="120"/>
      <c r="Q28" s="120"/>
      <c r="R28" s="120"/>
      <c r="S28" s="120"/>
      <c r="T28" s="120"/>
      <c r="U28" s="120"/>
      <c r="V28" s="120" t="s">
        <v>86</v>
      </c>
      <c r="W28" s="120"/>
      <c r="X28" s="120"/>
      <c r="Y28" s="120"/>
      <c r="Z28" s="141"/>
    </row>
    <row r="29" spans="1:26" ht="13.5" customHeight="1">
      <c r="A29" s="142"/>
      <c r="B29" s="75"/>
      <c r="C29" s="76"/>
      <c r="D29" s="77" t="s">
        <v>360</v>
      </c>
      <c r="E29" s="80"/>
      <c r="F29" s="120"/>
      <c r="G29" s="120"/>
      <c r="H29" s="120"/>
      <c r="I29" s="120"/>
      <c r="J29" s="120"/>
      <c r="K29" s="120"/>
      <c r="L29" s="120"/>
      <c r="M29" s="120"/>
      <c r="N29" s="120"/>
      <c r="O29" s="120"/>
      <c r="P29" s="120"/>
      <c r="Q29" s="120"/>
      <c r="R29" s="120"/>
      <c r="S29" s="120"/>
      <c r="T29" s="120"/>
      <c r="U29" s="120"/>
      <c r="V29" s="120"/>
      <c r="W29" s="120" t="s">
        <v>86</v>
      </c>
      <c r="X29" s="120"/>
      <c r="Y29" s="120"/>
      <c r="Z29" s="141"/>
    </row>
    <row r="30" spans="1:26" ht="13.5" customHeight="1">
      <c r="A30" s="142"/>
      <c r="B30" s="75"/>
      <c r="C30" s="76"/>
      <c r="D30" s="77" t="s">
        <v>361</v>
      </c>
      <c r="E30" s="80"/>
      <c r="F30" s="120"/>
      <c r="G30" s="120"/>
      <c r="H30" s="120"/>
      <c r="I30" s="120"/>
      <c r="J30" s="120"/>
      <c r="K30" s="120"/>
      <c r="L30" s="120"/>
      <c r="M30" s="120"/>
      <c r="N30" s="120"/>
      <c r="O30" s="120"/>
      <c r="P30" s="120"/>
      <c r="Q30" s="120"/>
      <c r="R30" s="120"/>
      <c r="S30" s="120"/>
      <c r="T30" s="120"/>
      <c r="U30" s="120"/>
      <c r="V30" s="120"/>
      <c r="W30" s="120"/>
      <c r="X30" s="120" t="s">
        <v>86</v>
      </c>
      <c r="Y30" s="120" t="s">
        <v>86</v>
      </c>
      <c r="Z30" s="141"/>
    </row>
    <row r="31" spans="1:26" ht="13.5" customHeight="1">
      <c r="A31" s="142"/>
      <c r="B31" s="75" t="s">
        <v>362</v>
      </c>
      <c r="C31" s="76"/>
      <c r="D31" s="77"/>
      <c r="E31" s="80"/>
      <c r="F31" s="120"/>
      <c r="G31" s="120"/>
      <c r="H31" s="120"/>
      <c r="I31" s="120"/>
      <c r="J31" s="120"/>
      <c r="K31" s="120"/>
      <c r="L31" s="120"/>
      <c r="M31" s="120"/>
      <c r="N31" s="120"/>
      <c r="O31" s="120"/>
      <c r="P31" s="120"/>
      <c r="Q31" s="120"/>
      <c r="R31" s="120"/>
      <c r="S31" s="120"/>
      <c r="T31" s="120"/>
      <c r="U31" s="120"/>
      <c r="V31" s="120"/>
      <c r="W31" s="120"/>
      <c r="X31" s="120"/>
      <c r="Y31" s="120"/>
      <c r="Z31" s="141"/>
    </row>
    <row r="32" spans="1:26" ht="13.5" customHeight="1">
      <c r="A32" s="142"/>
      <c r="B32" s="75"/>
      <c r="C32" s="76"/>
      <c r="D32" s="77" t="s">
        <v>363</v>
      </c>
      <c r="E32" s="80"/>
      <c r="F32" s="120" t="s">
        <v>86</v>
      </c>
      <c r="G32" s="120" t="s">
        <v>86</v>
      </c>
      <c r="H32" s="120" t="s">
        <v>86</v>
      </c>
      <c r="I32" s="120" t="s">
        <v>86</v>
      </c>
      <c r="J32" s="120" t="s">
        <v>86</v>
      </c>
      <c r="K32" s="120" t="s">
        <v>86</v>
      </c>
      <c r="L32" s="120" t="s">
        <v>86</v>
      </c>
      <c r="M32" s="120" t="s">
        <v>86</v>
      </c>
      <c r="N32" s="120" t="s">
        <v>86</v>
      </c>
      <c r="O32" s="120" t="s">
        <v>86</v>
      </c>
      <c r="P32" s="120" t="s">
        <v>86</v>
      </c>
      <c r="Q32" s="120" t="s">
        <v>86</v>
      </c>
      <c r="R32" s="120" t="s">
        <v>86</v>
      </c>
      <c r="S32" s="120" t="s">
        <v>86</v>
      </c>
      <c r="T32" s="120" t="s">
        <v>86</v>
      </c>
      <c r="U32" s="120" t="s">
        <v>86</v>
      </c>
      <c r="V32" s="120" t="s">
        <v>86</v>
      </c>
      <c r="W32" s="120" t="s">
        <v>86</v>
      </c>
      <c r="X32" s="120" t="s">
        <v>86</v>
      </c>
      <c r="Y32" s="120"/>
      <c r="Z32" s="141"/>
    </row>
    <row r="33" spans="1:26" ht="13.5" customHeight="1" thickBot="1">
      <c r="A33" s="142"/>
      <c r="B33" s="81"/>
      <c r="C33" s="82"/>
      <c r="D33" s="83" t="s">
        <v>364</v>
      </c>
      <c r="E33" s="84"/>
      <c r="F33" s="122"/>
      <c r="G33" s="122"/>
      <c r="H33" s="122"/>
      <c r="I33" s="122"/>
      <c r="J33" s="122"/>
      <c r="K33" s="122"/>
      <c r="L33" s="122"/>
      <c r="M33" s="122"/>
      <c r="N33" s="122"/>
      <c r="O33" s="122"/>
      <c r="P33" s="122"/>
      <c r="Q33" s="122"/>
      <c r="R33" s="122"/>
      <c r="S33" s="122"/>
      <c r="T33" s="122"/>
      <c r="U33" s="122"/>
      <c r="V33" s="122"/>
      <c r="W33" s="122"/>
      <c r="X33" s="122"/>
      <c r="Y33" s="122" t="s">
        <v>86</v>
      </c>
      <c r="Z33" s="143"/>
    </row>
    <row r="34" spans="1:26" ht="13.5" customHeight="1" thickTop="1">
      <c r="A34" s="153" t="s">
        <v>67</v>
      </c>
      <c r="B34" s="85" t="s">
        <v>68</v>
      </c>
      <c r="C34" s="86"/>
      <c r="D34" s="87"/>
      <c r="E34" s="88"/>
      <c r="F34" s="123"/>
      <c r="G34" s="123"/>
      <c r="H34" s="123"/>
      <c r="I34" s="123"/>
      <c r="J34" s="123"/>
      <c r="K34" s="123"/>
      <c r="L34" s="123"/>
      <c r="M34" s="123"/>
      <c r="N34" s="123"/>
      <c r="O34" s="123"/>
      <c r="P34" s="123"/>
      <c r="Q34" s="123"/>
      <c r="R34" s="123"/>
      <c r="S34" s="123"/>
      <c r="T34" s="123"/>
      <c r="U34" s="123"/>
      <c r="V34" s="123"/>
      <c r="W34" s="123"/>
      <c r="X34" s="123"/>
      <c r="Y34" s="123"/>
      <c r="Z34" s="144"/>
    </row>
    <row r="35" spans="1:26" ht="13.5" customHeight="1">
      <c r="A35" s="152"/>
      <c r="B35" s="89"/>
      <c r="C35" s="90"/>
      <c r="D35" s="91" t="s">
        <v>365</v>
      </c>
      <c r="E35" s="92"/>
      <c r="F35" s="120"/>
      <c r="G35" s="120"/>
      <c r="H35" s="120"/>
      <c r="I35" s="120"/>
      <c r="J35" s="120"/>
      <c r="K35" s="120"/>
      <c r="L35" s="120"/>
      <c r="M35" s="120"/>
      <c r="N35" s="120"/>
      <c r="O35" s="120"/>
      <c r="P35" s="120"/>
      <c r="Q35" s="120"/>
      <c r="R35" s="120" t="s">
        <v>86</v>
      </c>
      <c r="S35" s="120" t="s">
        <v>86</v>
      </c>
      <c r="T35" s="120"/>
      <c r="U35" s="120"/>
      <c r="V35" s="120"/>
      <c r="W35" s="120"/>
      <c r="X35" s="120"/>
      <c r="Y35" s="120"/>
      <c r="Z35" s="141"/>
    </row>
    <row r="36" spans="1:26" ht="13.5" customHeight="1">
      <c r="A36" s="152"/>
      <c r="B36" s="89"/>
      <c r="C36" s="124"/>
      <c r="D36" s="91" t="s">
        <v>366</v>
      </c>
      <c r="E36" s="93"/>
      <c r="F36" s="120" t="s">
        <v>86</v>
      </c>
      <c r="G36" s="120" t="s">
        <v>86</v>
      </c>
      <c r="H36" s="120" t="s">
        <v>86</v>
      </c>
      <c r="I36" s="120" t="s">
        <v>86</v>
      </c>
      <c r="J36" s="120" t="s">
        <v>86</v>
      </c>
      <c r="K36" s="120" t="s">
        <v>86</v>
      </c>
      <c r="L36" s="120" t="s">
        <v>86</v>
      </c>
      <c r="M36" s="120" t="s">
        <v>86</v>
      </c>
      <c r="N36" s="120" t="s">
        <v>86</v>
      </c>
      <c r="O36" s="120" t="s">
        <v>86</v>
      </c>
      <c r="P36" s="120" t="s">
        <v>86</v>
      </c>
      <c r="Q36" s="120" t="s">
        <v>86</v>
      </c>
      <c r="R36" s="120"/>
      <c r="S36" s="120"/>
      <c r="T36" s="120" t="s">
        <v>86</v>
      </c>
      <c r="U36" s="120" t="s">
        <v>86</v>
      </c>
      <c r="V36" s="120" t="s">
        <v>86</v>
      </c>
      <c r="W36" s="120" t="s">
        <v>86</v>
      </c>
      <c r="X36" s="120" t="s">
        <v>86</v>
      </c>
      <c r="Y36" s="120"/>
      <c r="Z36" s="141"/>
    </row>
    <row r="37" spans="1:26" ht="13.5" customHeight="1">
      <c r="A37" s="152"/>
      <c r="B37" s="89" t="s">
        <v>69</v>
      </c>
      <c r="C37" s="124"/>
      <c r="D37" s="91"/>
      <c r="E37" s="93"/>
      <c r="F37" s="120"/>
      <c r="G37" s="120"/>
      <c r="H37" s="120"/>
      <c r="I37" s="120"/>
      <c r="J37" s="120"/>
      <c r="K37" s="120"/>
      <c r="L37" s="120"/>
      <c r="M37" s="120"/>
      <c r="N37" s="120"/>
      <c r="O37" s="120"/>
      <c r="P37" s="120"/>
      <c r="Q37" s="120"/>
      <c r="R37" s="120"/>
      <c r="S37" s="120"/>
      <c r="T37" s="120"/>
      <c r="U37" s="120"/>
      <c r="V37" s="120"/>
      <c r="W37" s="120"/>
      <c r="X37" s="120"/>
      <c r="Y37" s="120"/>
      <c r="Z37" s="141"/>
    </row>
    <row r="38" spans="1:26" ht="13.5" customHeight="1">
      <c r="A38" s="152"/>
      <c r="B38" s="89"/>
      <c r="C38" s="124"/>
      <c r="D38" s="91" t="s">
        <v>367</v>
      </c>
      <c r="E38" s="93"/>
      <c r="F38" s="120"/>
      <c r="G38" s="120"/>
      <c r="H38" s="120"/>
      <c r="I38" s="120"/>
      <c r="J38" s="120"/>
      <c r="K38" s="120"/>
      <c r="L38" s="120"/>
      <c r="M38" s="120"/>
      <c r="N38" s="120"/>
      <c r="O38" s="120"/>
      <c r="P38" s="120"/>
      <c r="Q38" s="120"/>
      <c r="R38" s="120"/>
      <c r="S38" s="120"/>
      <c r="T38" s="120"/>
      <c r="U38" s="120"/>
      <c r="V38" s="120"/>
      <c r="W38" s="120"/>
      <c r="X38" s="120"/>
      <c r="Y38" s="120" t="s">
        <v>86</v>
      </c>
      <c r="Z38" s="141"/>
    </row>
    <row r="39" spans="1:26" ht="13.5" customHeight="1" thickBot="1">
      <c r="A39" s="152"/>
      <c r="B39" s="133"/>
      <c r="C39" s="134"/>
      <c r="D39" s="135" t="s">
        <v>368</v>
      </c>
      <c r="E39" s="136"/>
      <c r="F39" s="137"/>
      <c r="G39" s="137"/>
      <c r="H39" s="137"/>
      <c r="I39" s="137"/>
      <c r="J39" s="137"/>
      <c r="K39" s="137"/>
      <c r="L39" s="137"/>
      <c r="M39" s="137"/>
      <c r="N39" s="137"/>
      <c r="O39" s="137"/>
      <c r="P39" s="137"/>
      <c r="Q39" s="137"/>
      <c r="R39" s="137"/>
      <c r="S39" s="137"/>
      <c r="T39" s="137"/>
      <c r="U39" s="137"/>
      <c r="V39" s="137"/>
      <c r="W39" s="137"/>
      <c r="X39" s="137"/>
      <c r="Y39" s="137"/>
      <c r="Z39" s="145" t="s">
        <v>86</v>
      </c>
    </row>
    <row r="40" spans="1:26" ht="13.5" customHeight="1" thickTop="1">
      <c r="A40" s="153" t="s">
        <v>48</v>
      </c>
      <c r="B40" s="206" t="s">
        <v>49</v>
      </c>
      <c r="C40" s="206"/>
      <c r="D40" s="206"/>
      <c r="E40" s="138"/>
      <c r="F40" s="139" t="s">
        <v>52</v>
      </c>
      <c r="G40" s="139" t="s">
        <v>52</v>
      </c>
      <c r="H40" s="139" t="s">
        <v>52</v>
      </c>
      <c r="I40" s="139" t="s">
        <v>52</v>
      </c>
      <c r="J40" s="139" t="s">
        <v>52</v>
      </c>
      <c r="K40" s="139" t="s">
        <v>52</v>
      </c>
      <c r="L40" s="139" t="s">
        <v>52</v>
      </c>
      <c r="M40" s="139" t="s">
        <v>52</v>
      </c>
      <c r="N40" s="139" t="s">
        <v>52</v>
      </c>
      <c r="O40" s="139" t="s">
        <v>52</v>
      </c>
      <c r="P40" s="139" t="s">
        <v>52</v>
      </c>
      <c r="Q40" s="139" t="s">
        <v>52</v>
      </c>
      <c r="R40" s="139" t="s">
        <v>50</v>
      </c>
      <c r="S40" s="139" t="s">
        <v>50</v>
      </c>
      <c r="T40" s="139" t="s">
        <v>52</v>
      </c>
      <c r="U40" s="139" t="s">
        <v>52</v>
      </c>
      <c r="V40" s="139" t="s">
        <v>52</v>
      </c>
      <c r="W40" s="139" t="s">
        <v>52</v>
      </c>
      <c r="X40" s="139" t="s">
        <v>52</v>
      </c>
      <c r="Y40" s="139" t="s">
        <v>52</v>
      </c>
      <c r="Z40" s="146" t="s">
        <v>52</v>
      </c>
    </row>
    <row r="41" spans="1:26" ht="13.5" customHeight="1">
      <c r="A41" s="152"/>
      <c r="B41" s="196" t="s">
        <v>53</v>
      </c>
      <c r="C41" s="196"/>
      <c r="D41" s="196"/>
      <c r="E41" s="94"/>
      <c r="F41" s="125" t="s">
        <v>54</v>
      </c>
      <c r="G41" s="125" t="s">
        <v>54</v>
      </c>
      <c r="H41" s="125" t="s">
        <v>54</v>
      </c>
      <c r="I41" s="125" t="s">
        <v>54</v>
      </c>
      <c r="J41" s="125" t="s">
        <v>54</v>
      </c>
      <c r="K41" s="125" t="s">
        <v>54</v>
      </c>
      <c r="L41" s="125" t="s">
        <v>54</v>
      </c>
      <c r="M41" s="125" t="s">
        <v>54</v>
      </c>
      <c r="N41" s="125" t="s">
        <v>54</v>
      </c>
      <c r="O41" s="125" t="s">
        <v>54</v>
      </c>
      <c r="P41" s="125" t="s">
        <v>54</v>
      </c>
      <c r="Q41" s="125" t="s">
        <v>54</v>
      </c>
      <c r="R41" s="125" t="s">
        <v>54</v>
      </c>
      <c r="S41" s="125" t="s">
        <v>54</v>
      </c>
      <c r="T41" s="125" t="s">
        <v>54</v>
      </c>
      <c r="U41" s="125" t="s">
        <v>54</v>
      </c>
      <c r="V41" s="125" t="s">
        <v>54</v>
      </c>
      <c r="W41" s="125" t="s">
        <v>54</v>
      </c>
      <c r="X41" s="125" t="s">
        <v>54</v>
      </c>
      <c r="Y41" s="125" t="s">
        <v>54</v>
      </c>
      <c r="Z41" s="147" t="s">
        <v>54</v>
      </c>
    </row>
    <row r="42" spans="1:26" ht="13.5" customHeight="1">
      <c r="A42" s="152"/>
      <c r="B42" s="204" t="s">
        <v>55</v>
      </c>
      <c r="C42" s="204"/>
      <c r="D42" s="204"/>
      <c r="E42" s="95"/>
      <c r="F42" s="96">
        <v>46244.708333333336</v>
      </c>
      <c r="G42" s="96">
        <v>46244.708333333336</v>
      </c>
      <c r="H42" s="96">
        <v>46244.708333333336</v>
      </c>
      <c r="I42" s="96">
        <v>46244.708333333336</v>
      </c>
      <c r="J42" s="96">
        <v>46244.708333333336</v>
      </c>
      <c r="K42" s="96">
        <v>46244.708333333336</v>
      </c>
      <c r="L42" s="96">
        <v>46244.708333333336</v>
      </c>
      <c r="M42" s="96">
        <v>46244.708333333336</v>
      </c>
      <c r="N42" s="96">
        <v>46244.708333333336</v>
      </c>
      <c r="O42" s="96">
        <v>46244.708333333336</v>
      </c>
      <c r="P42" s="96">
        <v>46244.708333333336</v>
      </c>
      <c r="Q42" s="96">
        <v>46244.708333333336</v>
      </c>
      <c r="R42" s="96">
        <v>46244.708333333336</v>
      </c>
      <c r="S42" s="96">
        <v>46244.708333333336</v>
      </c>
      <c r="T42" s="96">
        <v>46244.708333333336</v>
      </c>
      <c r="U42" s="96">
        <v>46244.708333333336</v>
      </c>
      <c r="V42" s="96">
        <v>46244.708333333336</v>
      </c>
      <c r="W42" s="96">
        <v>46244.708333333336</v>
      </c>
      <c r="X42" s="96">
        <v>46244.708333333336</v>
      </c>
      <c r="Y42" s="96">
        <v>46244.708333333336</v>
      </c>
      <c r="Z42" s="148">
        <v>46244.708333333336</v>
      </c>
    </row>
    <row r="43" spans="1:26" ht="10.5" thickBot="1">
      <c r="A43" s="158"/>
      <c r="B43" s="205" t="s">
        <v>56</v>
      </c>
      <c r="C43" s="205"/>
      <c r="D43" s="205"/>
      <c r="E43" s="149"/>
      <c r="F43" s="150"/>
      <c r="G43" s="150"/>
      <c r="H43" s="150"/>
      <c r="I43" s="150"/>
      <c r="J43" s="150"/>
      <c r="K43" s="150"/>
      <c r="L43" s="150"/>
      <c r="M43" s="150"/>
      <c r="N43" s="150"/>
      <c r="O43" s="150"/>
      <c r="P43" s="150"/>
      <c r="Q43" s="150"/>
      <c r="R43" s="150"/>
      <c r="S43" s="150"/>
      <c r="T43" s="150"/>
      <c r="U43" s="150"/>
      <c r="V43" s="150"/>
      <c r="W43" s="150"/>
      <c r="X43" s="150"/>
      <c r="Y43" s="150"/>
      <c r="Z43" s="151"/>
    </row>
    <row r="44" spans="1:26" ht="10.5" thickTop="1">
      <c r="A44" s="140"/>
    </row>
  </sheetData>
  <mergeCells count="24">
    <mergeCell ref="B41:D41"/>
    <mergeCell ref="B42:D42"/>
    <mergeCell ref="B43:D43"/>
    <mergeCell ref="A5:B5"/>
    <mergeCell ref="C5:E5"/>
    <mergeCell ref="F5:K5"/>
    <mergeCell ref="O5:Z5"/>
    <mergeCell ref="D17:E17"/>
    <mergeCell ref="B40:D40"/>
    <mergeCell ref="A3:B3"/>
    <mergeCell ref="C3:Z3"/>
    <mergeCell ref="A4:B4"/>
    <mergeCell ref="C4:E4"/>
    <mergeCell ref="F4:K4"/>
    <mergeCell ref="L4:N4"/>
    <mergeCell ref="O4:Z4"/>
    <mergeCell ref="A1:B1"/>
    <mergeCell ref="C1:E1"/>
    <mergeCell ref="F1:K1"/>
    <mergeCell ref="L1:Z1"/>
    <mergeCell ref="A2:B2"/>
    <mergeCell ref="C2:E2"/>
    <mergeCell ref="F2:K2"/>
    <mergeCell ref="L2:N2"/>
  </mergeCells>
  <dataValidations count="3">
    <dataValidation type="list" allowBlank="1" showInputMessage="1" showErrorMessage="1" sqref="F41:Z41" xr:uid="{3117288C-A2E7-42AF-A0B3-5064FD78EA05}">
      <formula1>"P,F, "</formula1>
    </dataValidation>
    <dataValidation type="list" allowBlank="1" showInputMessage="1" showErrorMessage="1" sqref="F40:Z40" xr:uid="{33F14DE7-B408-438B-8238-91410B4E30F2}">
      <formula1>"N,A,B, "</formula1>
    </dataValidation>
    <dataValidation type="list" allowBlank="1" showInputMessage="1" showErrorMessage="1" sqref="F8:Z39" xr:uid="{044FE86E-4B0C-42C8-A44E-7EBFB754FBFE}">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C8E3-1C43-4060-A8EC-191217D335B9}">
  <dimension ref="A1:AF56"/>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29" width="2.81640625" style="69" customWidth="1"/>
    <col min="30" max="30" width="2.81640625" style="69" bestFit="1" customWidth="1"/>
    <col min="31" max="31" width="2.81640625" style="69" customWidth="1"/>
    <col min="32" max="16384" width="9" style="69"/>
  </cols>
  <sheetData>
    <row r="1" spans="1:32" ht="13.5" customHeight="1">
      <c r="A1" s="189" t="s">
        <v>110</v>
      </c>
      <c r="B1" s="190"/>
      <c r="C1" s="191" t="s">
        <v>156</v>
      </c>
      <c r="D1" s="192"/>
      <c r="E1" s="193"/>
      <c r="F1" s="194" t="s">
        <v>111</v>
      </c>
      <c r="G1" s="195"/>
      <c r="H1" s="195"/>
      <c r="I1" s="195"/>
      <c r="J1" s="195"/>
      <c r="K1" s="195"/>
      <c r="L1" s="220" t="s">
        <v>374</v>
      </c>
      <c r="M1" s="221"/>
      <c r="N1" s="221"/>
      <c r="O1" s="221"/>
      <c r="P1" s="221"/>
      <c r="Q1" s="221"/>
      <c r="R1" s="221"/>
      <c r="S1" s="221"/>
      <c r="T1" s="221"/>
      <c r="U1" s="221"/>
      <c r="V1" s="221"/>
      <c r="W1" s="221"/>
      <c r="X1" s="221"/>
      <c r="Y1" s="221"/>
      <c r="Z1" s="221"/>
      <c r="AA1" s="221"/>
      <c r="AB1" s="221"/>
      <c r="AC1" s="221"/>
      <c r="AD1" s="222"/>
      <c r="AF1" s="71"/>
    </row>
    <row r="2" spans="1:3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6"/>
      <c r="U2" s="126"/>
      <c r="V2" s="126"/>
      <c r="W2" s="126"/>
      <c r="X2" s="126"/>
      <c r="Y2" s="126"/>
      <c r="Z2" s="126"/>
      <c r="AA2" s="126"/>
      <c r="AB2" s="126"/>
      <c r="AC2" s="126"/>
      <c r="AD2" s="127"/>
    </row>
    <row r="3" spans="1:32" ht="13.5" customHeight="1">
      <c r="A3" s="202" t="s">
        <v>64</v>
      </c>
      <c r="B3" s="203"/>
      <c r="C3" s="213" t="s">
        <v>375</v>
      </c>
      <c r="D3" s="213"/>
      <c r="E3" s="213"/>
      <c r="F3" s="214"/>
      <c r="G3" s="214"/>
      <c r="H3" s="214"/>
      <c r="I3" s="214"/>
      <c r="J3" s="214"/>
      <c r="K3" s="214"/>
      <c r="L3" s="213"/>
      <c r="M3" s="213"/>
      <c r="N3" s="213"/>
      <c r="O3" s="213"/>
      <c r="P3" s="213"/>
      <c r="Q3" s="213"/>
      <c r="R3" s="213"/>
      <c r="S3" s="213"/>
      <c r="T3" s="213"/>
      <c r="U3" s="213"/>
      <c r="V3" s="213"/>
      <c r="W3" s="213"/>
      <c r="X3" s="213"/>
      <c r="Y3" s="213"/>
      <c r="Z3" s="213"/>
      <c r="AA3" s="213"/>
      <c r="AB3" s="213"/>
      <c r="AC3" s="213"/>
      <c r="AD3" s="213"/>
    </row>
    <row r="4" spans="1:3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5"/>
      <c r="U4" s="215"/>
      <c r="V4" s="215"/>
      <c r="W4" s="215"/>
      <c r="X4" s="215"/>
      <c r="Y4" s="215"/>
      <c r="Z4" s="215"/>
      <c r="AA4" s="215"/>
      <c r="AB4" s="215"/>
      <c r="AC4" s="215"/>
      <c r="AD4" s="219"/>
      <c r="AF4" s="71"/>
    </row>
    <row r="5" spans="1:32" ht="13.5" customHeight="1" thickBot="1">
      <c r="A5" s="201">
        <f>COUNTIF(F53:IA53,"P")</f>
        <v>25</v>
      </c>
      <c r="B5" s="200"/>
      <c r="C5" s="197">
        <f>COUNTIF(F53:IA53,"F")</f>
        <v>0</v>
      </c>
      <c r="D5" s="198"/>
      <c r="E5" s="200"/>
      <c r="F5" s="197">
        <f>SUM(O5,- A5,- C5)</f>
        <v>0</v>
      </c>
      <c r="G5" s="198"/>
      <c r="H5" s="198"/>
      <c r="I5" s="198"/>
      <c r="J5" s="198"/>
      <c r="K5" s="199"/>
      <c r="L5" s="128">
        <f>COUNTIF(E52:IA52,"N")</f>
        <v>4</v>
      </c>
      <c r="M5" s="128">
        <f>COUNTIF(E52:IA52,"A")</f>
        <v>21</v>
      </c>
      <c r="N5" s="128">
        <f>COUNTIF(E52:IA52,"B")</f>
        <v>0</v>
      </c>
      <c r="O5" s="216">
        <f>COUNTA(E7:ID7)</f>
        <v>25</v>
      </c>
      <c r="P5" s="198"/>
      <c r="Q5" s="198"/>
      <c r="R5" s="198"/>
      <c r="S5" s="198"/>
      <c r="T5" s="198"/>
      <c r="U5" s="198"/>
      <c r="V5" s="198"/>
      <c r="W5" s="198"/>
      <c r="X5" s="198"/>
      <c r="Y5" s="198"/>
      <c r="Z5" s="198"/>
      <c r="AA5" s="198"/>
      <c r="AB5" s="198"/>
      <c r="AC5" s="198"/>
      <c r="AD5" s="217"/>
      <c r="AE5" s="72"/>
    </row>
    <row r="6" spans="1:32" ht="10.5" thickBot="1"/>
    <row r="7" spans="1:32" ht="46.5" customHeight="1" thickTop="1" thickBot="1">
      <c r="A7" s="159"/>
      <c r="B7" s="160"/>
      <c r="C7" s="161"/>
      <c r="D7" s="162"/>
      <c r="E7" s="161"/>
      <c r="F7" s="163" t="s">
        <v>32</v>
      </c>
      <c r="G7" s="163" t="s">
        <v>33</v>
      </c>
      <c r="H7" s="163" t="s">
        <v>34</v>
      </c>
      <c r="I7" s="163" t="s">
        <v>35</v>
      </c>
      <c r="J7" s="163" t="s">
        <v>36</v>
      </c>
      <c r="K7" s="163" t="s">
        <v>37</v>
      </c>
      <c r="L7" s="163" t="s">
        <v>38</v>
      </c>
      <c r="M7" s="163" t="s">
        <v>39</v>
      </c>
      <c r="N7" s="163" t="s">
        <v>40</v>
      </c>
      <c r="O7" s="163" t="s">
        <v>41</v>
      </c>
      <c r="P7" s="163" t="s">
        <v>42</v>
      </c>
      <c r="Q7" s="163" t="s">
        <v>43</v>
      </c>
      <c r="R7" s="163" t="s">
        <v>44</v>
      </c>
      <c r="S7" s="163" t="s">
        <v>45</v>
      </c>
      <c r="T7" s="163" t="s">
        <v>46</v>
      </c>
      <c r="U7" s="163" t="s">
        <v>302</v>
      </c>
      <c r="V7" s="163" t="s">
        <v>369</v>
      </c>
      <c r="W7" s="163" t="s">
        <v>370</v>
      </c>
      <c r="X7" s="163" t="s">
        <v>371</v>
      </c>
      <c r="Y7" s="163" t="s">
        <v>372</v>
      </c>
      <c r="Z7" s="163" t="s">
        <v>373</v>
      </c>
      <c r="AA7" s="163" t="s">
        <v>419</v>
      </c>
      <c r="AB7" s="163" t="s">
        <v>420</v>
      </c>
      <c r="AC7" s="163" t="s">
        <v>421</v>
      </c>
      <c r="AD7" s="164" t="s">
        <v>422</v>
      </c>
      <c r="AE7" s="74"/>
      <c r="AF7" s="71"/>
    </row>
    <row r="8" spans="1:32" ht="13.5" customHeight="1">
      <c r="A8" s="154" t="s">
        <v>66</v>
      </c>
      <c r="B8" s="155" t="s">
        <v>376</v>
      </c>
      <c r="C8" s="156"/>
      <c r="D8" s="157"/>
      <c r="E8" s="78"/>
      <c r="F8" s="123"/>
      <c r="G8" s="123"/>
      <c r="H8" s="123"/>
      <c r="I8" s="123"/>
      <c r="J8" s="123"/>
      <c r="K8" s="123"/>
      <c r="L8" s="123"/>
      <c r="M8" s="123"/>
      <c r="N8" s="123"/>
      <c r="O8" s="123"/>
      <c r="P8" s="123"/>
      <c r="Q8" s="123"/>
      <c r="R8" s="123"/>
      <c r="S8" s="123"/>
      <c r="T8" s="123"/>
      <c r="U8" s="123"/>
      <c r="V8" s="123"/>
      <c r="W8" s="123"/>
      <c r="X8" s="123"/>
      <c r="Y8" s="123"/>
      <c r="Z8" s="123"/>
      <c r="AA8" s="123"/>
      <c r="AB8" s="123"/>
      <c r="AC8" s="123"/>
      <c r="AD8" s="144"/>
    </row>
    <row r="9" spans="1:32" ht="13.5" customHeight="1">
      <c r="A9" s="142"/>
      <c r="B9" s="75"/>
      <c r="C9" s="76"/>
      <c r="D9" s="77" t="s">
        <v>377</v>
      </c>
      <c r="E9" s="78"/>
      <c r="F9" s="120" t="s">
        <v>86</v>
      </c>
      <c r="G9" s="120"/>
      <c r="H9" s="120"/>
      <c r="I9" s="120"/>
      <c r="J9" s="120"/>
      <c r="K9" s="120"/>
      <c r="L9" s="120"/>
      <c r="M9" s="120"/>
      <c r="N9" s="120"/>
      <c r="O9" s="120"/>
      <c r="P9" s="120"/>
      <c r="Q9" s="120"/>
      <c r="R9" s="120"/>
      <c r="S9" s="120"/>
      <c r="T9" s="120"/>
      <c r="U9" s="120"/>
      <c r="V9" s="120"/>
      <c r="W9" s="120"/>
      <c r="X9" s="120"/>
      <c r="Y9" s="120"/>
      <c r="Z9" s="120"/>
      <c r="AA9" s="120"/>
      <c r="AB9" s="120"/>
      <c r="AC9" s="120"/>
      <c r="AD9" s="141"/>
      <c r="AF9" s="71"/>
    </row>
    <row r="10" spans="1:32" ht="13.5" customHeight="1">
      <c r="A10" s="142"/>
      <c r="B10" s="75"/>
      <c r="C10" s="76"/>
      <c r="D10" s="77" t="s">
        <v>378</v>
      </c>
      <c r="E10" s="78"/>
      <c r="F10" s="120"/>
      <c r="G10" s="120" t="s">
        <v>86</v>
      </c>
      <c r="H10" s="120"/>
      <c r="I10" s="120"/>
      <c r="J10" s="120"/>
      <c r="K10" s="120"/>
      <c r="L10" s="120"/>
      <c r="M10" s="120"/>
      <c r="N10" s="120"/>
      <c r="O10" s="120"/>
      <c r="P10" s="120"/>
      <c r="Q10" s="120"/>
      <c r="R10" s="120"/>
      <c r="S10" s="120"/>
      <c r="T10" s="120"/>
      <c r="U10" s="120"/>
      <c r="V10" s="120"/>
      <c r="W10" s="120"/>
      <c r="X10" s="120"/>
      <c r="Y10" s="120"/>
      <c r="Z10" s="120"/>
      <c r="AA10" s="120"/>
      <c r="AB10" s="120"/>
      <c r="AC10" s="120"/>
      <c r="AD10" s="141"/>
    </row>
    <row r="11" spans="1:32" ht="13.5" customHeight="1">
      <c r="A11" s="142"/>
      <c r="B11" s="75"/>
      <c r="C11" s="76"/>
      <c r="D11" s="77" t="s">
        <v>379</v>
      </c>
      <c r="E11" s="79"/>
      <c r="F11" s="120"/>
      <c r="G11" s="120"/>
      <c r="H11" s="120" t="s">
        <v>86</v>
      </c>
      <c r="I11" s="120"/>
      <c r="J11" s="120"/>
      <c r="K11" s="120"/>
      <c r="L11" s="120"/>
      <c r="M11" s="120"/>
      <c r="N11" s="120"/>
      <c r="O11" s="120"/>
      <c r="P11" s="120"/>
      <c r="Q11" s="120"/>
      <c r="R11" s="120"/>
      <c r="S11" s="120"/>
      <c r="T11" s="120"/>
      <c r="U11" s="120"/>
      <c r="V11" s="120"/>
      <c r="W11" s="120"/>
      <c r="X11" s="120"/>
      <c r="Y11" s="120"/>
      <c r="Z11" s="120"/>
      <c r="AA11" s="120"/>
      <c r="AB11" s="120"/>
      <c r="AC11" s="120"/>
      <c r="AD11" s="141"/>
    </row>
    <row r="12" spans="1:32" ht="13.5" customHeight="1">
      <c r="A12" s="142"/>
      <c r="B12" s="75"/>
      <c r="C12" s="76"/>
      <c r="D12" s="77" t="s">
        <v>380</v>
      </c>
      <c r="E12" s="80"/>
      <c r="F12" s="120"/>
      <c r="G12" s="120"/>
      <c r="H12" s="120"/>
      <c r="I12" s="120" t="s">
        <v>86</v>
      </c>
      <c r="J12" s="120"/>
      <c r="K12" s="120"/>
      <c r="L12" s="120"/>
      <c r="M12" s="120"/>
      <c r="N12" s="120"/>
      <c r="O12" s="120"/>
      <c r="P12" s="120"/>
      <c r="Q12" s="120"/>
      <c r="R12" s="120"/>
      <c r="S12" s="120"/>
      <c r="T12" s="120"/>
      <c r="U12" s="120"/>
      <c r="V12" s="120"/>
      <c r="W12" s="120"/>
      <c r="X12" s="120"/>
      <c r="Y12" s="120"/>
      <c r="Z12" s="120"/>
      <c r="AA12" s="120"/>
      <c r="AB12" s="120"/>
      <c r="AC12" s="120"/>
      <c r="AD12" s="141"/>
    </row>
    <row r="13" spans="1:32" ht="13.5" customHeight="1">
      <c r="A13" s="142"/>
      <c r="B13" s="75"/>
      <c r="C13" s="76"/>
      <c r="D13" s="77" t="s">
        <v>381</v>
      </c>
      <c r="E13" s="80"/>
      <c r="F13" s="120"/>
      <c r="G13" s="120"/>
      <c r="H13" s="120"/>
      <c r="I13" s="120"/>
      <c r="J13" s="120" t="s">
        <v>86</v>
      </c>
      <c r="K13" s="120" t="s">
        <v>86</v>
      </c>
      <c r="L13" s="120" t="s">
        <v>86</v>
      </c>
      <c r="M13" s="120" t="s">
        <v>86</v>
      </c>
      <c r="N13" s="120" t="s">
        <v>86</v>
      </c>
      <c r="O13" s="120" t="s">
        <v>86</v>
      </c>
      <c r="P13" s="120" t="s">
        <v>86</v>
      </c>
      <c r="Q13" s="120" t="s">
        <v>86</v>
      </c>
      <c r="R13" s="120" t="s">
        <v>86</v>
      </c>
      <c r="S13" s="120" t="s">
        <v>86</v>
      </c>
      <c r="T13" s="120" t="s">
        <v>86</v>
      </c>
      <c r="U13" s="120" t="s">
        <v>86</v>
      </c>
      <c r="V13" s="120" t="s">
        <v>86</v>
      </c>
      <c r="W13" s="120" t="s">
        <v>86</v>
      </c>
      <c r="X13" s="120" t="s">
        <v>86</v>
      </c>
      <c r="Y13" s="120" t="s">
        <v>86</v>
      </c>
      <c r="Z13" s="120" t="s">
        <v>86</v>
      </c>
      <c r="AA13" s="120" t="s">
        <v>86</v>
      </c>
      <c r="AB13" s="120" t="s">
        <v>86</v>
      </c>
      <c r="AC13" s="120" t="s">
        <v>86</v>
      </c>
      <c r="AD13" s="141" t="s">
        <v>86</v>
      </c>
    </row>
    <row r="14" spans="1:32" ht="13.5" customHeight="1">
      <c r="A14" s="142"/>
      <c r="B14" s="75" t="s">
        <v>382</v>
      </c>
      <c r="C14" s="76"/>
      <c r="D14" s="77"/>
      <c r="E14" s="8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41"/>
    </row>
    <row r="15" spans="1:32" ht="13.5" customHeight="1">
      <c r="A15" s="142"/>
      <c r="B15" s="75"/>
      <c r="C15" s="76"/>
      <c r="D15" s="77" t="s">
        <v>383</v>
      </c>
      <c r="E15" s="80"/>
      <c r="F15" s="120" t="s">
        <v>86</v>
      </c>
      <c r="G15" s="120" t="s">
        <v>86</v>
      </c>
      <c r="H15" s="120" t="s">
        <v>86</v>
      </c>
      <c r="I15" s="120" t="s">
        <v>86</v>
      </c>
      <c r="J15" s="120"/>
      <c r="K15" s="120"/>
      <c r="L15" s="120"/>
      <c r="M15" s="120"/>
      <c r="N15" s="120" t="s">
        <v>86</v>
      </c>
      <c r="O15" s="120" t="s">
        <v>86</v>
      </c>
      <c r="P15" s="120"/>
      <c r="Q15" s="120" t="s">
        <v>86</v>
      </c>
      <c r="R15" s="120" t="s">
        <v>86</v>
      </c>
      <c r="S15" s="120" t="s">
        <v>86</v>
      </c>
      <c r="T15" s="120" t="s">
        <v>86</v>
      </c>
      <c r="U15" s="120" t="s">
        <v>86</v>
      </c>
      <c r="V15" s="120" t="s">
        <v>86</v>
      </c>
      <c r="W15" s="120" t="s">
        <v>86</v>
      </c>
      <c r="X15" s="120" t="s">
        <v>86</v>
      </c>
      <c r="Y15" s="120" t="s">
        <v>86</v>
      </c>
      <c r="Z15" s="120" t="s">
        <v>86</v>
      </c>
      <c r="AA15" s="120" t="s">
        <v>86</v>
      </c>
      <c r="AB15" s="120" t="s">
        <v>86</v>
      </c>
      <c r="AC15" s="120" t="s">
        <v>86</v>
      </c>
      <c r="AD15" s="141" t="s">
        <v>86</v>
      </c>
      <c r="AE15" s="121"/>
    </row>
    <row r="16" spans="1:32" ht="13.5" customHeight="1">
      <c r="A16" s="142"/>
      <c r="B16" s="75"/>
      <c r="C16" s="76"/>
      <c r="D16" s="77" t="s">
        <v>384</v>
      </c>
      <c r="E16" s="80"/>
      <c r="F16" s="120"/>
      <c r="G16" s="120"/>
      <c r="H16" s="120"/>
      <c r="I16" s="120"/>
      <c r="J16" s="120"/>
      <c r="K16" s="120"/>
      <c r="L16" s="120"/>
      <c r="M16" s="120"/>
      <c r="N16" s="120"/>
      <c r="O16" s="120"/>
      <c r="P16" s="120" t="s">
        <v>86</v>
      </c>
      <c r="Q16" s="120"/>
      <c r="R16" s="120"/>
      <c r="S16" s="120"/>
      <c r="T16" s="120"/>
      <c r="U16" s="120"/>
      <c r="V16" s="120"/>
      <c r="W16" s="120"/>
      <c r="X16" s="120"/>
      <c r="Y16" s="120"/>
      <c r="Z16" s="120"/>
      <c r="AA16" s="120"/>
      <c r="AB16" s="120"/>
      <c r="AC16" s="120"/>
      <c r="AD16" s="141"/>
      <c r="AE16" s="121"/>
    </row>
    <row r="17" spans="1:30" ht="13.5" customHeight="1">
      <c r="A17" s="142"/>
      <c r="B17" s="75"/>
      <c r="C17" s="76"/>
      <c r="D17" s="210" t="s">
        <v>385</v>
      </c>
      <c r="E17" s="210"/>
      <c r="F17" s="120"/>
      <c r="G17" s="120"/>
      <c r="H17" s="120"/>
      <c r="I17" s="120"/>
      <c r="J17" s="120" t="s">
        <v>86</v>
      </c>
      <c r="K17" s="120"/>
      <c r="L17" s="120"/>
      <c r="M17" s="120"/>
      <c r="N17" s="120"/>
      <c r="O17" s="120"/>
      <c r="P17" s="120"/>
      <c r="Q17" s="120"/>
      <c r="R17" s="120"/>
      <c r="S17" s="120"/>
      <c r="T17" s="120"/>
      <c r="U17" s="120"/>
      <c r="V17" s="120"/>
      <c r="W17" s="120"/>
      <c r="X17" s="120"/>
      <c r="Y17" s="120"/>
      <c r="Z17" s="120"/>
      <c r="AA17" s="120"/>
      <c r="AB17" s="120"/>
      <c r="AC17" s="120"/>
      <c r="AD17" s="141"/>
    </row>
    <row r="18" spans="1:30" ht="13.5" customHeight="1">
      <c r="A18" s="142"/>
      <c r="B18" s="75"/>
      <c r="C18" s="76"/>
      <c r="D18" s="77" t="s">
        <v>386</v>
      </c>
      <c r="E18" s="80"/>
      <c r="F18" s="120"/>
      <c r="G18" s="120"/>
      <c r="H18" s="120"/>
      <c r="I18" s="120"/>
      <c r="J18" s="120"/>
      <c r="K18" s="120" t="s">
        <v>86</v>
      </c>
      <c r="L18" s="120"/>
      <c r="M18" s="120"/>
      <c r="N18" s="120"/>
      <c r="O18" s="120"/>
      <c r="P18" s="120"/>
      <c r="Q18" s="120"/>
      <c r="R18" s="120"/>
      <c r="S18" s="120"/>
      <c r="T18" s="120"/>
      <c r="U18" s="120"/>
      <c r="V18" s="120"/>
      <c r="W18" s="120"/>
      <c r="X18" s="120"/>
      <c r="Y18" s="120"/>
      <c r="Z18" s="120"/>
      <c r="AA18" s="120"/>
      <c r="AB18" s="120"/>
      <c r="AC18" s="120"/>
      <c r="AD18" s="141"/>
    </row>
    <row r="19" spans="1:30" ht="13.5" customHeight="1">
      <c r="A19" s="142"/>
      <c r="B19" s="75"/>
      <c r="C19" s="76"/>
      <c r="D19" s="77" t="s">
        <v>387</v>
      </c>
      <c r="E19" s="80"/>
      <c r="F19" s="120"/>
      <c r="G19" s="120"/>
      <c r="H19" s="120"/>
      <c r="I19" s="120"/>
      <c r="J19" s="120"/>
      <c r="K19" s="120"/>
      <c r="L19" s="120" t="s">
        <v>86</v>
      </c>
      <c r="M19" s="120"/>
      <c r="N19" s="120"/>
      <c r="O19" s="120"/>
      <c r="P19" s="120"/>
      <c r="Q19" s="120"/>
      <c r="R19" s="120"/>
      <c r="S19" s="120"/>
      <c r="T19" s="120"/>
      <c r="U19" s="120"/>
      <c r="V19" s="120"/>
      <c r="W19" s="120"/>
      <c r="X19" s="120"/>
      <c r="Y19" s="120"/>
      <c r="Z19" s="120"/>
      <c r="AA19" s="120"/>
      <c r="AB19" s="120"/>
      <c r="AC19" s="120"/>
      <c r="AD19" s="141"/>
    </row>
    <row r="20" spans="1:30" ht="13.5" customHeight="1">
      <c r="A20" s="142"/>
      <c r="B20" s="75"/>
      <c r="C20" s="76"/>
      <c r="D20" s="77" t="s">
        <v>388</v>
      </c>
      <c r="E20" s="80"/>
      <c r="F20" s="120"/>
      <c r="G20" s="120"/>
      <c r="H20" s="120"/>
      <c r="I20" s="120"/>
      <c r="J20" s="120"/>
      <c r="K20" s="120"/>
      <c r="L20" s="120"/>
      <c r="M20" s="120" t="s">
        <v>86</v>
      </c>
      <c r="N20" s="120"/>
      <c r="O20" s="120"/>
      <c r="P20" s="120"/>
      <c r="Q20" s="120"/>
      <c r="R20" s="120"/>
      <c r="S20" s="120"/>
      <c r="T20" s="120"/>
      <c r="U20" s="120"/>
      <c r="V20" s="120"/>
      <c r="W20" s="120"/>
      <c r="X20" s="120"/>
      <c r="Y20" s="120"/>
      <c r="Z20" s="120"/>
      <c r="AA20" s="120"/>
      <c r="AB20" s="120"/>
      <c r="AC20" s="120"/>
      <c r="AD20" s="141"/>
    </row>
    <row r="21" spans="1:30" ht="13.5" customHeight="1">
      <c r="A21" s="142"/>
      <c r="B21" s="75" t="s">
        <v>389</v>
      </c>
      <c r="C21" s="76"/>
      <c r="D21" s="77"/>
      <c r="E21" s="8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41"/>
    </row>
    <row r="22" spans="1:30" ht="13.5" customHeight="1">
      <c r="A22" s="142"/>
      <c r="B22" s="75"/>
      <c r="C22" s="76"/>
      <c r="D22" s="77" t="s">
        <v>390</v>
      </c>
      <c r="E22" s="80"/>
      <c r="F22" s="120"/>
      <c r="G22" s="120"/>
      <c r="H22" s="120"/>
      <c r="I22" s="120"/>
      <c r="J22" s="120"/>
      <c r="K22" s="120"/>
      <c r="L22" s="120"/>
      <c r="M22" s="120"/>
      <c r="N22" s="120" t="s">
        <v>86</v>
      </c>
      <c r="O22" s="120"/>
      <c r="P22" s="120"/>
      <c r="Q22" s="120"/>
      <c r="R22" s="120"/>
      <c r="S22" s="120"/>
      <c r="T22" s="120"/>
      <c r="U22" s="120"/>
      <c r="V22" s="120"/>
      <c r="W22" s="120"/>
      <c r="X22" s="120"/>
      <c r="Y22" s="120"/>
      <c r="Z22" s="120"/>
      <c r="AA22" s="120"/>
      <c r="AB22" s="120"/>
      <c r="AC22" s="120"/>
      <c r="AD22" s="141"/>
    </row>
    <row r="23" spans="1:30" ht="13.5" customHeight="1">
      <c r="A23" s="142"/>
      <c r="B23" s="75"/>
      <c r="C23" s="76"/>
      <c r="D23" s="77" t="s">
        <v>391</v>
      </c>
      <c r="E23" s="80"/>
      <c r="F23" s="120" t="s">
        <v>86</v>
      </c>
      <c r="G23" s="120" t="s">
        <v>86</v>
      </c>
      <c r="H23" s="120" t="s">
        <v>86</v>
      </c>
      <c r="I23" s="120" t="s">
        <v>86</v>
      </c>
      <c r="J23" s="120" t="s">
        <v>86</v>
      </c>
      <c r="K23" s="120" t="s">
        <v>86</v>
      </c>
      <c r="L23" s="120" t="s">
        <v>86</v>
      </c>
      <c r="M23" s="120" t="s">
        <v>86</v>
      </c>
      <c r="N23" s="120"/>
      <c r="O23" s="120" t="s">
        <v>86</v>
      </c>
      <c r="P23" s="120"/>
      <c r="Q23" s="120"/>
      <c r="R23" s="120"/>
      <c r="S23" s="120"/>
      <c r="T23" s="120"/>
      <c r="U23" s="120"/>
      <c r="V23" s="120"/>
      <c r="W23" s="120"/>
      <c r="X23" s="120"/>
      <c r="Y23" s="120"/>
      <c r="Z23" s="120"/>
      <c r="AA23" s="120"/>
      <c r="AB23" s="120"/>
      <c r="AC23" s="120"/>
      <c r="AD23" s="141" t="s">
        <v>86</v>
      </c>
    </row>
    <row r="24" spans="1:30" ht="13.5" customHeight="1">
      <c r="A24" s="142"/>
      <c r="B24" s="75"/>
      <c r="C24" s="76"/>
      <c r="D24" s="77" t="s">
        <v>392</v>
      </c>
      <c r="E24" s="80"/>
      <c r="F24" s="120"/>
      <c r="G24" s="120"/>
      <c r="H24" s="120"/>
      <c r="I24" s="120"/>
      <c r="J24" s="120"/>
      <c r="K24" s="120"/>
      <c r="L24" s="120"/>
      <c r="M24" s="120"/>
      <c r="N24" s="120"/>
      <c r="O24" s="120"/>
      <c r="P24" s="120" t="s">
        <v>86</v>
      </c>
      <c r="Q24" s="120"/>
      <c r="R24" s="120"/>
      <c r="S24" s="120"/>
      <c r="T24" s="120"/>
      <c r="U24" s="120"/>
      <c r="V24" s="120"/>
      <c r="W24" s="120"/>
      <c r="X24" s="120"/>
      <c r="Y24" s="120"/>
      <c r="Z24" s="120"/>
      <c r="AA24" s="120"/>
      <c r="AB24" s="120"/>
      <c r="AC24" s="120"/>
      <c r="AD24" s="141"/>
    </row>
    <row r="25" spans="1:30" ht="13.5" customHeight="1">
      <c r="A25" s="142"/>
      <c r="B25" s="75"/>
      <c r="C25" s="76"/>
      <c r="D25" s="77" t="s">
        <v>393</v>
      </c>
      <c r="E25" s="80"/>
      <c r="F25" s="120"/>
      <c r="G25" s="120"/>
      <c r="H25" s="120"/>
      <c r="I25" s="120"/>
      <c r="J25" s="120"/>
      <c r="K25" s="120"/>
      <c r="L25" s="120"/>
      <c r="M25" s="120"/>
      <c r="N25" s="120"/>
      <c r="O25" s="120"/>
      <c r="P25" s="120"/>
      <c r="Q25" s="120" t="s">
        <v>86</v>
      </c>
      <c r="R25" s="120"/>
      <c r="S25" s="120"/>
      <c r="T25" s="120"/>
      <c r="U25" s="120"/>
      <c r="V25" s="120"/>
      <c r="W25" s="120"/>
      <c r="X25" s="120"/>
      <c r="Y25" s="120"/>
      <c r="Z25" s="120"/>
      <c r="AA25" s="120"/>
      <c r="AB25" s="120"/>
      <c r="AC25" s="120"/>
      <c r="AD25" s="141"/>
    </row>
    <row r="26" spans="1:30" ht="13.5" customHeight="1">
      <c r="A26" s="142"/>
      <c r="B26" s="75"/>
      <c r="C26" s="76"/>
      <c r="D26" s="77" t="s">
        <v>394</v>
      </c>
      <c r="E26" s="80"/>
      <c r="F26" s="120"/>
      <c r="G26" s="120"/>
      <c r="H26" s="120"/>
      <c r="I26" s="120"/>
      <c r="J26" s="120"/>
      <c r="K26" s="120"/>
      <c r="L26" s="120"/>
      <c r="M26" s="120"/>
      <c r="N26" s="120"/>
      <c r="O26" s="120"/>
      <c r="P26" s="120"/>
      <c r="Q26" s="120"/>
      <c r="R26" s="120" t="s">
        <v>86</v>
      </c>
      <c r="S26" s="120"/>
      <c r="T26" s="120"/>
      <c r="U26" s="120"/>
      <c r="V26" s="120"/>
      <c r="W26" s="120"/>
      <c r="X26" s="120"/>
      <c r="Y26" s="120"/>
      <c r="Z26" s="120"/>
      <c r="AA26" s="120"/>
      <c r="AB26" s="120"/>
      <c r="AC26" s="120"/>
      <c r="AD26" s="141"/>
    </row>
    <row r="27" spans="1:30" ht="13.5" customHeight="1">
      <c r="A27" s="142"/>
      <c r="B27" s="75"/>
      <c r="C27" s="76"/>
      <c r="D27" s="77" t="s">
        <v>395</v>
      </c>
      <c r="E27" s="80"/>
      <c r="F27" s="120"/>
      <c r="G27" s="120"/>
      <c r="H27" s="120"/>
      <c r="I27" s="120"/>
      <c r="J27" s="120"/>
      <c r="K27" s="120"/>
      <c r="L27" s="120"/>
      <c r="M27" s="120"/>
      <c r="N27" s="120"/>
      <c r="O27" s="120"/>
      <c r="P27" s="120"/>
      <c r="Q27" s="120"/>
      <c r="R27" s="120"/>
      <c r="S27" s="120" t="s">
        <v>86</v>
      </c>
      <c r="T27" s="120"/>
      <c r="U27" s="120"/>
      <c r="V27" s="120"/>
      <c r="W27" s="120"/>
      <c r="X27" s="120"/>
      <c r="Y27" s="120"/>
      <c r="Z27" s="120"/>
      <c r="AA27" s="120"/>
      <c r="AB27" s="120"/>
      <c r="AC27" s="120"/>
      <c r="AD27" s="141"/>
    </row>
    <row r="28" spans="1:30" ht="13.5" customHeight="1">
      <c r="A28" s="142"/>
      <c r="B28" s="75"/>
      <c r="C28" s="76"/>
      <c r="D28" s="77" t="s">
        <v>396</v>
      </c>
      <c r="E28" s="80"/>
      <c r="F28" s="120"/>
      <c r="G28" s="120"/>
      <c r="H28" s="120"/>
      <c r="I28" s="120"/>
      <c r="J28" s="120"/>
      <c r="K28" s="120"/>
      <c r="L28" s="120"/>
      <c r="M28" s="120"/>
      <c r="N28" s="120"/>
      <c r="O28" s="120"/>
      <c r="P28" s="120"/>
      <c r="Q28" s="120"/>
      <c r="R28" s="120"/>
      <c r="S28" s="120"/>
      <c r="T28" s="120" t="s">
        <v>86</v>
      </c>
      <c r="U28" s="120"/>
      <c r="V28" s="120"/>
      <c r="W28" s="120"/>
      <c r="X28" s="120"/>
      <c r="Y28" s="120"/>
      <c r="Z28" s="120"/>
      <c r="AA28" s="120"/>
      <c r="AB28" s="120"/>
      <c r="AC28" s="120"/>
      <c r="AD28" s="141"/>
    </row>
    <row r="29" spans="1:30" ht="13.5" customHeight="1">
      <c r="A29" s="142"/>
      <c r="B29" s="75"/>
      <c r="C29" s="76"/>
      <c r="D29" s="77" t="s">
        <v>397</v>
      </c>
      <c r="E29" s="80"/>
      <c r="F29" s="120"/>
      <c r="G29" s="120"/>
      <c r="H29" s="120"/>
      <c r="I29" s="120"/>
      <c r="J29" s="120"/>
      <c r="K29" s="120"/>
      <c r="L29" s="120"/>
      <c r="M29" s="120"/>
      <c r="N29" s="120"/>
      <c r="O29" s="120"/>
      <c r="P29" s="120"/>
      <c r="Q29" s="120"/>
      <c r="R29" s="120"/>
      <c r="S29" s="120"/>
      <c r="T29" s="120"/>
      <c r="U29" s="120" t="s">
        <v>86</v>
      </c>
      <c r="V29" s="120"/>
      <c r="W29" s="120"/>
      <c r="X29" s="120"/>
      <c r="Y29" s="120"/>
      <c r="Z29" s="120"/>
      <c r="AA29" s="120"/>
      <c r="AB29" s="120"/>
      <c r="AC29" s="120"/>
      <c r="AD29" s="141"/>
    </row>
    <row r="30" spans="1:30" ht="13.5" customHeight="1">
      <c r="A30" s="142"/>
      <c r="B30" s="75"/>
      <c r="C30" s="76"/>
      <c r="D30" s="77" t="s">
        <v>398</v>
      </c>
      <c r="E30" s="80"/>
      <c r="F30" s="120"/>
      <c r="G30" s="120"/>
      <c r="H30" s="120"/>
      <c r="I30" s="120"/>
      <c r="J30" s="120"/>
      <c r="K30" s="120"/>
      <c r="L30" s="120"/>
      <c r="M30" s="120"/>
      <c r="N30" s="120"/>
      <c r="O30" s="120"/>
      <c r="P30" s="120"/>
      <c r="Q30" s="120"/>
      <c r="R30" s="120"/>
      <c r="S30" s="120"/>
      <c r="T30" s="120"/>
      <c r="U30" s="120"/>
      <c r="V30" s="120" t="s">
        <v>86</v>
      </c>
      <c r="W30" s="120"/>
      <c r="X30" s="120"/>
      <c r="Y30" s="120"/>
      <c r="Z30" s="120"/>
      <c r="AA30" s="120"/>
      <c r="AB30" s="120"/>
      <c r="AC30" s="120"/>
      <c r="AD30" s="141"/>
    </row>
    <row r="31" spans="1:30" ht="13.5" customHeight="1">
      <c r="A31" s="142"/>
      <c r="B31" s="75"/>
      <c r="C31" s="76"/>
      <c r="D31" s="77" t="s">
        <v>399</v>
      </c>
      <c r="E31" s="80"/>
      <c r="F31" s="120"/>
      <c r="G31" s="120"/>
      <c r="H31" s="120"/>
      <c r="I31" s="120"/>
      <c r="J31" s="120"/>
      <c r="K31" s="120"/>
      <c r="L31" s="120"/>
      <c r="M31" s="120"/>
      <c r="N31" s="120"/>
      <c r="O31" s="120"/>
      <c r="P31" s="120"/>
      <c r="Q31" s="120"/>
      <c r="R31" s="120"/>
      <c r="S31" s="120"/>
      <c r="T31" s="120"/>
      <c r="U31" s="120"/>
      <c r="V31" s="120"/>
      <c r="W31" s="120" t="s">
        <v>86</v>
      </c>
      <c r="X31" s="120"/>
      <c r="Y31" s="120"/>
      <c r="Z31" s="120"/>
      <c r="AA31" s="120"/>
      <c r="AB31" s="120"/>
      <c r="AC31" s="120"/>
      <c r="AD31" s="141"/>
    </row>
    <row r="32" spans="1:30" ht="13.5" customHeight="1">
      <c r="A32" s="142"/>
      <c r="B32" s="75"/>
      <c r="C32" s="76"/>
      <c r="D32" s="77" t="s">
        <v>400</v>
      </c>
      <c r="E32" s="80"/>
      <c r="F32" s="120"/>
      <c r="G32" s="120"/>
      <c r="H32" s="120"/>
      <c r="I32" s="120"/>
      <c r="J32" s="120"/>
      <c r="K32" s="120"/>
      <c r="L32" s="120"/>
      <c r="M32" s="120"/>
      <c r="N32" s="120"/>
      <c r="O32" s="120"/>
      <c r="P32" s="120"/>
      <c r="Q32" s="120"/>
      <c r="R32" s="120"/>
      <c r="S32" s="120"/>
      <c r="T32" s="120"/>
      <c r="U32" s="120"/>
      <c r="V32" s="120"/>
      <c r="W32" s="120"/>
      <c r="X32" s="120" t="s">
        <v>86</v>
      </c>
      <c r="Y32" s="120"/>
      <c r="Z32" s="120"/>
      <c r="AA32" s="120"/>
      <c r="AB32" s="120"/>
      <c r="AC32" s="120"/>
      <c r="AD32" s="141"/>
    </row>
    <row r="33" spans="1:30" ht="13.5" customHeight="1">
      <c r="A33" s="142"/>
      <c r="B33" s="75"/>
      <c r="C33" s="76"/>
      <c r="D33" s="77" t="s">
        <v>401</v>
      </c>
      <c r="E33" s="80"/>
      <c r="F33" s="120"/>
      <c r="G33" s="120"/>
      <c r="H33" s="120"/>
      <c r="I33" s="120"/>
      <c r="J33" s="120"/>
      <c r="K33" s="120"/>
      <c r="L33" s="120"/>
      <c r="M33" s="120"/>
      <c r="N33" s="120"/>
      <c r="O33" s="120"/>
      <c r="P33" s="120"/>
      <c r="Q33" s="120"/>
      <c r="R33" s="120"/>
      <c r="S33" s="120"/>
      <c r="T33" s="120"/>
      <c r="U33" s="120"/>
      <c r="V33" s="120"/>
      <c r="W33" s="120"/>
      <c r="X33" s="120"/>
      <c r="Y33" s="120" t="s">
        <v>86</v>
      </c>
      <c r="Z33" s="120" t="s">
        <v>86</v>
      </c>
      <c r="AA33" s="120" t="s">
        <v>86</v>
      </c>
      <c r="AB33" s="120" t="s">
        <v>86</v>
      </c>
      <c r="AC33" s="120" t="s">
        <v>86</v>
      </c>
      <c r="AD33" s="141"/>
    </row>
    <row r="34" spans="1:30" ht="13.5" customHeight="1">
      <c r="A34" s="142"/>
      <c r="B34" s="75" t="s">
        <v>402</v>
      </c>
      <c r="C34" s="76"/>
      <c r="D34" s="77"/>
      <c r="E34" s="80"/>
      <c r="F34" s="120"/>
      <c r="G34" s="120"/>
      <c r="H34" s="120"/>
      <c r="I34" s="120"/>
      <c r="J34" s="120"/>
      <c r="K34" s="120"/>
      <c r="L34" s="120"/>
      <c r="M34" s="120"/>
      <c r="N34" s="120"/>
      <c r="O34" s="120"/>
      <c r="P34" s="120"/>
      <c r="Q34" s="120"/>
      <c r="R34" s="120"/>
      <c r="S34" s="120"/>
      <c r="T34" s="120"/>
      <c r="U34" s="120"/>
      <c r="V34" s="120"/>
      <c r="W34" s="120"/>
      <c r="X34" s="120"/>
      <c r="Y34" s="120"/>
      <c r="Z34" s="120"/>
      <c r="AA34" s="120"/>
      <c r="AB34" s="120"/>
      <c r="AC34" s="120"/>
      <c r="AD34" s="141"/>
    </row>
    <row r="35" spans="1:30" ht="13.5" customHeight="1">
      <c r="A35" s="142"/>
      <c r="B35" s="75"/>
      <c r="C35" s="76"/>
      <c r="D35" s="77" t="s">
        <v>403</v>
      </c>
      <c r="E35" s="80"/>
      <c r="F35" s="120"/>
      <c r="G35" s="120"/>
      <c r="H35" s="120"/>
      <c r="I35" s="120"/>
      <c r="J35" s="120"/>
      <c r="K35" s="120"/>
      <c r="L35" s="120"/>
      <c r="M35" s="120"/>
      <c r="N35" s="120"/>
      <c r="O35" s="120"/>
      <c r="P35" s="120"/>
      <c r="Q35" s="120"/>
      <c r="R35" s="120"/>
      <c r="S35" s="120"/>
      <c r="T35" s="120"/>
      <c r="U35" s="120"/>
      <c r="V35" s="120"/>
      <c r="W35" s="120"/>
      <c r="X35" s="120"/>
      <c r="Y35" s="120"/>
      <c r="Z35" s="120" t="s">
        <v>86</v>
      </c>
      <c r="AA35" s="120"/>
      <c r="AB35" s="120"/>
      <c r="AC35" s="120"/>
      <c r="AD35" s="141" t="s">
        <v>86</v>
      </c>
    </row>
    <row r="36" spans="1:30" ht="13.5" customHeight="1">
      <c r="A36" s="142"/>
      <c r="B36" s="75"/>
      <c r="C36" s="76"/>
      <c r="D36" s="77" t="s">
        <v>404</v>
      </c>
      <c r="E36" s="80"/>
      <c r="F36" s="120"/>
      <c r="G36" s="120"/>
      <c r="H36" s="120"/>
      <c r="I36" s="120"/>
      <c r="J36" s="120"/>
      <c r="K36" s="120"/>
      <c r="L36" s="120"/>
      <c r="M36" s="120"/>
      <c r="N36" s="120"/>
      <c r="O36" s="120"/>
      <c r="P36" s="120"/>
      <c r="Q36" s="120"/>
      <c r="R36" s="120"/>
      <c r="S36" s="120"/>
      <c r="T36" s="120"/>
      <c r="U36" s="120"/>
      <c r="V36" s="120"/>
      <c r="W36" s="120"/>
      <c r="X36" s="120"/>
      <c r="Y36" s="120"/>
      <c r="Z36" s="120"/>
      <c r="AA36" s="120" t="s">
        <v>86</v>
      </c>
      <c r="AB36" s="120"/>
      <c r="AC36" s="120"/>
      <c r="AD36" s="141"/>
    </row>
    <row r="37" spans="1:30" ht="13.5" customHeight="1">
      <c r="A37" s="142"/>
      <c r="B37" s="75"/>
      <c r="C37" s="76"/>
      <c r="D37" s="77" t="s">
        <v>405</v>
      </c>
      <c r="E37" s="8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t="s">
        <v>86</v>
      </c>
      <c r="AC37" s="120"/>
      <c r="AD37" s="141"/>
    </row>
    <row r="38" spans="1:30" ht="13.5" customHeight="1" thickBot="1">
      <c r="A38" s="142"/>
      <c r="B38" s="81"/>
      <c r="C38" s="82"/>
      <c r="D38" s="83" t="s">
        <v>406</v>
      </c>
      <c r="E38" s="84"/>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t="s">
        <v>86</v>
      </c>
      <c r="AD38" s="143"/>
    </row>
    <row r="39" spans="1:30" ht="13.5" customHeight="1" thickTop="1">
      <c r="A39" s="153" t="s">
        <v>67</v>
      </c>
      <c r="B39" s="85" t="s">
        <v>153</v>
      </c>
      <c r="C39" s="86"/>
      <c r="D39" s="87"/>
      <c r="E39" s="88"/>
      <c r="F39" s="123"/>
      <c r="G39" s="123"/>
      <c r="H39" s="123"/>
      <c r="I39" s="123"/>
      <c r="J39" s="123"/>
      <c r="K39" s="123"/>
      <c r="L39" s="123"/>
      <c r="M39" s="123"/>
      <c r="N39" s="123"/>
      <c r="O39" s="123"/>
      <c r="P39" s="123"/>
      <c r="Q39" s="123"/>
      <c r="R39" s="123"/>
      <c r="S39" s="123"/>
      <c r="T39" s="123"/>
      <c r="U39" s="123"/>
      <c r="V39" s="123"/>
      <c r="W39" s="123"/>
      <c r="X39" s="123"/>
      <c r="Y39" s="123"/>
      <c r="Z39" s="123"/>
      <c r="AA39" s="123"/>
      <c r="AB39" s="123"/>
      <c r="AC39" s="123"/>
      <c r="AD39" s="144"/>
    </row>
    <row r="40" spans="1:30" ht="13.5" customHeight="1">
      <c r="A40" s="152"/>
      <c r="B40" s="89"/>
      <c r="C40" s="90"/>
      <c r="D40" s="91" t="s">
        <v>407</v>
      </c>
      <c r="E40" s="92"/>
      <c r="F40" s="120"/>
      <c r="G40" s="120"/>
      <c r="H40" s="120"/>
      <c r="I40" s="120"/>
      <c r="J40" s="120"/>
      <c r="K40" s="120"/>
      <c r="L40" s="120"/>
      <c r="M40" s="120"/>
      <c r="N40" s="120"/>
      <c r="O40" s="120" t="s">
        <v>86</v>
      </c>
      <c r="P40" s="120"/>
      <c r="Q40" s="120"/>
      <c r="R40" s="120"/>
      <c r="S40" s="120"/>
      <c r="T40" s="120"/>
      <c r="U40" s="120"/>
      <c r="V40" s="120"/>
      <c r="W40" s="120"/>
      <c r="X40" s="120"/>
      <c r="Y40" s="120"/>
      <c r="Z40" s="120" t="s">
        <v>86</v>
      </c>
      <c r="AA40" s="120"/>
      <c r="AB40" s="120"/>
      <c r="AC40" s="120"/>
      <c r="AD40" s="141"/>
    </row>
    <row r="41" spans="1:30" ht="13.5" customHeight="1">
      <c r="A41" s="152"/>
      <c r="B41" s="89"/>
      <c r="C41" s="124"/>
      <c r="D41" s="91" t="s">
        <v>408</v>
      </c>
      <c r="E41" s="93"/>
      <c r="F41" s="120"/>
      <c r="G41" s="120"/>
      <c r="H41" s="120"/>
      <c r="I41" s="120"/>
      <c r="J41" s="120"/>
      <c r="K41" s="120"/>
      <c r="L41" s="120"/>
      <c r="M41" s="120"/>
      <c r="N41" s="120"/>
      <c r="O41" s="120"/>
      <c r="P41" s="120" t="s">
        <v>86</v>
      </c>
      <c r="Q41" s="120"/>
      <c r="R41" s="120"/>
      <c r="S41" s="120"/>
      <c r="T41" s="120"/>
      <c r="U41" s="120"/>
      <c r="V41" s="120"/>
      <c r="W41" s="120"/>
      <c r="X41" s="120"/>
      <c r="Y41" s="120"/>
      <c r="Z41" s="120"/>
      <c r="AA41" s="120"/>
      <c r="AB41" s="120"/>
      <c r="AC41" s="120"/>
      <c r="AD41" s="141"/>
    </row>
    <row r="42" spans="1:30" ht="13.5" customHeight="1">
      <c r="A42" s="152"/>
      <c r="B42" s="89"/>
      <c r="C42" s="124"/>
      <c r="D42" s="91" t="s">
        <v>409</v>
      </c>
      <c r="E42" s="93"/>
      <c r="F42" s="120"/>
      <c r="G42" s="120"/>
      <c r="H42" s="120"/>
      <c r="I42" s="120"/>
      <c r="J42" s="120"/>
      <c r="K42" s="120"/>
      <c r="L42" s="120"/>
      <c r="M42" s="120"/>
      <c r="N42" s="120"/>
      <c r="O42" s="120"/>
      <c r="P42" s="120"/>
      <c r="Q42" s="120" t="s">
        <v>86</v>
      </c>
      <c r="R42" s="120"/>
      <c r="S42" s="120"/>
      <c r="T42" s="120"/>
      <c r="U42" s="120"/>
      <c r="V42" s="120"/>
      <c r="W42" s="120"/>
      <c r="X42" s="120"/>
      <c r="Y42" s="120"/>
      <c r="Z42" s="120"/>
      <c r="AA42" s="120"/>
      <c r="AB42" s="120"/>
      <c r="AC42" s="120"/>
      <c r="AD42" s="141"/>
    </row>
    <row r="43" spans="1:30" ht="13.5" customHeight="1">
      <c r="A43" s="152"/>
      <c r="B43" s="89"/>
      <c r="C43" s="124"/>
      <c r="D43" s="91" t="s">
        <v>410</v>
      </c>
      <c r="E43" s="93"/>
      <c r="F43" s="120" t="s">
        <v>86</v>
      </c>
      <c r="G43" s="120"/>
      <c r="H43" s="120"/>
      <c r="I43" s="120"/>
      <c r="J43" s="120"/>
      <c r="K43" s="120"/>
      <c r="L43" s="120"/>
      <c r="M43" s="120"/>
      <c r="N43" s="120"/>
      <c r="O43" s="120"/>
      <c r="P43" s="120"/>
      <c r="Q43" s="120"/>
      <c r="R43" s="120"/>
      <c r="S43" s="120"/>
      <c r="T43" s="120"/>
      <c r="U43" s="120"/>
      <c r="V43" s="120"/>
      <c r="W43" s="120"/>
      <c r="X43" s="120"/>
      <c r="Y43" s="120"/>
      <c r="Z43" s="120"/>
      <c r="AA43" s="120"/>
      <c r="AB43" s="120"/>
      <c r="AC43" s="120"/>
      <c r="AD43" s="141"/>
    </row>
    <row r="44" spans="1:30" ht="13.5" customHeight="1">
      <c r="A44" s="152"/>
      <c r="B44" s="89"/>
      <c r="C44" s="124"/>
      <c r="D44" s="91" t="s">
        <v>411</v>
      </c>
      <c r="E44" s="93"/>
      <c r="F44" s="120"/>
      <c r="G44" s="120" t="s">
        <v>86</v>
      </c>
      <c r="H44" s="120"/>
      <c r="I44" s="120"/>
      <c r="J44" s="120"/>
      <c r="K44" s="120"/>
      <c r="L44" s="120"/>
      <c r="M44" s="120"/>
      <c r="N44" s="120"/>
      <c r="O44" s="120"/>
      <c r="P44" s="120"/>
      <c r="Q44" s="120"/>
      <c r="R44" s="120"/>
      <c r="S44" s="120"/>
      <c r="T44" s="120"/>
      <c r="U44" s="120"/>
      <c r="V44" s="120"/>
      <c r="W44" s="120"/>
      <c r="X44" s="120"/>
      <c r="Y44" s="120"/>
      <c r="Z44" s="120"/>
      <c r="AA44" s="120"/>
      <c r="AB44" s="120"/>
      <c r="AC44" s="120"/>
      <c r="AD44" s="141"/>
    </row>
    <row r="45" spans="1:30" ht="13.5" customHeight="1">
      <c r="A45" s="152"/>
      <c r="B45" s="89"/>
      <c r="C45" s="124"/>
      <c r="D45" s="91" t="s">
        <v>412</v>
      </c>
      <c r="E45" s="93"/>
      <c r="F45" s="120"/>
      <c r="G45" s="120"/>
      <c r="H45" s="120" t="s">
        <v>86</v>
      </c>
      <c r="I45" s="120"/>
      <c r="J45" s="120"/>
      <c r="K45" s="120"/>
      <c r="L45" s="120"/>
      <c r="M45" s="120"/>
      <c r="N45" s="120"/>
      <c r="O45" s="120"/>
      <c r="P45" s="120"/>
      <c r="Q45" s="120"/>
      <c r="R45" s="120"/>
      <c r="S45" s="120"/>
      <c r="T45" s="120"/>
      <c r="U45" s="120"/>
      <c r="V45" s="120"/>
      <c r="W45" s="120"/>
      <c r="X45" s="120"/>
      <c r="Y45" s="120"/>
      <c r="Z45" s="120"/>
      <c r="AA45" s="120"/>
      <c r="AB45" s="120"/>
      <c r="AC45" s="120"/>
      <c r="AD45" s="141"/>
    </row>
    <row r="46" spans="1:30" ht="13.5" customHeight="1">
      <c r="A46" s="152"/>
      <c r="B46" s="89"/>
      <c r="C46" s="124"/>
      <c r="D46" s="91" t="s">
        <v>413</v>
      </c>
      <c r="E46" s="93"/>
      <c r="F46" s="120"/>
      <c r="G46" s="120"/>
      <c r="H46" s="120"/>
      <c r="I46" s="120" t="s">
        <v>86</v>
      </c>
      <c r="J46" s="120"/>
      <c r="K46" s="120" t="s">
        <v>86</v>
      </c>
      <c r="L46" s="120" t="s">
        <v>86</v>
      </c>
      <c r="M46" s="120"/>
      <c r="N46" s="120"/>
      <c r="O46" s="120"/>
      <c r="P46" s="120"/>
      <c r="Q46" s="120"/>
      <c r="R46" s="120"/>
      <c r="S46" s="120"/>
      <c r="T46" s="120"/>
      <c r="U46" s="120"/>
      <c r="V46" s="120"/>
      <c r="W46" s="120"/>
      <c r="X46" s="120"/>
      <c r="Y46" s="120"/>
      <c r="Z46" s="120"/>
      <c r="AA46" s="120"/>
      <c r="AB46" s="120"/>
      <c r="AC46" s="120"/>
      <c r="AD46" s="141"/>
    </row>
    <row r="47" spans="1:30" ht="13.5" customHeight="1">
      <c r="A47" s="152"/>
      <c r="B47" s="89"/>
      <c r="C47" s="124"/>
      <c r="D47" s="91" t="s">
        <v>414</v>
      </c>
      <c r="E47" s="93"/>
      <c r="F47" s="120"/>
      <c r="G47" s="120"/>
      <c r="H47" s="120"/>
      <c r="I47" s="120"/>
      <c r="J47" s="120" t="s">
        <v>86</v>
      </c>
      <c r="K47" s="120"/>
      <c r="L47" s="120"/>
      <c r="M47" s="120"/>
      <c r="N47" s="120"/>
      <c r="O47" s="120"/>
      <c r="P47" s="120"/>
      <c r="Q47" s="120"/>
      <c r="R47" s="120"/>
      <c r="S47" s="120"/>
      <c r="T47" s="120"/>
      <c r="U47" s="120"/>
      <c r="V47" s="120"/>
      <c r="W47" s="120"/>
      <c r="X47" s="120"/>
      <c r="Y47" s="120"/>
      <c r="Z47" s="120"/>
      <c r="AA47" s="120"/>
      <c r="AB47" s="120"/>
      <c r="AC47" s="120"/>
      <c r="AD47" s="141"/>
    </row>
    <row r="48" spans="1:30" ht="13.5" customHeight="1">
      <c r="A48" s="152"/>
      <c r="B48" s="89"/>
      <c r="C48" s="124"/>
      <c r="D48" s="91" t="s">
        <v>415</v>
      </c>
      <c r="E48" s="93"/>
      <c r="F48" s="120"/>
      <c r="G48" s="120"/>
      <c r="H48" s="120"/>
      <c r="I48" s="120"/>
      <c r="J48" s="120"/>
      <c r="K48" s="120"/>
      <c r="L48" s="120"/>
      <c r="M48" s="120" t="s">
        <v>86</v>
      </c>
      <c r="N48" s="120"/>
      <c r="O48" s="120"/>
      <c r="P48" s="120"/>
      <c r="Q48" s="120"/>
      <c r="R48" s="120"/>
      <c r="S48" s="120"/>
      <c r="T48" s="120"/>
      <c r="U48" s="120"/>
      <c r="V48" s="120"/>
      <c r="W48" s="120"/>
      <c r="X48" s="120"/>
      <c r="Y48" s="120"/>
      <c r="Z48" s="120"/>
      <c r="AA48" s="120"/>
      <c r="AB48" s="120"/>
      <c r="AC48" s="120"/>
      <c r="AD48" s="141"/>
    </row>
    <row r="49" spans="1:30" ht="13.5" customHeight="1">
      <c r="A49" s="152"/>
      <c r="B49" s="89"/>
      <c r="C49" s="124"/>
      <c r="D49" s="91" t="s">
        <v>416</v>
      </c>
      <c r="E49" s="93"/>
      <c r="F49" s="120"/>
      <c r="G49" s="120"/>
      <c r="H49" s="120"/>
      <c r="I49" s="120"/>
      <c r="J49" s="120"/>
      <c r="K49" s="120"/>
      <c r="L49" s="120"/>
      <c r="M49" s="120"/>
      <c r="N49" s="120" t="s">
        <v>86</v>
      </c>
      <c r="O49" s="120"/>
      <c r="P49" s="120"/>
      <c r="Q49" s="120"/>
      <c r="R49" s="120"/>
      <c r="S49" s="120"/>
      <c r="T49" s="120"/>
      <c r="U49" s="120"/>
      <c r="V49" s="120"/>
      <c r="W49" s="120"/>
      <c r="X49" s="120"/>
      <c r="Y49" s="120"/>
      <c r="Z49" s="120"/>
      <c r="AA49" s="120"/>
      <c r="AB49" s="120"/>
      <c r="AC49" s="120"/>
      <c r="AD49" s="141"/>
    </row>
    <row r="50" spans="1:30" ht="13.5" customHeight="1">
      <c r="A50" s="152"/>
      <c r="B50" s="89"/>
      <c r="C50" s="124"/>
      <c r="D50" s="91" t="s">
        <v>417</v>
      </c>
      <c r="E50" s="93"/>
      <c r="F50" s="120"/>
      <c r="G50" s="120"/>
      <c r="H50" s="120"/>
      <c r="I50" s="120"/>
      <c r="J50" s="120"/>
      <c r="K50" s="120"/>
      <c r="L50" s="120"/>
      <c r="M50" s="120"/>
      <c r="N50" s="120"/>
      <c r="O50" s="120"/>
      <c r="P50" s="120"/>
      <c r="Q50" s="120"/>
      <c r="R50" s="120" t="s">
        <v>86</v>
      </c>
      <c r="S50" s="120" t="s">
        <v>86</v>
      </c>
      <c r="T50" s="120" t="s">
        <v>86</v>
      </c>
      <c r="U50" s="120" t="s">
        <v>86</v>
      </c>
      <c r="V50" s="120" t="s">
        <v>86</v>
      </c>
      <c r="W50" s="120" t="s">
        <v>86</v>
      </c>
      <c r="X50" s="120" t="s">
        <v>86</v>
      </c>
      <c r="Y50" s="120" t="s">
        <v>86</v>
      </c>
      <c r="Z50" s="120"/>
      <c r="AA50" s="120"/>
      <c r="AB50" s="120"/>
      <c r="AC50" s="120"/>
      <c r="AD50" s="141" t="s">
        <v>86</v>
      </c>
    </row>
    <row r="51" spans="1:30" ht="13.5" customHeight="1" thickBot="1">
      <c r="A51" s="152"/>
      <c r="B51" s="133"/>
      <c r="C51" s="134"/>
      <c r="D51" s="135" t="s">
        <v>418</v>
      </c>
      <c r="E51" s="136"/>
      <c r="F51" s="137"/>
      <c r="G51" s="137"/>
      <c r="H51" s="137"/>
      <c r="I51" s="137"/>
      <c r="J51" s="137"/>
      <c r="K51" s="137"/>
      <c r="L51" s="137"/>
      <c r="M51" s="137"/>
      <c r="N51" s="137"/>
      <c r="O51" s="137"/>
      <c r="P51" s="137"/>
      <c r="Q51" s="137"/>
      <c r="R51" s="137"/>
      <c r="S51" s="137"/>
      <c r="T51" s="137"/>
      <c r="U51" s="137"/>
      <c r="V51" s="137"/>
      <c r="W51" s="137"/>
      <c r="X51" s="137"/>
      <c r="Y51" s="137"/>
      <c r="Z51" s="137"/>
      <c r="AA51" s="137" t="s">
        <v>86</v>
      </c>
      <c r="AB51" s="137" t="s">
        <v>86</v>
      </c>
      <c r="AC51" s="137" t="s">
        <v>86</v>
      </c>
      <c r="AD51" s="145"/>
    </row>
    <row r="52" spans="1:30" ht="13.5" customHeight="1" thickTop="1">
      <c r="A52" s="153" t="s">
        <v>48</v>
      </c>
      <c r="B52" s="206" t="s">
        <v>49</v>
      </c>
      <c r="C52" s="206"/>
      <c r="D52" s="206"/>
      <c r="E52" s="138"/>
      <c r="F52" s="139" t="s">
        <v>52</v>
      </c>
      <c r="G52" s="139" t="s">
        <v>52</v>
      </c>
      <c r="H52" s="139" t="s">
        <v>52</v>
      </c>
      <c r="I52" s="139" t="s">
        <v>52</v>
      </c>
      <c r="J52" s="139" t="s">
        <v>52</v>
      </c>
      <c r="K52" s="139" t="s">
        <v>52</v>
      </c>
      <c r="L52" s="139" t="s">
        <v>52</v>
      </c>
      <c r="M52" s="139" t="s">
        <v>52</v>
      </c>
      <c r="N52" s="139" t="s">
        <v>52</v>
      </c>
      <c r="O52" s="139" t="s">
        <v>50</v>
      </c>
      <c r="P52" s="139" t="s">
        <v>50</v>
      </c>
      <c r="Q52" s="139" t="s">
        <v>50</v>
      </c>
      <c r="R52" s="139" t="s">
        <v>52</v>
      </c>
      <c r="S52" s="139" t="s">
        <v>52</v>
      </c>
      <c r="T52" s="139" t="s">
        <v>52</v>
      </c>
      <c r="U52" s="139" t="s">
        <v>52</v>
      </c>
      <c r="V52" s="139" t="s">
        <v>52</v>
      </c>
      <c r="W52" s="139" t="s">
        <v>52</v>
      </c>
      <c r="X52" s="139" t="s">
        <v>52</v>
      </c>
      <c r="Y52" s="139" t="s">
        <v>52</v>
      </c>
      <c r="Z52" s="139" t="s">
        <v>50</v>
      </c>
      <c r="AA52" s="139" t="s">
        <v>52</v>
      </c>
      <c r="AB52" s="139" t="s">
        <v>52</v>
      </c>
      <c r="AC52" s="139" t="s">
        <v>52</v>
      </c>
      <c r="AD52" s="146" t="s">
        <v>52</v>
      </c>
    </row>
    <row r="53" spans="1:30" ht="13.5" customHeight="1">
      <c r="A53" s="152"/>
      <c r="B53" s="196" t="s">
        <v>53</v>
      </c>
      <c r="C53" s="196"/>
      <c r="D53" s="196"/>
      <c r="E53" s="94"/>
      <c r="F53" s="125" t="s">
        <v>54</v>
      </c>
      <c r="G53" s="125" t="s">
        <v>54</v>
      </c>
      <c r="H53" s="125" t="s">
        <v>54</v>
      </c>
      <c r="I53" s="125" t="s">
        <v>54</v>
      </c>
      <c r="J53" s="125" t="s">
        <v>54</v>
      </c>
      <c r="K53" s="125" t="s">
        <v>54</v>
      </c>
      <c r="L53" s="125" t="s">
        <v>54</v>
      </c>
      <c r="M53" s="125" t="s">
        <v>54</v>
      </c>
      <c r="N53" s="125" t="s">
        <v>54</v>
      </c>
      <c r="O53" s="125" t="s">
        <v>54</v>
      </c>
      <c r="P53" s="125" t="s">
        <v>54</v>
      </c>
      <c r="Q53" s="125" t="s">
        <v>54</v>
      </c>
      <c r="R53" s="125" t="s">
        <v>54</v>
      </c>
      <c r="S53" s="125" t="s">
        <v>54</v>
      </c>
      <c r="T53" s="125" t="s">
        <v>54</v>
      </c>
      <c r="U53" s="125" t="s">
        <v>54</v>
      </c>
      <c r="V53" s="125" t="s">
        <v>54</v>
      </c>
      <c r="W53" s="125" t="s">
        <v>54</v>
      </c>
      <c r="X53" s="125" t="s">
        <v>54</v>
      </c>
      <c r="Y53" s="125" t="s">
        <v>54</v>
      </c>
      <c r="Z53" s="125" t="s">
        <v>54</v>
      </c>
      <c r="AA53" s="125" t="s">
        <v>54</v>
      </c>
      <c r="AB53" s="125" t="s">
        <v>54</v>
      </c>
      <c r="AC53" s="125" t="s">
        <v>54</v>
      </c>
      <c r="AD53" s="147" t="s">
        <v>54</v>
      </c>
    </row>
    <row r="54" spans="1:30" ht="13.5" customHeight="1">
      <c r="A54" s="152"/>
      <c r="B54" s="204" t="s">
        <v>55</v>
      </c>
      <c r="C54" s="204"/>
      <c r="D54" s="204"/>
      <c r="E54" s="95"/>
      <c r="F54" s="96">
        <v>46244.708333333336</v>
      </c>
      <c r="G54" s="96">
        <v>46244.708333333336</v>
      </c>
      <c r="H54" s="96">
        <v>46244.708333333336</v>
      </c>
      <c r="I54" s="96">
        <v>46244.708333333336</v>
      </c>
      <c r="J54" s="96">
        <v>46244.708333333336</v>
      </c>
      <c r="K54" s="96">
        <v>46244.708333333336</v>
      </c>
      <c r="L54" s="96">
        <v>46244.708333333336</v>
      </c>
      <c r="M54" s="96">
        <v>46244.708333333336</v>
      </c>
      <c r="N54" s="96">
        <v>46244.708333333336</v>
      </c>
      <c r="O54" s="96">
        <v>46244.708333333336</v>
      </c>
      <c r="P54" s="96">
        <v>46244.708333333336</v>
      </c>
      <c r="Q54" s="96">
        <v>46244.708333333336</v>
      </c>
      <c r="R54" s="96">
        <v>46244.708333333336</v>
      </c>
      <c r="S54" s="96">
        <v>46244.708333333336</v>
      </c>
      <c r="T54" s="96">
        <v>46244.708333333336</v>
      </c>
      <c r="U54" s="96">
        <v>46244.708333333336</v>
      </c>
      <c r="V54" s="96">
        <v>46244.708333333336</v>
      </c>
      <c r="W54" s="96">
        <v>46244.708333333336</v>
      </c>
      <c r="X54" s="96">
        <v>46244.708333333336</v>
      </c>
      <c r="Y54" s="96">
        <v>46244.708333333336</v>
      </c>
      <c r="Z54" s="96">
        <v>46244.708333333336</v>
      </c>
      <c r="AA54" s="96">
        <v>46244.708333333336</v>
      </c>
      <c r="AB54" s="96">
        <v>46244.708333333336</v>
      </c>
      <c r="AC54" s="96">
        <v>46244.708333333336</v>
      </c>
      <c r="AD54" s="148">
        <v>46244.708333333336</v>
      </c>
    </row>
    <row r="55" spans="1:30" ht="10.5" thickBot="1">
      <c r="A55" s="158"/>
      <c r="B55" s="205" t="s">
        <v>56</v>
      </c>
      <c r="C55" s="205"/>
      <c r="D55" s="205"/>
      <c r="E55" s="149"/>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1"/>
    </row>
    <row r="56" spans="1:30" ht="10.5" thickTop="1">
      <c r="A56" s="140"/>
    </row>
  </sheetData>
  <mergeCells count="24">
    <mergeCell ref="B53:D53"/>
    <mergeCell ref="B54:D54"/>
    <mergeCell ref="B55:D55"/>
    <mergeCell ref="A5:B5"/>
    <mergeCell ref="C5:E5"/>
    <mergeCell ref="F5:K5"/>
    <mergeCell ref="O5:AD5"/>
    <mergeCell ref="D17:E17"/>
    <mergeCell ref="B52:D52"/>
    <mergeCell ref="A3:B3"/>
    <mergeCell ref="C3:AD3"/>
    <mergeCell ref="A4:B4"/>
    <mergeCell ref="C4:E4"/>
    <mergeCell ref="F4:K4"/>
    <mergeCell ref="L4:N4"/>
    <mergeCell ref="O4:AD4"/>
    <mergeCell ref="A1:B1"/>
    <mergeCell ref="C1:E1"/>
    <mergeCell ref="F1:K1"/>
    <mergeCell ref="L1:AD1"/>
    <mergeCell ref="A2:B2"/>
    <mergeCell ref="C2:E2"/>
    <mergeCell ref="F2:K2"/>
    <mergeCell ref="L2:N2"/>
  </mergeCells>
  <dataValidations count="3">
    <dataValidation type="list" allowBlank="1" showInputMessage="1" showErrorMessage="1" sqref="F8:AD51" xr:uid="{AE2D712E-BA25-452C-BDC7-7FE3DB0CC976}">
      <formula1>"O, "</formula1>
    </dataValidation>
    <dataValidation type="list" allowBlank="1" showInputMessage="1" showErrorMessage="1" sqref="F53:AD53" xr:uid="{AE22396C-7054-4B33-AA14-6E4B7E8450F1}">
      <formula1>"P,F, "</formula1>
    </dataValidation>
    <dataValidation type="list" allowBlank="1" showInputMessage="1" showErrorMessage="1" sqref="F52:AD52" xr:uid="{91AC6093-AF13-42A8-94F1-98227C67D411}">
      <formula1>"N,A,B,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25A7C-4D86-4B95-9C88-76E78945FC33}">
  <dimension ref="A1:V37"/>
  <sheetViews>
    <sheetView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19" width="2.81640625" style="69" customWidth="1"/>
    <col min="20" max="20" width="2.81640625" style="69" bestFit="1" customWidth="1"/>
    <col min="21" max="21" width="2.81640625" style="69" customWidth="1"/>
    <col min="22" max="16384" width="9" style="69"/>
  </cols>
  <sheetData>
    <row r="1" spans="1:22" ht="13.5" customHeight="1">
      <c r="A1" s="189" t="s">
        <v>110</v>
      </c>
      <c r="B1" s="190"/>
      <c r="C1" s="191" t="s">
        <v>423</v>
      </c>
      <c r="D1" s="192"/>
      <c r="E1" s="193"/>
      <c r="F1" s="194" t="s">
        <v>111</v>
      </c>
      <c r="G1" s="195"/>
      <c r="H1" s="195"/>
      <c r="I1" s="195"/>
      <c r="J1" s="195"/>
      <c r="K1" s="195"/>
      <c r="L1" s="220" t="s">
        <v>424</v>
      </c>
      <c r="M1" s="221"/>
      <c r="N1" s="221"/>
      <c r="O1" s="221"/>
      <c r="P1" s="221"/>
      <c r="Q1" s="221"/>
      <c r="R1" s="221"/>
      <c r="S1" s="221"/>
      <c r="T1" s="222"/>
      <c r="V1" s="71"/>
    </row>
    <row r="2" spans="1:2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7"/>
    </row>
    <row r="3" spans="1:22" ht="13.5" customHeight="1">
      <c r="A3" s="202" t="s">
        <v>64</v>
      </c>
      <c r="B3" s="203"/>
      <c r="C3" s="213" t="s">
        <v>425</v>
      </c>
      <c r="D3" s="213"/>
      <c r="E3" s="213"/>
      <c r="F3" s="214"/>
      <c r="G3" s="214"/>
      <c r="H3" s="214"/>
      <c r="I3" s="214"/>
      <c r="J3" s="214"/>
      <c r="K3" s="214"/>
      <c r="L3" s="213"/>
      <c r="M3" s="213"/>
      <c r="N3" s="213"/>
      <c r="O3" s="213"/>
      <c r="P3" s="213"/>
      <c r="Q3" s="213"/>
      <c r="R3" s="213"/>
      <c r="S3" s="213"/>
      <c r="T3" s="213"/>
    </row>
    <row r="4" spans="1:2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9"/>
      <c r="V4" s="71"/>
    </row>
    <row r="5" spans="1:22" ht="13.5" customHeight="1" thickBot="1">
      <c r="A5" s="201">
        <f>COUNTIF(F34:HQ34,"P")</f>
        <v>12</v>
      </c>
      <c r="B5" s="200"/>
      <c r="C5" s="197">
        <f>COUNTIF(F34:HQ34,"F")</f>
        <v>0</v>
      </c>
      <c r="D5" s="198"/>
      <c r="E5" s="200"/>
      <c r="F5" s="197">
        <f>SUM(O5,- A5,- C5)</f>
        <v>0</v>
      </c>
      <c r="G5" s="198"/>
      <c r="H5" s="198"/>
      <c r="I5" s="198"/>
      <c r="J5" s="198"/>
      <c r="K5" s="199"/>
      <c r="L5" s="128">
        <f>COUNTIF(E33:HQ33,"N")</f>
        <v>12</v>
      </c>
      <c r="M5" s="128">
        <f>COUNTIF(E33:HQ33,"A")</f>
        <v>0</v>
      </c>
      <c r="N5" s="128">
        <f>COUNTIF(E33:HQ33,"B")</f>
        <v>0</v>
      </c>
      <c r="O5" s="216">
        <f>COUNTA(E7:HT7)</f>
        <v>12</v>
      </c>
      <c r="P5" s="198"/>
      <c r="Q5" s="198"/>
      <c r="R5" s="198"/>
      <c r="S5" s="198"/>
      <c r="T5" s="217"/>
      <c r="U5" s="72"/>
    </row>
    <row r="6" spans="1:22" ht="10.5" thickBot="1"/>
    <row r="7" spans="1:22" ht="46.5" customHeight="1" thickTop="1" thickBot="1">
      <c r="A7" s="159"/>
      <c r="B7" s="160"/>
      <c r="C7" s="161"/>
      <c r="D7" s="162"/>
      <c r="E7" s="161"/>
      <c r="F7" s="163" t="s">
        <v>32</v>
      </c>
      <c r="G7" s="163" t="s">
        <v>33</v>
      </c>
      <c r="H7" s="163" t="s">
        <v>34</v>
      </c>
      <c r="I7" s="163" t="s">
        <v>35</v>
      </c>
      <c r="J7" s="163" t="s">
        <v>36</v>
      </c>
      <c r="K7" s="163" t="s">
        <v>37</v>
      </c>
      <c r="L7" s="163" t="s">
        <v>38</v>
      </c>
      <c r="M7" s="163" t="s">
        <v>39</v>
      </c>
      <c r="N7" s="163" t="s">
        <v>40</v>
      </c>
      <c r="O7" s="163" t="s">
        <v>41</v>
      </c>
      <c r="P7" s="163" t="s">
        <v>42</v>
      </c>
      <c r="Q7" s="163" t="s">
        <v>43</v>
      </c>
      <c r="R7" s="163"/>
      <c r="S7" s="163"/>
      <c r="T7" s="164"/>
      <c r="U7" s="74"/>
      <c r="V7" s="71"/>
    </row>
    <row r="8" spans="1:22" ht="13.5" customHeight="1">
      <c r="A8" s="154" t="s">
        <v>66</v>
      </c>
      <c r="B8" s="155" t="s">
        <v>426</v>
      </c>
      <c r="C8" s="156"/>
      <c r="D8" s="157"/>
      <c r="E8" s="78"/>
      <c r="F8" s="123"/>
      <c r="G8" s="123"/>
      <c r="H8" s="123"/>
      <c r="I8" s="123"/>
      <c r="J8" s="123"/>
      <c r="K8" s="123"/>
      <c r="L8" s="123"/>
      <c r="M8" s="123"/>
      <c r="N8" s="123"/>
      <c r="O8" s="123"/>
      <c r="P8" s="123"/>
      <c r="Q8" s="123"/>
      <c r="R8" s="123"/>
      <c r="S8" s="123"/>
      <c r="T8" s="144"/>
    </row>
    <row r="9" spans="1:22" ht="13.5" customHeight="1">
      <c r="A9" s="142"/>
      <c r="B9" s="75"/>
      <c r="C9" s="76"/>
      <c r="D9" s="77" t="s">
        <v>427</v>
      </c>
      <c r="E9" s="78"/>
      <c r="F9" s="120" t="s">
        <v>86</v>
      </c>
      <c r="G9" s="120"/>
      <c r="H9" s="120"/>
      <c r="I9" s="120"/>
      <c r="J9" s="120"/>
      <c r="K9" s="120"/>
      <c r="L9" s="120"/>
      <c r="M9" s="120"/>
      <c r="N9" s="120"/>
      <c r="O9" s="120"/>
      <c r="P9" s="120"/>
      <c r="Q9" s="120"/>
      <c r="R9" s="120"/>
      <c r="S9" s="120"/>
      <c r="T9" s="141"/>
      <c r="V9" s="71"/>
    </row>
    <row r="10" spans="1:22" ht="13.5" customHeight="1">
      <c r="A10" s="142"/>
      <c r="B10" s="75"/>
      <c r="C10" s="76"/>
      <c r="D10" s="77" t="s">
        <v>428</v>
      </c>
      <c r="E10" s="78"/>
      <c r="F10" s="120"/>
      <c r="G10" s="120" t="s">
        <v>86</v>
      </c>
      <c r="H10" s="120"/>
      <c r="I10" s="120"/>
      <c r="J10" s="120"/>
      <c r="K10" s="120"/>
      <c r="L10" s="120"/>
      <c r="M10" s="120"/>
      <c r="N10" s="120"/>
      <c r="O10" s="120"/>
      <c r="P10" s="120"/>
      <c r="Q10" s="120"/>
      <c r="R10" s="120"/>
      <c r="S10" s="120"/>
      <c r="T10" s="141"/>
    </row>
    <row r="11" spans="1:22" ht="13.5" customHeight="1">
      <c r="A11" s="142"/>
      <c r="B11" s="75"/>
      <c r="C11" s="76"/>
      <c r="D11" s="77" t="s">
        <v>429</v>
      </c>
      <c r="E11" s="79"/>
      <c r="F11" s="120"/>
      <c r="G11" s="120"/>
      <c r="H11" s="120" t="s">
        <v>86</v>
      </c>
      <c r="I11" s="120"/>
      <c r="J11" s="120"/>
      <c r="K11" s="120"/>
      <c r="L11" s="120"/>
      <c r="M11" s="120"/>
      <c r="N11" s="120"/>
      <c r="O11" s="120"/>
      <c r="P11" s="120"/>
      <c r="Q11" s="120"/>
      <c r="R11" s="120"/>
      <c r="S11" s="120"/>
      <c r="T11" s="141"/>
    </row>
    <row r="12" spans="1:22" ht="13.5" customHeight="1">
      <c r="A12" s="142"/>
      <c r="B12" s="75"/>
      <c r="C12" s="76"/>
      <c r="D12" s="77" t="s">
        <v>430</v>
      </c>
      <c r="E12" s="80"/>
      <c r="F12" s="120"/>
      <c r="G12" s="120"/>
      <c r="H12" s="120"/>
      <c r="I12" s="120" t="s">
        <v>86</v>
      </c>
      <c r="J12" s="120"/>
      <c r="K12" s="120"/>
      <c r="L12" s="120"/>
      <c r="M12" s="120"/>
      <c r="N12" s="120"/>
      <c r="O12" s="120"/>
      <c r="P12" s="120"/>
      <c r="Q12" s="120"/>
      <c r="R12" s="120"/>
      <c r="S12" s="120"/>
      <c r="T12" s="141"/>
    </row>
    <row r="13" spans="1:22" ht="13.5" customHeight="1">
      <c r="A13" s="142"/>
      <c r="B13" s="75"/>
      <c r="C13" s="76"/>
      <c r="D13" s="77" t="s">
        <v>431</v>
      </c>
      <c r="E13" s="80"/>
      <c r="F13" s="120"/>
      <c r="G13" s="120"/>
      <c r="H13" s="120"/>
      <c r="I13" s="120"/>
      <c r="J13" s="120" t="s">
        <v>86</v>
      </c>
      <c r="K13" s="120"/>
      <c r="L13" s="120"/>
      <c r="M13" s="120"/>
      <c r="N13" s="120"/>
      <c r="O13" s="120"/>
      <c r="P13" s="120"/>
      <c r="Q13" s="120"/>
      <c r="R13" s="120"/>
      <c r="S13" s="120"/>
      <c r="T13" s="141"/>
    </row>
    <row r="14" spans="1:22" ht="13.5" customHeight="1">
      <c r="A14" s="142"/>
      <c r="B14" s="75"/>
      <c r="C14" s="76"/>
      <c r="D14" s="77" t="s">
        <v>432</v>
      </c>
      <c r="E14" s="80"/>
      <c r="F14" s="120"/>
      <c r="G14" s="120"/>
      <c r="H14" s="120"/>
      <c r="I14" s="120"/>
      <c r="J14" s="120"/>
      <c r="K14" s="120" t="s">
        <v>86</v>
      </c>
      <c r="L14" s="120"/>
      <c r="M14" s="120"/>
      <c r="N14" s="120"/>
      <c r="O14" s="120"/>
      <c r="P14" s="120"/>
      <c r="Q14" s="120"/>
      <c r="R14" s="120"/>
      <c r="S14" s="120"/>
      <c r="T14" s="141"/>
    </row>
    <row r="15" spans="1:22" ht="13.5" customHeight="1">
      <c r="A15" s="142"/>
      <c r="B15" s="75"/>
      <c r="C15" s="76"/>
      <c r="D15" s="77" t="s">
        <v>433</v>
      </c>
      <c r="E15" s="80"/>
      <c r="F15" s="120"/>
      <c r="G15" s="120"/>
      <c r="H15" s="120"/>
      <c r="I15" s="120"/>
      <c r="J15" s="120"/>
      <c r="K15" s="120"/>
      <c r="L15" s="120" t="s">
        <v>86</v>
      </c>
      <c r="M15" s="120"/>
      <c r="N15" s="120"/>
      <c r="O15" s="120"/>
      <c r="P15" s="120"/>
      <c r="Q15" s="120"/>
      <c r="R15" s="120"/>
      <c r="S15" s="120"/>
      <c r="T15" s="141"/>
      <c r="U15" s="121"/>
    </row>
    <row r="16" spans="1:22" ht="13.5" customHeight="1">
      <c r="A16" s="142"/>
      <c r="B16" s="75"/>
      <c r="C16" s="76"/>
      <c r="D16" s="77" t="s">
        <v>434</v>
      </c>
      <c r="E16" s="80"/>
      <c r="F16" s="120"/>
      <c r="G16" s="120"/>
      <c r="H16" s="120"/>
      <c r="I16" s="120"/>
      <c r="J16" s="120"/>
      <c r="K16" s="120"/>
      <c r="L16" s="120"/>
      <c r="M16" s="120" t="s">
        <v>86</v>
      </c>
      <c r="N16" s="120"/>
      <c r="O16" s="120"/>
      <c r="P16" s="120"/>
      <c r="Q16" s="120"/>
      <c r="R16" s="120"/>
      <c r="S16" s="120"/>
      <c r="T16" s="141"/>
      <c r="U16" s="121"/>
    </row>
    <row r="17" spans="1:20" ht="13.5" customHeight="1">
      <c r="A17" s="142"/>
      <c r="B17" s="75"/>
      <c r="C17" s="76"/>
      <c r="D17" s="210" t="s">
        <v>435</v>
      </c>
      <c r="E17" s="210"/>
      <c r="F17" s="120"/>
      <c r="G17" s="120"/>
      <c r="H17" s="120"/>
      <c r="I17" s="120"/>
      <c r="J17" s="120"/>
      <c r="K17" s="120"/>
      <c r="L17" s="120"/>
      <c r="M17" s="120"/>
      <c r="N17" s="120" t="s">
        <v>86</v>
      </c>
      <c r="O17" s="120"/>
      <c r="P17" s="120"/>
      <c r="Q17" s="120"/>
      <c r="R17" s="120"/>
      <c r="S17" s="120"/>
      <c r="T17" s="141"/>
    </row>
    <row r="18" spans="1:20" ht="13.5" customHeight="1">
      <c r="A18" s="142"/>
      <c r="B18" s="75"/>
      <c r="C18" s="76"/>
      <c r="D18" s="77" t="s">
        <v>436</v>
      </c>
      <c r="E18" s="80"/>
      <c r="F18" s="120"/>
      <c r="G18" s="120"/>
      <c r="H18" s="120"/>
      <c r="I18" s="120"/>
      <c r="J18" s="120"/>
      <c r="K18" s="120"/>
      <c r="L18" s="120"/>
      <c r="M18" s="120"/>
      <c r="N18" s="120"/>
      <c r="O18" s="120" t="s">
        <v>86</v>
      </c>
      <c r="P18" s="120"/>
      <c r="Q18" s="120"/>
      <c r="R18" s="120"/>
      <c r="S18" s="120"/>
      <c r="T18" s="141"/>
    </row>
    <row r="19" spans="1:20" ht="13.5" customHeight="1">
      <c r="A19" s="142"/>
      <c r="B19" s="75"/>
      <c r="C19" s="76"/>
      <c r="D19" s="77" t="s">
        <v>437</v>
      </c>
      <c r="E19" s="80"/>
      <c r="F19" s="120"/>
      <c r="G19" s="120"/>
      <c r="H19" s="120"/>
      <c r="I19" s="120"/>
      <c r="J19" s="120"/>
      <c r="K19" s="120"/>
      <c r="L19" s="120"/>
      <c r="M19" s="120"/>
      <c r="N19" s="120"/>
      <c r="O19" s="120"/>
      <c r="P19" s="120" t="s">
        <v>86</v>
      </c>
      <c r="Q19" s="120"/>
      <c r="R19" s="120"/>
      <c r="S19" s="120"/>
      <c r="T19" s="141"/>
    </row>
    <row r="20" spans="1:20" ht="13.5" customHeight="1" thickBot="1">
      <c r="A20" s="142"/>
      <c r="B20" s="81"/>
      <c r="C20" s="82"/>
      <c r="D20" s="83" t="s">
        <v>438</v>
      </c>
      <c r="E20" s="84"/>
      <c r="F20" s="122"/>
      <c r="G20" s="122"/>
      <c r="H20" s="122"/>
      <c r="I20" s="122"/>
      <c r="J20" s="122"/>
      <c r="K20" s="122"/>
      <c r="L20" s="122"/>
      <c r="M20" s="122"/>
      <c r="N20" s="122"/>
      <c r="O20" s="122"/>
      <c r="P20" s="122"/>
      <c r="Q20" s="122" t="s">
        <v>86</v>
      </c>
      <c r="R20" s="122"/>
      <c r="S20" s="122"/>
      <c r="T20" s="143"/>
    </row>
    <row r="21" spans="1:20" ht="13.5" customHeight="1" thickTop="1">
      <c r="A21" s="153" t="s">
        <v>67</v>
      </c>
      <c r="B21" s="85" t="s">
        <v>439</v>
      </c>
      <c r="C21" s="86"/>
      <c r="D21" s="87"/>
      <c r="E21" s="88"/>
      <c r="F21" s="123"/>
      <c r="G21" s="123"/>
      <c r="H21" s="123"/>
      <c r="I21" s="123"/>
      <c r="J21" s="123"/>
      <c r="K21" s="123"/>
      <c r="L21" s="123"/>
      <c r="M21" s="123"/>
      <c r="N21" s="123"/>
      <c r="O21" s="123"/>
      <c r="P21" s="123"/>
      <c r="Q21" s="123"/>
      <c r="R21" s="123"/>
      <c r="S21" s="123"/>
      <c r="T21" s="144"/>
    </row>
    <row r="22" spans="1:20" ht="13.5" customHeight="1">
      <c r="A22" s="152"/>
      <c r="B22" s="89"/>
      <c r="C22" s="90"/>
      <c r="D22" s="91" t="s">
        <v>440</v>
      </c>
      <c r="E22" s="92"/>
      <c r="F22" s="120" t="s">
        <v>86</v>
      </c>
      <c r="G22" s="120"/>
      <c r="H22" s="120"/>
      <c r="I22" s="120"/>
      <c r="J22" s="120"/>
      <c r="K22" s="120"/>
      <c r="L22" s="120"/>
      <c r="M22" s="120"/>
      <c r="N22" s="120"/>
      <c r="O22" s="120"/>
      <c r="P22" s="120"/>
      <c r="Q22" s="120"/>
      <c r="R22" s="120"/>
      <c r="S22" s="120"/>
      <c r="T22" s="141"/>
    </row>
    <row r="23" spans="1:20" ht="13.5" customHeight="1">
      <c r="A23" s="152"/>
      <c r="B23" s="89"/>
      <c r="C23" s="124"/>
      <c r="D23" s="91" t="s">
        <v>441</v>
      </c>
      <c r="E23" s="93"/>
      <c r="F23" s="120"/>
      <c r="G23" s="120" t="s">
        <v>86</v>
      </c>
      <c r="H23" s="120"/>
      <c r="I23" s="120"/>
      <c r="J23" s="120"/>
      <c r="K23" s="120"/>
      <c r="L23" s="120"/>
      <c r="M23" s="120"/>
      <c r="N23" s="120"/>
      <c r="O23" s="120"/>
      <c r="P23" s="120"/>
      <c r="Q23" s="120"/>
      <c r="R23" s="120"/>
      <c r="S23" s="120"/>
      <c r="T23" s="141"/>
    </row>
    <row r="24" spans="1:20" ht="13.5" customHeight="1">
      <c r="A24" s="152"/>
      <c r="B24" s="89"/>
      <c r="C24" s="124"/>
      <c r="D24" s="91" t="s">
        <v>442</v>
      </c>
      <c r="E24" s="93"/>
      <c r="F24" s="120"/>
      <c r="G24" s="120"/>
      <c r="H24" s="120" t="s">
        <v>86</v>
      </c>
      <c r="I24" s="120"/>
      <c r="J24" s="120"/>
      <c r="K24" s="120"/>
      <c r="L24" s="120"/>
      <c r="M24" s="120"/>
      <c r="N24" s="120"/>
      <c r="O24" s="120"/>
      <c r="P24" s="120"/>
      <c r="Q24" s="120"/>
      <c r="R24" s="120"/>
      <c r="S24" s="120"/>
      <c r="T24" s="141"/>
    </row>
    <row r="25" spans="1:20" ht="13.5" customHeight="1">
      <c r="A25" s="152"/>
      <c r="B25" s="89"/>
      <c r="C25" s="124"/>
      <c r="D25" s="91" t="s">
        <v>443</v>
      </c>
      <c r="E25" s="93"/>
      <c r="F25" s="120"/>
      <c r="G25" s="120"/>
      <c r="H25" s="120"/>
      <c r="I25" s="120" t="s">
        <v>86</v>
      </c>
      <c r="J25" s="120" t="s">
        <v>86</v>
      </c>
      <c r="K25" s="120"/>
      <c r="L25" s="120"/>
      <c r="M25" s="120"/>
      <c r="N25" s="120"/>
      <c r="O25" s="120"/>
      <c r="P25" s="120"/>
      <c r="Q25" s="120"/>
      <c r="R25" s="120"/>
      <c r="S25" s="120"/>
      <c r="T25" s="141"/>
    </row>
    <row r="26" spans="1:20" ht="13.5" customHeight="1">
      <c r="A26" s="152"/>
      <c r="B26" s="89"/>
      <c r="C26" s="124"/>
      <c r="D26" s="91" t="s">
        <v>444</v>
      </c>
      <c r="E26" s="93"/>
      <c r="F26" s="120"/>
      <c r="G26" s="120"/>
      <c r="H26" s="120"/>
      <c r="I26" s="120"/>
      <c r="J26" s="120"/>
      <c r="K26" s="120" t="s">
        <v>86</v>
      </c>
      <c r="L26" s="120"/>
      <c r="M26" s="120"/>
      <c r="N26" s="120"/>
      <c r="O26" s="120"/>
      <c r="P26" s="120"/>
      <c r="Q26" s="120"/>
      <c r="R26" s="120"/>
      <c r="S26" s="120"/>
      <c r="T26" s="141"/>
    </row>
    <row r="27" spans="1:20" ht="13.5" customHeight="1">
      <c r="A27" s="152"/>
      <c r="B27" s="89"/>
      <c r="C27" s="124"/>
      <c r="D27" s="91" t="s">
        <v>445</v>
      </c>
      <c r="E27" s="93"/>
      <c r="F27" s="120"/>
      <c r="G27" s="120"/>
      <c r="H27" s="120"/>
      <c r="I27" s="120"/>
      <c r="J27" s="120"/>
      <c r="K27" s="120"/>
      <c r="L27" s="120" t="s">
        <v>86</v>
      </c>
      <c r="M27" s="120"/>
      <c r="N27" s="120"/>
      <c r="O27" s="120"/>
      <c r="P27" s="120"/>
      <c r="Q27" s="120"/>
      <c r="R27" s="120"/>
      <c r="S27" s="120"/>
      <c r="T27" s="141"/>
    </row>
    <row r="28" spans="1:20" ht="13.5" customHeight="1">
      <c r="A28" s="152"/>
      <c r="B28" s="89"/>
      <c r="C28" s="124"/>
      <c r="D28" s="91" t="s">
        <v>446</v>
      </c>
      <c r="E28" s="93"/>
      <c r="F28" s="120"/>
      <c r="G28" s="120"/>
      <c r="H28" s="120"/>
      <c r="I28" s="120"/>
      <c r="J28" s="120"/>
      <c r="K28" s="120"/>
      <c r="L28" s="120"/>
      <c r="M28" s="120" t="s">
        <v>86</v>
      </c>
      <c r="N28" s="120"/>
      <c r="O28" s="120"/>
      <c r="P28" s="120"/>
      <c r="Q28" s="120"/>
      <c r="R28" s="120"/>
      <c r="S28" s="120"/>
      <c r="T28" s="141"/>
    </row>
    <row r="29" spans="1:20" ht="13.5" customHeight="1">
      <c r="A29" s="152"/>
      <c r="B29" s="89"/>
      <c r="C29" s="124"/>
      <c r="D29" s="91" t="s">
        <v>447</v>
      </c>
      <c r="E29" s="93"/>
      <c r="F29" s="120"/>
      <c r="G29" s="120"/>
      <c r="H29" s="120"/>
      <c r="I29" s="120"/>
      <c r="J29" s="120"/>
      <c r="K29" s="120"/>
      <c r="L29" s="120"/>
      <c r="M29" s="120"/>
      <c r="N29" s="120" t="s">
        <v>86</v>
      </c>
      <c r="O29" s="120"/>
      <c r="P29" s="120"/>
      <c r="Q29" s="120"/>
      <c r="R29" s="120"/>
      <c r="S29" s="120"/>
      <c r="T29" s="141"/>
    </row>
    <row r="30" spans="1:20" ht="13.5" customHeight="1">
      <c r="A30" s="152"/>
      <c r="B30" s="89"/>
      <c r="C30" s="124"/>
      <c r="D30" s="91" t="s">
        <v>448</v>
      </c>
      <c r="E30" s="93"/>
      <c r="F30" s="120"/>
      <c r="G30" s="120"/>
      <c r="H30" s="120"/>
      <c r="I30" s="120"/>
      <c r="J30" s="120"/>
      <c r="K30" s="120"/>
      <c r="L30" s="120"/>
      <c r="M30" s="120"/>
      <c r="N30" s="120"/>
      <c r="O30" s="120" t="s">
        <v>86</v>
      </c>
      <c r="P30" s="120"/>
      <c r="Q30" s="120"/>
      <c r="R30" s="120"/>
      <c r="S30" s="120"/>
      <c r="T30" s="141"/>
    </row>
    <row r="31" spans="1:20" ht="13.5" customHeight="1">
      <c r="A31" s="152"/>
      <c r="B31" s="89"/>
      <c r="C31" s="124"/>
      <c r="D31" s="91" t="s">
        <v>449</v>
      </c>
      <c r="E31" s="93"/>
      <c r="F31" s="120"/>
      <c r="G31" s="120"/>
      <c r="H31" s="120"/>
      <c r="I31" s="120"/>
      <c r="J31" s="120"/>
      <c r="K31" s="120"/>
      <c r="L31" s="120"/>
      <c r="M31" s="120"/>
      <c r="N31" s="120"/>
      <c r="O31" s="120"/>
      <c r="P31" s="120" t="s">
        <v>86</v>
      </c>
      <c r="Q31" s="120"/>
      <c r="R31" s="120"/>
      <c r="S31" s="120"/>
      <c r="T31" s="141"/>
    </row>
    <row r="32" spans="1:20" ht="13.5" customHeight="1" thickBot="1">
      <c r="A32" s="152"/>
      <c r="B32" s="133"/>
      <c r="C32" s="134"/>
      <c r="D32" s="135" t="s">
        <v>450</v>
      </c>
      <c r="E32" s="136"/>
      <c r="F32" s="137"/>
      <c r="G32" s="137"/>
      <c r="H32" s="137"/>
      <c r="I32" s="137"/>
      <c r="J32" s="137"/>
      <c r="K32" s="137"/>
      <c r="L32" s="137"/>
      <c r="M32" s="137"/>
      <c r="N32" s="137"/>
      <c r="O32" s="137"/>
      <c r="P32" s="137"/>
      <c r="Q32" s="137" t="s">
        <v>86</v>
      </c>
      <c r="R32" s="137"/>
      <c r="S32" s="137"/>
      <c r="T32" s="145"/>
    </row>
    <row r="33" spans="1:20" ht="13.5" customHeight="1" thickTop="1">
      <c r="A33" s="153" t="s">
        <v>48</v>
      </c>
      <c r="B33" s="206" t="s">
        <v>49</v>
      </c>
      <c r="C33" s="206"/>
      <c r="D33" s="206"/>
      <c r="E33" s="138"/>
      <c r="F33" s="139" t="s">
        <v>50</v>
      </c>
      <c r="G33" s="139" t="s">
        <v>50</v>
      </c>
      <c r="H33" s="139" t="s">
        <v>50</v>
      </c>
      <c r="I33" s="139" t="s">
        <v>50</v>
      </c>
      <c r="J33" s="139" t="s">
        <v>50</v>
      </c>
      <c r="K33" s="139" t="s">
        <v>50</v>
      </c>
      <c r="L33" s="139" t="s">
        <v>50</v>
      </c>
      <c r="M33" s="139" t="s">
        <v>50</v>
      </c>
      <c r="N33" s="139" t="s">
        <v>50</v>
      </c>
      <c r="O33" s="139" t="s">
        <v>50</v>
      </c>
      <c r="P33" s="139" t="s">
        <v>50</v>
      </c>
      <c r="Q33" s="139" t="s">
        <v>50</v>
      </c>
      <c r="R33" s="139"/>
      <c r="S33" s="139"/>
      <c r="T33" s="146"/>
    </row>
    <row r="34" spans="1:20" ht="13.5" customHeight="1">
      <c r="A34" s="152"/>
      <c r="B34" s="196" t="s">
        <v>53</v>
      </c>
      <c r="C34" s="196"/>
      <c r="D34" s="196"/>
      <c r="E34" s="94"/>
      <c r="F34" s="125" t="s">
        <v>54</v>
      </c>
      <c r="G34" s="125" t="s">
        <v>54</v>
      </c>
      <c r="H34" s="125" t="s">
        <v>54</v>
      </c>
      <c r="I34" s="125" t="s">
        <v>54</v>
      </c>
      <c r="J34" s="125" t="s">
        <v>54</v>
      </c>
      <c r="K34" s="125" t="s">
        <v>54</v>
      </c>
      <c r="L34" s="125" t="s">
        <v>54</v>
      </c>
      <c r="M34" s="125" t="s">
        <v>54</v>
      </c>
      <c r="N34" s="125" t="s">
        <v>54</v>
      </c>
      <c r="O34" s="125" t="s">
        <v>54</v>
      </c>
      <c r="P34" s="125" t="s">
        <v>54</v>
      </c>
      <c r="Q34" s="125" t="s">
        <v>54</v>
      </c>
      <c r="R34" s="125"/>
      <c r="S34" s="125"/>
      <c r="T34" s="147"/>
    </row>
    <row r="35" spans="1:20" ht="13.5" customHeight="1">
      <c r="A35" s="152"/>
      <c r="B35" s="204" t="s">
        <v>55</v>
      </c>
      <c r="C35" s="204"/>
      <c r="D35" s="204"/>
      <c r="E35" s="95"/>
      <c r="F35" s="96">
        <v>46244.708333333336</v>
      </c>
      <c r="G35" s="96">
        <v>46244.708333333336</v>
      </c>
      <c r="H35" s="96">
        <v>46244.708333333336</v>
      </c>
      <c r="I35" s="96">
        <v>46244.708333333336</v>
      </c>
      <c r="J35" s="96">
        <v>46244.708333333336</v>
      </c>
      <c r="K35" s="96">
        <v>46244.708333333336</v>
      </c>
      <c r="L35" s="96">
        <v>46244.708333333336</v>
      </c>
      <c r="M35" s="96">
        <v>46244.708333333336</v>
      </c>
      <c r="N35" s="96">
        <v>46244.708333333336</v>
      </c>
      <c r="O35" s="96">
        <v>46244.708333333336</v>
      </c>
      <c r="P35" s="96">
        <v>46244.708333333336</v>
      </c>
      <c r="Q35" s="96">
        <v>46244.708333333336</v>
      </c>
      <c r="R35" s="96"/>
      <c r="S35" s="96"/>
      <c r="T35" s="148"/>
    </row>
    <row r="36" spans="1:20" ht="10.5" thickBot="1">
      <c r="A36" s="158"/>
      <c r="B36" s="205" t="s">
        <v>56</v>
      </c>
      <c r="C36" s="205"/>
      <c r="D36" s="205"/>
      <c r="E36" s="149"/>
      <c r="F36" s="150"/>
      <c r="G36" s="150"/>
      <c r="H36" s="150"/>
      <c r="I36" s="150"/>
      <c r="J36" s="150"/>
      <c r="K36" s="150"/>
      <c r="L36" s="150"/>
      <c r="M36" s="150"/>
      <c r="N36" s="150"/>
      <c r="O36" s="150"/>
      <c r="P36" s="150"/>
      <c r="Q36" s="150"/>
      <c r="R36" s="150"/>
      <c r="S36" s="150"/>
      <c r="T36" s="151"/>
    </row>
    <row r="37" spans="1:20" ht="10.5" thickTop="1">
      <c r="A37" s="140"/>
    </row>
  </sheetData>
  <mergeCells count="24">
    <mergeCell ref="B34:D34"/>
    <mergeCell ref="B35:D35"/>
    <mergeCell ref="B36:D36"/>
    <mergeCell ref="A5:B5"/>
    <mergeCell ref="C5:E5"/>
    <mergeCell ref="F5:K5"/>
    <mergeCell ref="O5:T5"/>
    <mergeCell ref="D17:E17"/>
    <mergeCell ref="B33:D33"/>
    <mergeCell ref="A3:B3"/>
    <mergeCell ref="C3:T3"/>
    <mergeCell ref="A4:B4"/>
    <mergeCell ref="C4:E4"/>
    <mergeCell ref="F4:K4"/>
    <mergeCell ref="L4:N4"/>
    <mergeCell ref="O4:T4"/>
    <mergeCell ref="A1:B1"/>
    <mergeCell ref="C1:E1"/>
    <mergeCell ref="F1:K1"/>
    <mergeCell ref="L1:T1"/>
    <mergeCell ref="A2:B2"/>
    <mergeCell ref="C2:E2"/>
    <mergeCell ref="F2:K2"/>
    <mergeCell ref="L2:N2"/>
  </mergeCells>
  <dataValidations count="3">
    <dataValidation type="list" allowBlank="1" showInputMessage="1" showErrorMessage="1" sqref="F34:T34" xr:uid="{5E7C6B72-5066-4F1B-AE19-16FF842CA897}">
      <formula1>"P,F, "</formula1>
    </dataValidation>
    <dataValidation type="list" allowBlank="1" showInputMessage="1" showErrorMessage="1" sqref="F33:T33" xr:uid="{32083454-0F6C-4FD5-B76D-C956F99E1D72}">
      <formula1>"N,A,B, "</formula1>
    </dataValidation>
    <dataValidation type="list" allowBlank="1" showInputMessage="1" showErrorMessage="1" sqref="F8:T32" xr:uid="{2DDDCF39-1A80-4181-BF30-6CDD2112741B}">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6B15-E6D3-4119-838F-A036D49FD502}">
  <dimension ref="A1:V35"/>
  <sheetViews>
    <sheetView tabSelected="1" workbookViewId="0">
      <pane ySplit="7" topLeftCell="A8" activePane="bottomLeft" state="frozen"/>
      <selection pane="bottomLeft" sqref="A1:IV1"/>
    </sheetView>
  </sheetViews>
  <sheetFormatPr defaultColWidth="9" defaultRowHeight="13.5" customHeight="1"/>
  <cols>
    <col min="1" max="1" width="8.08984375" style="69" customWidth="1"/>
    <col min="2" max="2" width="13.36328125" style="73" customWidth="1"/>
    <col min="3" max="3" width="10.81640625" style="69" customWidth="1"/>
    <col min="4" max="4" width="11.36328125" style="70" customWidth="1"/>
    <col min="5" max="5" width="1.81640625" style="69" hidden="1" customWidth="1"/>
    <col min="6" max="7" width="2.81640625" style="69" bestFit="1" customWidth="1"/>
    <col min="8" max="8" width="2.81640625" style="69" customWidth="1"/>
    <col min="9" max="10" width="2.81640625" style="69" bestFit="1" customWidth="1"/>
    <col min="11" max="19" width="2.81640625" style="69" customWidth="1"/>
    <col min="20" max="20" width="2.81640625" style="69" bestFit="1" customWidth="1"/>
    <col min="21" max="21" width="2.81640625" style="69" customWidth="1"/>
    <col min="22" max="16384" width="9" style="69"/>
  </cols>
  <sheetData>
    <row r="1" spans="1:22" ht="13.5" customHeight="1">
      <c r="A1" s="189" t="s">
        <v>110</v>
      </c>
      <c r="B1" s="190"/>
      <c r="C1" s="191" t="s">
        <v>451</v>
      </c>
      <c r="D1" s="192"/>
      <c r="E1" s="193"/>
      <c r="F1" s="194" t="s">
        <v>111</v>
      </c>
      <c r="G1" s="195"/>
      <c r="H1" s="195"/>
      <c r="I1" s="195"/>
      <c r="J1" s="195"/>
      <c r="K1" s="195"/>
      <c r="L1" s="220" t="s">
        <v>452</v>
      </c>
      <c r="M1" s="221"/>
      <c r="N1" s="221"/>
      <c r="O1" s="221"/>
      <c r="P1" s="221"/>
      <c r="Q1" s="221"/>
      <c r="R1" s="221"/>
      <c r="S1" s="221"/>
      <c r="T1" s="222"/>
      <c r="V1" s="71"/>
    </row>
    <row r="2" spans="1:22" ht="13.5" customHeight="1">
      <c r="A2" s="202" t="s">
        <v>62</v>
      </c>
      <c r="B2" s="203"/>
      <c r="C2" s="207" t="s">
        <v>31</v>
      </c>
      <c r="D2" s="208"/>
      <c r="E2" s="209"/>
      <c r="F2" s="225" t="s">
        <v>63</v>
      </c>
      <c r="G2" s="226"/>
      <c r="H2" s="226"/>
      <c r="I2" s="226"/>
      <c r="J2" s="226"/>
      <c r="K2" s="227"/>
      <c r="L2" s="208" t="s">
        <v>119</v>
      </c>
      <c r="M2" s="208"/>
      <c r="N2" s="208"/>
      <c r="O2" s="126"/>
      <c r="P2" s="126"/>
      <c r="Q2" s="126"/>
      <c r="R2" s="126"/>
      <c r="S2" s="126"/>
      <c r="T2" s="127"/>
    </row>
    <row r="3" spans="1:22" ht="13.5" customHeight="1">
      <c r="A3" s="202" t="s">
        <v>64</v>
      </c>
      <c r="B3" s="203"/>
      <c r="C3" s="213" t="s">
        <v>453</v>
      </c>
      <c r="D3" s="213"/>
      <c r="E3" s="213"/>
      <c r="F3" s="214"/>
      <c r="G3" s="214"/>
      <c r="H3" s="214"/>
      <c r="I3" s="214"/>
      <c r="J3" s="214"/>
      <c r="K3" s="214"/>
      <c r="L3" s="213"/>
      <c r="M3" s="213"/>
      <c r="N3" s="213"/>
      <c r="O3" s="213"/>
      <c r="P3" s="213"/>
      <c r="Q3" s="213"/>
      <c r="R3" s="213"/>
      <c r="S3" s="213"/>
      <c r="T3" s="213"/>
    </row>
    <row r="4" spans="1:22" ht="13.5" customHeight="1">
      <c r="A4" s="211" t="s">
        <v>20</v>
      </c>
      <c r="B4" s="212"/>
      <c r="C4" s="223" t="s">
        <v>21</v>
      </c>
      <c r="D4" s="215"/>
      <c r="E4" s="224"/>
      <c r="F4" s="223" t="s">
        <v>22</v>
      </c>
      <c r="G4" s="215"/>
      <c r="H4" s="215"/>
      <c r="I4" s="215"/>
      <c r="J4" s="215"/>
      <c r="K4" s="228"/>
      <c r="L4" s="215" t="s">
        <v>65</v>
      </c>
      <c r="M4" s="215"/>
      <c r="N4" s="215"/>
      <c r="O4" s="218" t="s">
        <v>23</v>
      </c>
      <c r="P4" s="215"/>
      <c r="Q4" s="215"/>
      <c r="R4" s="215"/>
      <c r="S4" s="215"/>
      <c r="T4" s="219"/>
      <c r="V4" s="71"/>
    </row>
    <row r="5" spans="1:22" ht="13.5" customHeight="1" thickBot="1">
      <c r="A5" s="201">
        <f>COUNTIF(F32:HQ32,"P")</f>
        <v>11</v>
      </c>
      <c r="B5" s="200"/>
      <c r="C5" s="197">
        <f>COUNTIF(F32:HQ32,"F")</f>
        <v>0</v>
      </c>
      <c r="D5" s="198"/>
      <c r="E5" s="200"/>
      <c r="F5" s="197">
        <f>SUM(O5,- A5,- C5)</f>
        <v>0</v>
      </c>
      <c r="G5" s="198"/>
      <c r="H5" s="198"/>
      <c r="I5" s="198"/>
      <c r="J5" s="198"/>
      <c r="K5" s="199"/>
      <c r="L5" s="128">
        <f>COUNTIF(E31:HQ31,"N")</f>
        <v>8</v>
      </c>
      <c r="M5" s="128">
        <f>COUNTIF(E31:HQ31,"A")</f>
        <v>3</v>
      </c>
      <c r="N5" s="128">
        <f>COUNTIF(E31:HQ31,"B")</f>
        <v>0</v>
      </c>
      <c r="O5" s="216">
        <f>COUNTA(E7:HT7)</f>
        <v>11</v>
      </c>
      <c r="P5" s="198"/>
      <c r="Q5" s="198"/>
      <c r="R5" s="198"/>
      <c r="S5" s="198"/>
      <c r="T5" s="217"/>
      <c r="U5" s="72"/>
    </row>
    <row r="6" spans="1:22" ht="10.5" thickBot="1"/>
    <row r="7" spans="1:22" ht="46.5" customHeight="1" thickTop="1" thickBot="1">
      <c r="A7" s="159"/>
      <c r="B7" s="160"/>
      <c r="C7" s="161"/>
      <c r="D7" s="162"/>
      <c r="E7" s="161"/>
      <c r="F7" s="163" t="s">
        <v>32</v>
      </c>
      <c r="G7" s="163" t="s">
        <v>33</v>
      </c>
      <c r="H7" s="163" t="s">
        <v>34</v>
      </c>
      <c r="I7" s="163" t="s">
        <v>35</v>
      </c>
      <c r="J7" s="163" t="s">
        <v>36</v>
      </c>
      <c r="K7" s="163" t="s">
        <v>37</v>
      </c>
      <c r="L7" s="163" t="s">
        <v>38</v>
      </c>
      <c r="M7" s="163" t="s">
        <v>39</v>
      </c>
      <c r="N7" s="163" t="s">
        <v>40</v>
      </c>
      <c r="O7" s="163" t="s">
        <v>41</v>
      </c>
      <c r="P7" s="163" t="s">
        <v>42</v>
      </c>
      <c r="Q7" s="163"/>
      <c r="R7" s="163"/>
      <c r="S7" s="163"/>
      <c r="T7" s="164"/>
      <c r="U7" s="74"/>
      <c r="V7" s="71"/>
    </row>
    <row r="8" spans="1:22" ht="13.5" customHeight="1">
      <c r="A8" s="154" t="s">
        <v>66</v>
      </c>
      <c r="B8" s="155" t="s">
        <v>454</v>
      </c>
      <c r="C8" s="156"/>
      <c r="D8" s="157"/>
      <c r="E8" s="78"/>
      <c r="F8" s="123"/>
      <c r="G8" s="123"/>
      <c r="H8" s="123"/>
      <c r="I8" s="123"/>
      <c r="J8" s="123"/>
      <c r="K8" s="123"/>
      <c r="L8" s="123"/>
      <c r="M8" s="123"/>
      <c r="N8" s="123"/>
      <c r="O8" s="123"/>
      <c r="P8" s="123"/>
      <c r="Q8" s="123"/>
      <c r="R8" s="123"/>
      <c r="S8" s="123"/>
      <c r="T8" s="144"/>
    </row>
    <row r="9" spans="1:22" ht="13.5" customHeight="1">
      <c r="A9" s="142"/>
      <c r="B9" s="75"/>
      <c r="C9" s="76"/>
      <c r="D9" s="77" t="s">
        <v>455</v>
      </c>
      <c r="E9" s="78"/>
      <c r="F9" s="120" t="s">
        <v>86</v>
      </c>
      <c r="G9" s="120"/>
      <c r="H9" s="120"/>
      <c r="I9" s="120"/>
      <c r="J9" s="120"/>
      <c r="K9" s="120"/>
      <c r="L9" s="120"/>
      <c r="M9" s="120"/>
      <c r="N9" s="120"/>
      <c r="O9" s="120"/>
      <c r="P9" s="120"/>
      <c r="Q9" s="120"/>
      <c r="R9" s="120"/>
      <c r="S9" s="120"/>
      <c r="T9" s="141"/>
      <c r="V9" s="71"/>
    </row>
    <row r="10" spans="1:22" ht="13.5" customHeight="1">
      <c r="A10" s="142"/>
      <c r="B10" s="75"/>
      <c r="C10" s="76"/>
      <c r="D10" s="77" t="s">
        <v>456</v>
      </c>
      <c r="E10" s="78"/>
      <c r="F10" s="120"/>
      <c r="G10" s="120" t="s">
        <v>86</v>
      </c>
      <c r="H10" s="120"/>
      <c r="I10" s="120"/>
      <c r="J10" s="120"/>
      <c r="K10" s="120"/>
      <c r="L10" s="120"/>
      <c r="M10" s="120"/>
      <c r="N10" s="120"/>
      <c r="O10" s="120"/>
      <c r="P10" s="120"/>
      <c r="Q10" s="120"/>
      <c r="R10" s="120"/>
      <c r="S10" s="120"/>
      <c r="T10" s="141"/>
    </row>
    <row r="11" spans="1:22" ht="13.5" customHeight="1">
      <c r="A11" s="142"/>
      <c r="B11" s="75"/>
      <c r="C11" s="76"/>
      <c r="D11" s="77" t="s">
        <v>457</v>
      </c>
      <c r="E11" s="79"/>
      <c r="F11" s="120"/>
      <c r="G11" s="120"/>
      <c r="H11" s="120" t="s">
        <v>86</v>
      </c>
      <c r="I11" s="120"/>
      <c r="J11" s="120"/>
      <c r="K11" s="120"/>
      <c r="L11" s="120"/>
      <c r="M11" s="120"/>
      <c r="N11" s="120"/>
      <c r="O11" s="120"/>
      <c r="P11" s="120"/>
      <c r="Q11" s="120"/>
      <c r="R11" s="120"/>
      <c r="S11" s="120"/>
      <c r="T11" s="141"/>
    </row>
    <row r="12" spans="1:22" ht="13.5" customHeight="1">
      <c r="A12" s="142"/>
      <c r="B12" s="75"/>
      <c r="C12" s="76"/>
      <c r="D12" s="77" t="s">
        <v>458</v>
      </c>
      <c r="E12" s="80"/>
      <c r="F12" s="120"/>
      <c r="G12" s="120"/>
      <c r="H12" s="120"/>
      <c r="I12" s="120" t="s">
        <v>86</v>
      </c>
      <c r="J12" s="120"/>
      <c r="K12" s="120"/>
      <c r="L12" s="120"/>
      <c r="M12" s="120"/>
      <c r="N12" s="120"/>
      <c r="O12" s="120"/>
      <c r="P12" s="120"/>
      <c r="Q12" s="120"/>
      <c r="R12" s="120"/>
      <c r="S12" s="120"/>
      <c r="T12" s="141"/>
    </row>
    <row r="13" spans="1:22" ht="13.5" customHeight="1">
      <c r="A13" s="142"/>
      <c r="B13" s="75"/>
      <c r="C13" s="76"/>
      <c r="D13" s="77" t="s">
        <v>459</v>
      </c>
      <c r="E13" s="80"/>
      <c r="F13" s="120"/>
      <c r="G13" s="120"/>
      <c r="H13" s="120"/>
      <c r="I13" s="120"/>
      <c r="J13" s="120" t="s">
        <v>86</v>
      </c>
      <c r="K13" s="120"/>
      <c r="L13" s="120"/>
      <c r="M13" s="120"/>
      <c r="N13" s="120"/>
      <c r="O13" s="120"/>
      <c r="P13" s="120"/>
      <c r="Q13" s="120"/>
      <c r="R13" s="120"/>
      <c r="S13" s="120"/>
      <c r="T13" s="141"/>
    </row>
    <row r="14" spans="1:22" ht="13.5" customHeight="1">
      <c r="A14" s="142"/>
      <c r="B14" s="75"/>
      <c r="C14" s="76"/>
      <c r="D14" s="77" t="s">
        <v>460</v>
      </c>
      <c r="E14" s="80"/>
      <c r="F14" s="120"/>
      <c r="G14" s="120"/>
      <c r="H14" s="120"/>
      <c r="I14" s="120"/>
      <c r="J14" s="120"/>
      <c r="K14" s="120" t="s">
        <v>86</v>
      </c>
      <c r="L14" s="120"/>
      <c r="M14" s="120"/>
      <c r="N14" s="120"/>
      <c r="O14" s="120"/>
      <c r="P14" s="120"/>
      <c r="Q14" s="120"/>
      <c r="R14" s="120"/>
      <c r="S14" s="120"/>
      <c r="T14" s="141"/>
    </row>
    <row r="15" spans="1:22" ht="13.5" customHeight="1">
      <c r="A15" s="142"/>
      <c r="B15" s="75"/>
      <c r="C15" s="76"/>
      <c r="D15" s="77" t="s">
        <v>461</v>
      </c>
      <c r="E15" s="80"/>
      <c r="F15" s="120"/>
      <c r="G15" s="120"/>
      <c r="H15" s="120"/>
      <c r="I15" s="120"/>
      <c r="J15" s="120"/>
      <c r="K15" s="120"/>
      <c r="L15" s="120" t="s">
        <v>86</v>
      </c>
      <c r="M15" s="120"/>
      <c r="N15" s="120"/>
      <c r="O15" s="120" t="s">
        <v>86</v>
      </c>
      <c r="P15" s="120"/>
      <c r="Q15" s="120"/>
      <c r="R15" s="120"/>
      <c r="S15" s="120"/>
      <c r="T15" s="141"/>
      <c r="U15" s="121"/>
    </row>
    <row r="16" spans="1:22" ht="13.5" customHeight="1">
      <c r="A16" s="142"/>
      <c r="B16" s="75"/>
      <c r="C16" s="76"/>
      <c r="D16" s="77" t="s">
        <v>462</v>
      </c>
      <c r="E16" s="80"/>
      <c r="F16" s="120"/>
      <c r="G16" s="120"/>
      <c r="H16" s="120"/>
      <c r="I16" s="120"/>
      <c r="J16" s="120"/>
      <c r="K16" s="120"/>
      <c r="L16" s="120"/>
      <c r="M16" s="120" t="s">
        <v>86</v>
      </c>
      <c r="N16" s="120"/>
      <c r="O16" s="120"/>
      <c r="P16" s="120"/>
      <c r="Q16" s="120"/>
      <c r="R16" s="120"/>
      <c r="S16" s="120"/>
      <c r="T16" s="141"/>
      <c r="U16" s="121"/>
    </row>
    <row r="17" spans="1:20" ht="13.5" customHeight="1">
      <c r="A17" s="142"/>
      <c r="B17" s="75"/>
      <c r="C17" s="76"/>
      <c r="D17" s="210" t="s">
        <v>463</v>
      </c>
      <c r="E17" s="210"/>
      <c r="F17" s="120"/>
      <c r="G17" s="120"/>
      <c r="H17" s="120"/>
      <c r="I17" s="120"/>
      <c r="J17" s="120"/>
      <c r="K17" s="120"/>
      <c r="L17" s="120"/>
      <c r="M17" s="120"/>
      <c r="N17" s="120" t="s">
        <v>86</v>
      </c>
      <c r="O17" s="120"/>
      <c r="P17" s="120"/>
      <c r="Q17" s="120"/>
      <c r="R17" s="120"/>
      <c r="S17" s="120"/>
      <c r="T17" s="141"/>
    </row>
    <row r="18" spans="1:20" ht="13.5" customHeight="1">
      <c r="A18" s="142"/>
      <c r="B18" s="75"/>
      <c r="C18" s="76"/>
      <c r="D18" s="77" t="s">
        <v>464</v>
      </c>
      <c r="E18" s="80"/>
      <c r="F18" s="120"/>
      <c r="G18" s="120"/>
      <c r="H18" s="120"/>
      <c r="I18" s="120"/>
      <c r="J18" s="120"/>
      <c r="K18" s="120"/>
      <c r="L18" s="120"/>
      <c r="M18" s="120"/>
      <c r="N18" s="120"/>
      <c r="O18" s="120"/>
      <c r="P18" s="120" t="s">
        <v>86</v>
      </c>
      <c r="Q18" s="120"/>
      <c r="R18" s="120"/>
      <c r="S18" s="120"/>
      <c r="T18" s="141"/>
    </row>
    <row r="19" spans="1:20" ht="13.5" customHeight="1">
      <c r="A19" s="142"/>
      <c r="B19" s="75" t="s">
        <v>465</v>
      </c>
      <c r="C19" s="76"/>
      <c r="D19" s="77"/>
      <c r="E19" s="80"/>
      <c r="F19" s="120"/>
      <c r="G19" s="120"/>
      <c r="H19" s="120"/>
      <c r="I19" s="120"/>
      <c r="J19" s="120"/>
      <c r="K19" s="120"/>
      <c r="L19" s="120"/>
      <c r="M19" s="120"/>
      <c r="N19" s="120"/>
      <c r="O19" s="120"/>
      <c r="P19" s="120"/>
      <c r="Q19" s="120"/>
      <c r="R19" s="120"/>
      <c r="S19" s="120"/>
      <c r="T19" s="141"/>
    </row>
    <row r="20" spans="1:20" ht="13.5" customHeight="1">
      <c r="A20" s="142"/>
      <c r="B20" s="75"/>
      <c r="C20" s="76"/>
      <c r="D20" s="77" t="s">
        <v>466</v>
      </c>
      <c r="E20" s="80"/>
      <c r="F20" s="120" t="s">
        <v>86</v>
      </c>
      <c r="G20" s="120" t="s">
        <v>86</v>
      </c>
      <c r="H20" s="120" t="s">
        <v>86</v>
      </c>
      <c r="I20" s="120" t="s">
        <v>86</v>
      </c>
      <c r="J20" s="120" t="s">
        <v>86</v>
      </c>
      <c r="K20" s="120" t="s">
        <v>86</v>
      </c>
      <c r="L20" s="120"/>
      <c r="M20" s="120"/>
      <c r="N20" s="120"/>
      <c r="O20" s="120"/>
      <c r="P20" s="120"/>
      <c r="Q20" s="120"/>
      <c r="R20" s="120"/>
      <c r="S20" s="120"/>
      <c r="T20" s="141"/>
    </row>
    <row r="21" spans="1:20" ht="13.5" customHeight="1">
      <c r="A21" s="142"/>
      <c r="B21" s="75"/>
      <c r="C21" s="76"/>
      <c r="D21" s="77" t="s">
        <v>467</v>
      </c>
      <c r="E21" s="80"/>
      <c r="F21" s="120"/>
      <c r="G21" s="120"/>
      <c r="H21" s="120"/>
      <c r="I21" s="120"/>
      <c r="J21" s="120"/>
      <c r="K21" s="120"/>
      <c r="L21" s="120"/>
      <c r="M21" s="120"/>
      <c r="N21" s="120"/>
      <c r="O21" s="120" t="s">
        <v>86</v>
      </c>
      <c r="P21" s="120" t="s">
        <v>86</v>
      </c>
      <c r="Q21" s="120"/>
      <c r="R21" s="120"/>
      <c r="S21" s="120"/>
      <c r="T21" s="141"/>
    </row>
    <row r="22" spans="1:20" ht="13.5" customHeight="1" thickBot="1">
      <c r="A22" s="142"/>
      <c r="B22" s="81"/>
      <c r="C22" s="82"/>
      <c r="D22" s="83" t="s">
        <v>468</v>
      </c>
      <c r="E22" s="84"/>
      <c r="F22" s="122"/>
      <c r="G22" s="122"/>
      <c r="H22" s="122"/>
      <c r="I22" s="122"/>
      <c r="J22" s="122"/>
      <c r="K22" s="122"/>
      <c r="L22" s="122" t="s">
        <v>86</v>
      </c>
      <c r="M22" s="122" t="s">
        <v>86</v>
      </c>
      <c r="N22" s="122" t="s">
        <v>86</v>
      </c>
      <c r="O22" s="122"/>
      <c r="P22" s="122"/>
      <c r="Q22" s="122"/>
      <c r="R22" s="122"/>
      <c r="S22" s="122"/>
      <c r="T22" s="143"/>
    </row>
    <row r="23" spans="1:20" ht="13.5" customHeight="1" thickTop="1">
      <c r="A23" s="153" t="s">
        <v>67</v>
      </c>
      <c r="B23" s="85" t="s">
        <v>439</v>
      </c>
      <c r="C23" s="86"/>
      <c r="D23" s="87"/>
      <c r="E23" s="88"/>
      <c r="F23" s="123"/>
      <c r="G23" s="123"/>
      <c r="H23" s="123"/>
      <c r="I23" s="123"/>
      <c r="J23" s="123"/>
      <c r="K23" s="123"/>
      <c r="L23" s="123"/>
      <c r="M23" s="123"/>
      <c r="N23" s="123"/>
      <c r="O23" s="123"/>
      <c r="P23" s="123"/>
      <c r="Q23" s="123"/>
      <c r="R23" s="123"/>
      <c r="S23" s="123"/>
      <c r="T23" s="144"/>
    </row>
    <row r="24" spans="1:20" ht="13.5" customHeight="1">
      <c r="A24" s="152"/>
      <c r="B24" s="89"/>
      <c r="C24" s="90"/>
      <c r="D24" s="91" t="s">
        <v>469</v>
      </c>
      <c r="E24" s="92"/>
      <c r="F24" s="120" t="s">
        <v>86</v>
      </c>
      <c r="G24" s="120"/>
      <c r="H24" s="120"/>
      <c r="I24" s="120"/>
      <c r="J24" s="120"/>
      <c r="K24" s="120"/>
      <c r="L24" s="120"/>
      <c r="M24" s="120"/>
      <c r="N24" s="120"/>
      <c r="O24" s="120"/>
      <c r="P24" s="120"/>
      <c r="Q24" s="120"/>
      <c r="R24" s="120"/>
      <c r="S24" s="120"/>
      <c r="T24" s="141"/>
    </row>
    <row r="25" spans="1:20" ht="13.5" customHeight="1">
      <c r="A25" s="152"/>
      <c r="B25" s="89"/>
      <c r="C25" s="124"/>
      <c r="D25" s="91" t="s">
        <v>470</v>
      </c>
      <c r="E25" s="93"/>
      <c r="F25" s="120"/>
      <c r="G25" s="120" t="s">
        <v>86</v>
      </c>
      <c r="H25" s="120"/>
      <c r="I25" s="120"/>
      <c r="J25" s="120"/>
      <c r="K25" s="120" t="s">
        <v>86</v>
      </c>
      <c r="L25" s="120"/>
      <c r="M25" s="120"/>
      <c r="N25" s="120"/>
      <c r="O25" s="120"/>
      <c r="P25" s="120"/>
      <c r="Q25" s="120"/>
      <c r="R25" s="120"/>
      <c r="S25" s="120"/>
      <c r="T25" s="141"/>
    </row>
    <row r="26" spans="1:20" ht="13.5" customHeight="1">
      <c r="A26" s="152"/>
      <c r="B26" s="89"/>
      <c r="C26" s="124"/>
      <c r="D26" s="91" t="s">
        <v>471</v>
      </c>
      <c r="E26" s="93"/>
      <c r="F26" s="120"/>
      <c r="G26" s="120"/>
      <c r="H26" s="120" t="s">
        <v>86</v>
      </c>
      <c r="I26" s="120"/>
      <c r="J26" s="120"/>
      <c r="K26" s="120"/>
      <c r="L26" s="120"/>
      <c r="M26" s="120"/>
      <c r="N26" s="120"/>
      <c r="O26" s="120"/>
      <c r="P26" s="120"/>
      <c r="Q26" s="120"/>
      <c r="R26" s="120"/>
      <c r="S26" s="120"/>
      <c r="T26" s="141"/>
    </row>
    <row r="27" spans="1:20" ht="13.5" customHeight="1">
      <c r="A27" s="152"/>
      <c r="B27" s="89"/>
      <c r="C27" s="124"/>
      <c r="D27" s="91" t="s">
        <v>472</v>
      </c>
      <c r="E27" s="93"/>
      <c r="F27" s="120"/>
      <c r="G27" s="120"/>
      <c r="H27" s="120"/>
      <c r="I27" s="120" t="s">
        <v>86</v>
      </c>
      <c r="J27" s="120"/>
      <c r="K27" s="120"/>
      <c r="L27" s="120"/>
      <c r="M27" s="120"/>
      <c r="N27" s="120"/>
      <c r="O27" s="120"/>
      <c r="P27" s="120"/>
      <c r="Q27" s="120"/>
      <c r="R27" s="120"/>
      <c r="S27" s="120"/>
      <c r="T27" s="141"/>
    </row>
    <row r="28" spans="1:20" ht="13.5" customHeight="1">
      <c r="A28" s="152"/>
      <c r="B28" s="89"/>
      <c r="C28" s="124"/>
      <c r="D28" s="91" t="s">
        <v>473</v>
      </c>
      <c r="E28" s="93"/>
      <c r="F28" s="120"/>
      <c r="G28" s="120"/>
      <c r="H28" s="120"/>
      <c r="I28" s="120"/>
      <c r="J28" s="120" t="s">
        <v>86</v>
      </c>
      <c r="K28" s="120"/>
      <c r="L28" s="120"/>
      <c r="M28" s="120"/>
      <c r="N28" s="120"/>
      <c r="O28" s="120"/>
      <c r="P28" s="120"/>
      <c r="Q28" s="120"/>
      <c r="R28" s="120"/>
      <c r="S28" s="120"/>
      <c r="T28" s="141"/>
    </row>
    <row r="29" spans="1:20" ht="13.5" customHeight="1">
      <c r="A29" s="152"/>
      <c r="B29" s="89"/>
      <c r="C29" s="124"/>
      <c r="D29" s="91" t="s">
        <v>474</v>
      </c>
      <c r="E29" s="93"/>
      <c r="F29" s="120"/>
      <c r="G29" s="120"/>
      <c r="H29" s="120"/>
      <c r="I29" s="120"/>
      <c r="J29" s="120"/>
      <c r="K29" s="120"/>
      <c r="L29" s="120" t="s">
        <v>86</v>
      </c>
      <c r="M29" s="120" t="s">
        <v>86</v>
      </c>
      <c r="N29" s="120" t="s">
        <v>86</v>
      </c>
      <c r="O29" s="120" t="s">
        <v>86</v>
      </c>
      <c r="P29" s="120"/>
      <c r="Q29" s="120"/>
      <c r="R29" s="120"/>
      <c r="S29" s="120"/>
      <c r="T29" s="141"/>
    </row>
    <row r="30" spans="1:20" ht="13.5" customHeight="1" thickBot="1">
      <c r="A30" s="152"/>
      <c r="B30" s="133"/>
      <c r="C30" s="134"/>
      <c r="D30" s="135" t="s">
        <v>475</v>
      </c>
      <c r="E30" s="136"/>
      <c r="F30" s="137"/>
      <c r="G30" s="137"/>
      <c r="H30" s="137"/>
      <c r="I30" s="137"/>
      <c r="J30" s="137"/>
      <c r="K30" s="137"/>
      <c r="L30" s="137"/>
      <c r="M30" s="137"/>
      <c r="N30" s="137"/>
      <c r="O30" s="137"/>
      <c r="P30" s="137" t="s">
        <v>86</v>
      </c>
      <c r="Q30" s="137"/>
      <c r="R30" s="137"/>
      <c r="S30" s="137"/>
      <c r="T30" s="145"/>
    </row>
    <row r="31" spans="1:20" ht="13.5" customHeight="1" thickTop="1">
      <c r="A31" s="153" t="s">
        <v>48</v>
      </c>
      <c r="B31" s="206" t="s">
        <v>49</v>
      </c>
      <c r="C31" s="206"/>
      <c r="D31" s="206"/>
      <c r="E31" s="138"/>
      <c r="F31" s="139" t="s">
        <v>50</v>
      </c>
      <c r="G31" s="139" t="s">
        <v>50</v>
      </c>
      <c r="H31" s="139" t="s">
        <v>50</v>
      </c>
      <c r="I31" s="139" t="s">
        <v>50</v>
      </c>
      <c r="J31" s="139" t="s">
        <v>50</v>
      </c>
      <c r="K31" s="139" t="s">
        <v>50</v>
      </c>
      <c r="L31" s="139" t="s">
        <v>52</v>
      </c>
      <c r="M31" s="139" t="s">
        <v>52</v>
      </c>
      <c r="N31" s="139" t="s">
        <v>52</v>
      </c>
      <c r="O31" s="139" t="s">
        <v>50</v>
      </c>
      <c r="P31" s="139" t="s">
        <v>50</v>
      </c>
      <c r="Q31" s="139"/>
      <c r="R31" s="139"/>
      <c r="S31" s="139"/>
      <c r="T31" s="146"/>
    </row>
    <row r="32" spans="1:20" ht="13.5" customHeight="1">
      <c r="A32" s="152"/>
      <c r="B32" s="196" t="s">
        <v>53</v>
      </c>
      <c r="C32" s="196"/>
      <c r="D32" s="196"/>
      <c r="E32" s="94"/>
      <c r="F32" s="125" t="s">
        <v>54</v>
      </c>
      <c r="G32" s="125" t="s">
        <v>54</v>
      </c>
      <c r="H32" s="125" t="s">
        <v>54</v>
      </c>
      <c r="I32" s="125" t="s">
        <v>54</v>
      </c>
      <c r="J32" s="125" t="s">
        <v>54</v>
      </c>
      <c r="K32" s="125" t="s">
        <v>54</v>
      </c>
      <c r="L32" s="125" t="s">
        <v>54</v>
      </c>
      <c r="M32" s="125" t="s">
        <v>54</v>
      </c>
      <c r="N32" s="125" t="s">
        <v>54</v>
      </c>
      <c r="O32" s="125" t="s">
        <v>54</v>
      </c>
      <c r="P32" s="125" t="s">
        <v>54</v>
      </c>
      <c r="Q32" s="125"/>
      <c r="R32" s="125"/>
      <c r="S32" s="125"/>
      <c r="T32" s="147"/>
    </row>
    <row r="33" spans="1:20" ht="13.5" customHeight="1">
      <c r="A33" s="152"/>
      <c r="B33" s="204" t="s">
        <v>55</v>
      </c>
      <c r="C33" s="204"/>
      <c r="D33" s="204"/>
      <c r="E33" s="95"/>
      <c r="F33" s="96">
        <v>46244.708333333336</v>
      </c>
      <c r="G33" s="96">
        <v>46244.708333333336</v>
      </c>
      <c r="H33" s="96">
        <v>46244.708333333336</v>
      </c>
      <c r="I33" s="96">
        <v>46244.708333333336</v>
      </c>
      <c r="J33" s="96">
        <v>46244.708333333336</v>
      </c>
      <c r="K33" s="96">
        <v>46244.708333333336</v>
      </c>
      <c r="L33" s="96">
        <v>46244.708333333336</v>
      </c>
      <c r="M33" s="96">
        <v>46244.708333333336</v>
      </c>
      <c r="N33" s="96">
        <v>46244.708333333336</v>
      </c>
      <c r="O33" s="96">
        <v>46244.708333333336</v>
      </c>
      <c r="P33" s="96">
        <v>46244.708333333336</v>
      </c>
      <c r="Q33" s="96"/>
      <c r="R33" s="96"/>
      <c r="S33" s="96"/>
      <c r="T33" s="148"/>
    </row>
    <row r="34" spans="1:20" ht="10.5" thickBot="1">
      <c r="A34" s="158"/>
      <c r="B34" s="205" t="s">
        <v>56</v>
      </c>
      <c r="C34" s="205"/>
      <c r="D34" s="205"/>
      <c r="E34" s="149"/>
      <c r="F34" s="150"/>
      <c r="G34" s="150"/>
      <c r="H34" s="150"/>
      <c r="I34" s="150"/>
      <c r="J34" s="150"/>
      <c r="K34" s="150"/>
      <c r="L34" s="150"/>
      <c r="M34" s="150"/>
      <c r="N34" s="150"/>
      <c r="O34" s="150"/>
      <c r="P34" s="150"/>
      <c r="Q34" s="150"/>
      <c r="R34" s="150"/>
      <c r="S34" s="150"/>
      <c r="T34" s="151"/>
    </row>
    <row r="35" spans="1:20" ht="10.5" thickTop="1">
      <c r="A35" s="140"/>
    </row>
  </sheetData>
  <mergeCells count="24">
    <mergeCell ref="B32:D32"/>
    <mergeCell ref="B33:D33"/>
    <mergeCell ref="B34:D34"/>
    <mergeCell ref="A5:B5"/>
    <mergeCell ref="C5:E5"/>
    <mergeCell ref="F5:K5"/>
    <mergeCell ref="O5:T5"/>
    <mergeCell ref="D17:E17"/>
    <mergeCell ref="B31:D31"/>
    <mergeCell ref="A3:B3"/>
    <mergeCell ref="C3:T3"/>
    <mergeCell ref="A4:B4"/>
    <mergeCell ref="C4:E4"/>
    <mergeCell ref="F4:K4"/>
    <mergeCell ref="L4:N4"/>
    <mergeCell ref="O4:T4"/>
    <mergeCell ref="A1:B1"/>
    <mergeCell ref="C1:E1"/>
    <mergeCell ref="F1:K1"/>
    <mergeCell ref="L1:T1"/>
    <mergeCell ref="A2:B2"/>
    <mergeCell ref="C2:E2"/>
    <mergeCell ref="F2:K2"/>
    <mergeCell ref="L2:N2"/>
  </mergeCells>
  <dataValidations count="3">
    <dataValidation type="list" allowBlank="1" showInputMessage="1" showErrorMessage="1" sqref="F32:T32" xr:uid="{C244AAFD-F55A-40BC-9365-B9AC905482A6}">
      <formula1>"P,F, "</formula1>
    </dataValidation>
    <dataValidation type="list" allowBlank="1" showInputMessage="1" showErrorMessage="1" sqref="F31:T31" xr:uid="{EFBBFA59-5193-4D7B-8098-65E586B0FDF6}">
      <formula1>"N,A,B, "</formula1>
    </dataValidation>
    <dataValidation type="list" allowBlank="1" showInputMessage="1" showErrorMessage="1" sqref="F8:T30" xr:uid="{916E3E77-4C04-402F-B050-6F1066C35B59}">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17</vt:i4>
      </vt:variant>
    </vt:vector>
  </HeadingPairs>
  <TitlesOfParts>
    <vt:vector size="35" baseType="lpstr">
      <vt:lpstr>Guideline</vt:lpstr>
      <vt:lpstr>Cover</vt:lpstr>
      <vt:lpstr>MethodList</vt:lpstr>
      <vt:lpstr>Statistics</vt:lpstr>
      <vt:lpstr>IsAllowedBaseUrl</vt:lpstr>
      <vt:lpstr>NormalizeApiKey</vt:lpstr>
      <vt:lpstr>ContentLintCheck</vt:lpstr>
      <vt:lpstr>ScenarioMatcher</vt:lpstr>
      <vt:lpstr>GoldenHourResolve</vt:lpstr>
      <vt:lpstr>RecurrenceCalc</vt:lpstr>
      <vt:lpstr>KbSuggestionApprove</vt:lpstr>
      <vt:lpstr>ConversationResume</vt:lpstr>
      <vt:lpstr>PlanValidator</vt:lpstr>
      <vt:lpstr>CostGuard</vt:lpstr>
      <vt:lpstr>PublicUrlSafety</vt:lpstr>
      <vt:lpstr>ReviewOutcomeParse</vt:lpstr>
      <vt:lpstr>LeadScoringWeights</vt:lpstr>
      <vt:lpstr>AuthPolicyConstants</vt:lpstr>
      <vt:lpstr>AuthPolicyConstants!Print_Area</vt:lpstr>
      <vt:lpstr>ContentLintCheck!Print_Area</vt:lpstr>
      <vt:lpstr>ConversationResume!Print_Area</vt:lpstr>
      <vt:lpstr>CostGuard!Print_Area</vt:lpstr>
      <vt:lpstr>GoldenHourResolve!Print_Area</vt:lpstr>
      <vt:lpstr>Guideline!Print_Area</vt:lpstr>
      <vt:lpstr>IsAllowedBaseUrl!Print_Area</vt:lpstr>
      <vt:lpstr>KbSuggestionApprove!Print_Area</vt:lpstr>
      <vt:lpstr>LeadScoringWeights!Print_Area</vt:lpstr>
      <vt:lpstr>MethodList!Print_Area</vt:lpstr>
      <vt:lpstr>NormalizeApiKey!Print_Area</vt:lpstr>
      <vt:lpstr>PlanValidator!Print_Area</vt:lpstr>
      <vt:lpstr>PublicUrlSafety!Print_Area</vt:lpstr>
      <vt:lpstr>RecurrenceCalc!Print_Area</vt:lpstr>
      <vt:lpstr>ReviewOutcomeParse!Print_Area</vt:lpstr>
      <vt:lpstr>ScenarioMatcher!Print_Area</vt:lpstr>
      <vt:lpstr>Statistics!Print_Area</vt:lpstr>
    </vt:vector>
  </TitlesOfParts>
  <Company>FPT-Software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Hoang Anh</dc:creator>
  <cp:lastModifiedBy>Võ Thành Đạt</cp:lastModifiedBy>
  <cp:lastPrinted>2008-03-12T04:05:49Z</cp:lastPrinted>
  <dcterms:created xsi:type="dcterms:W3CDTF">2007-10-09T09:39:48Z</dcterms:created>
  <dcterms:modified xsi:type="dcterms:W3CDTF">2026-08-12T08:37:31Z</dcterms:modified>
</cp:coreProperties>
</file>