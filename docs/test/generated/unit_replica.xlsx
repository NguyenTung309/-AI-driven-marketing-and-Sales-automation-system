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wbot\docs\test\generated\"/>
    </mc:Choice>
  </mc:AlternateContent>
  <xr:revisionPtr revIDLastSave="0" documentId="13_ncr:1_{8FCD5407-C2F5-467F-8A06-4FB8D27E7283}" xr6:coauthVersionLast="47" xr6:coauthVersionMax="47" xr10:uidLastSave="{00000000-0000-0000-0000-000000000000}"/>
  <bookViews>
    <workbookView xWindow="2240" yWindow="2240" windowWidth="14400" windowHeight="7350" tabRatio="641" activeTab="4" xr2:uid="{00000000-000D-0000-FFFF-FFFF00000000}"/>
  </bookViews>
  <sheets>
    <sheet name="Guideline" sheetId="1" r:id="rId1"/>
    <sheet name="Cover" sheetId="4" r:id="rId2"/>
    <sheet name="MethodList" sheetId="5" r:id="rId3"/>
    <sheet name="Statistics" sheetId="6" r:id="rId4"/>
    <sheet name="methodName1" sheetId="13" r:id="rId5"/>
  </sheets>
  <definedNames>
    <definedName name="ACTION">#REF!</definedName>
    <definedName name="_xlnm.Print_Area" localSheetId="0">Guideline!$A$1:$A$47</definedName>
    <definedName name="_xlnm.Print_Area" localSheetId="2">MethodList!$A$1:$F$35</definedName>
    <definedName name="_xlnm.Print_Area" localSheetId="4">methodName1!$A$1:$T$51</definedName>
    <definedName name="_xlnm.Print_Area" localSheetId="3">Statistics!$A$1:$I$39</definedName>
    <definedName name="Z_2C0D9096_8D85_462A_A9B5_0B488ADB4269_.wvu.Cols" localSheetId="4" hidden="1">methodName1!$E:$E</definedName>
    <definedName name="Z_2C0D9096_8D85_462A_A9B5_0B488ADB4269_.wvu.PrintArea" localSheetId="3" hidden="1">Statistics!$A:$I</definedName>
    <definedName name="Z_6F1DCD5D_5DAC_4817_BF40_2B66F6F593E6_.wvu.Cols" localSheetId="4" hidden="1">methodName1!$E:$E</definedName>
    <definedName name="Z_6F1DCD5D_5DAC_4817_BF40_2B66F6F593E6_.wvu.PrintArea" localSheetId="3" hidden="1">Statistics!$A:$I</definedName>
    <definedName name="Z_BE54E0AD_3725_4423_92D7_4F1C045BE1BC_.wvu.Cols" localSheetId="4" hidden="1">methodName1!$E:$E</definedName>
    <definedName name="Z_BE54E0AD_3725_4423_92D7_4F1C045BE1BC_.wvu.PrintArea" localSheetId="3" hidden="1">Statistics!$A:$I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6" l="1"/>
  <c r="G15" i="6" s="1"/>
  <c r="D20" i="6" s="1"/>
  <c r="D12" i="6"/>
  <c r="D15" i="6" s="1"/>
  <c r="O5" i="13"/>
  <c r="I12" i="6" s="1"/>
  <c r="I15" i="6" s="1"/>
  <c r="N5" i="13"/>
  <c r="H12" i="6" s="1"/>
  <c r="H15" i="6" s="1"/>
  <c r="D21" i="6" s="1"/>
  <c r="M5" i="13"/>
  <c r="L5" i="13"/>
  <c r="F12" i="6" s="1"/>
  <c r="F15" i="6" s="1"/>
  <c r="D19" i="6" s="1"/>
  <c r="F5" i="13"/>
  <c r="E12" i="6" s="1"/>
  <c r="E15" i="6" s="1"/>
  <c r="C5" i="13"/>
  <c r="A5" i="13"/>
  <c r="C12" i="6" s="1"/>
  <c r="C15" i="6" s="1"/>
  <c r="B6" i="4"/>
  <c r="C4" i="5"/>
  <c r="C5" i="5"/>
  <c r="B4" i="6"/>
  <c r="B5" i="6"/>
  <c r="B6" i="6" s="1"/>
  <c r="D18" i="6" l="1"/>
  <c r="D1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3" authorId="0" shapeId="0" xr:uid="{FA778FDC-A608-4277-A8C0-0CFC7800D4C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 xr:uid="{97DEFC1E-C104-4722-8C76-184CDFD9BB4D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<sst xmlns="http://schemas.openxmlformats.org/spreadsheetml/2006/main" count="161" uniqueCount="125">
  <si>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</si>
  <si>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</si>
  <si>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</si>
  <si>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</si>
  <si>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</si>
  <si>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</si>
  <si>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</si>
  <si>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</si>
  <si>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</si>
  <si>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</si>
  <si>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</si>
  <si>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</si>
  <si>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</si>
  <si>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Environment Setup Description</t>
  </si>
  <si>
    <t>&lt;List enviroment requires in this system
1. Server
2. Database
3. Web Browser
...
&gt;</t>
  </si>
  <si>
    <t>No</t>
  </si>
  <si>
    <t>Sheet Name</t>
  </si>
  <si>
    <t>Description</t>
  </si>
  <si>
    <t>Pre-Condition</t>
  </si>
  <si>
    <t>UNIT TEST REPORT</t>
  </si>
  <si>
    <t>Notes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</si>
  <si>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</si>
  <si>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</si>
  <si>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</si>
  <si>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</si>
  <si>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</si>
  <si>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</si>
  <si>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</si>
  <si>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</si>
  <si>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</si>
  <si>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</si>
  <si>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</si>
  <si>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&lt;Developer Name&gt;</t>
  </si>
  <si>
    <t>UTCID01</t>
  </si>
  <si>
    <t>UTCID02</t>
  </si>
  <si>
    <t>Can connect with server</t>
  </si>
  <si>
    <t>"success"</t>
  </si>
  <si>
    <t>"input1 is null"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</si>
  <si>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</si>
  <si>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</si>
  <si>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</si>
  <si>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</si>
  <si>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</si>
  <si>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</si>
  <si>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</si>
  <si>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</si>
  <si>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</si>
  <si>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</si>
  <si>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</si>
  <si>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</si>
  <si>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</si>
  <si>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</si>
  <si>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</si>
  <si>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>&lt;Brief description about requirements which are tested in this function&gt;</t>
  </si>
  <si>
    <t>Created By</t>
  </si>
  <si>
    <t>Executed By</t>
  </si>
  <si>
    <t>Test requirement</t>
  </si>
  <si>
    <t>N/A/B</t>
  </si>
  <si>
    <t>Condition</t>
  </si>
  <si>
    <t xml:space="preserve">Precondition </t>
  </si>
  <si>
    <t>Confirm</t>
  </si>
  <si>
    <t>Return</t>
  </si>
  <si>
    <t>Exception</t>
  </si>
  <si>
    <t>Log message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</si>
  <si>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</si>
  <si>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</si>
  <si>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</si>
  <si>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</si>
  <si>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</si>
  <si>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</si>
  <si>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</si>
  <si>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</si>
  <si>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</si>
  <si>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</si>
  <si>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</si>
  <si>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</si>
  <si>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</si>
  <si>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</si>
  <si>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</si>
  <si>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</si>
  <si>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O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</si>
  <si>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</si>
  <si>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</si>
  <si>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</si>
  <si>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</si>
  <si>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</si>
  <si>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</si>
  <si>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</si>
  <si>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</si>
  <si>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</si>
  <si>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</si>
  <si>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</si>
  <si>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</si>
  <si>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</si>
  <si>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</si>
  <si>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</si>
  <si>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</si>
  <si>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</si>
  <si>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</si>
  <si>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</si>
  <si>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</si>
  <si>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</si>
  <si>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</si>
  <si>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Date</t>
  </si>
  <si>
    <t>Month</t>
  </si>
  <si>
    <t>Year</t>
  </si>
  <si>
    <t>T</t>
  </si>
  <si>
    <t>UNIT TEST DOCUMENT</t>
  </si>
  <si>
    <t>Code Module</t>
  </si>
  <si>
    <t>Method</t>
  </si>
  <si>
    <t>Module Name</t>
  </si>
  <si>
    <t>ModuleName1</t>
  </si>
  <si>
    <t>Method Name</t>
  </si>
  <si>
    <t>methodName1</t>
  </si>
  <si>
    <t xml:space="preserve"> - Method: it is name  of the code method/component and updated automatically according to FunctionList sheet.</t>
  </si>
  <si>
    <t xml:space="preserve"> - Code Module: name of the code module and updated automatically according to FunctionList sheet.</t>
  </si>
  <si>
    <t>Method List</t>
  </si>
  <si>
    <t>Clawbot</t>
  </si>
  <si>
    <t>&lt;Creator&gt;</t>
  </si>
  <si>
    <t>CLAWBOT</t>
  </si>
  <si>
    <t>v1.0</t>
  </si>
  <si>
    <t>Unit Test Report</t>
  </si>
  <si>
    <t>Initial version</t>
  </si>
  <si>
    <t>&lt;Reviewer/Approver&gt;</t>
  </si>
  <si>
    <t>&lt;List of modules included in this release&gt;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</si>
</sst>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5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47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231">
    <xf numFmtId="0" fontId="0" fillId="0" borderId="0" xfId="0">
      <alignment vertical="center"/>
    </xf>
    <xf numFmtId="0" fontId="21" fillId="0" borderId="10" xfId="40" applyFont="1" applyBorder="1" applyAlignment="1">
      <alignment horizontal="center" vertical="center"/>
    </xf>
    <xf numFmtId="0" fontId="23" fillId="0" borderId="0" xfId="40" applyFont="1" applyAlignment="1">
      <alignment horizontal="center" vertical="center"/>
    </xf>
    <xf numFmtId="0" fontId="23" fillId="0" borderId="0" xfId="40" applyFont="1"/>
    <xf numFmtId="0" fontId="24" fillId="24" borderId="0" xfId="40" applyFont="1" applyFill="1" applyAlignment="1">
      <alignment horizontal="left" indent="1"/>
    </xf>
    <xf numFmtId="0" fontId="25" fillId="0" borderId="0" xfId="40" applyFont="1" applyAlignment="1">
      <alignment horizontal="left" indent="1"/>
    </xf>
    <xf numFmtId="0" fontId="23" fillId="24" borderId="0" xfId="40" applyFont="1" applyFill="1"/>
    <xf numFmtId="0" fontId="23" fillId="0" borderId="11" xfId="40" applyFont="1" applyBorder="1"/>
    <xf numFmtId="0" fontId="25" fillId="0" borderId="0" xfId="40" applyFont="1" applyAlignment="1">
      <alignment horizontal="left"/>
    </xf>
    <xf numFmtId="0" fontId="24" fillId="0" borderId="0" xfId="40" applyFont="1" applyAlignment="1">
      <alignment horizontal="left" indent="1"/>
    </xf>
    <xf numFmtId="0" fontId="23" fillId="0" borderId="0" xfId="40" applyFont="1" applyAlignment="1">
      <alignment vertical="center"/>
    </xf>
    <xf numFmtId="164" fontId="26" fillId="25" borderId="12" xfId="40" applyNumberFormat="1" applyFont="1" applyFill="1" applyBorder="1" applyAlignment="1">
      <alignment horizontal="center" vertical="center"/>
    </xf>
    <xf numFmtId="0" fontId="26" fillId="25" borderId="13" xfId="40" applyFont="1" applyFill="1" applyBorder="1" applyAlignment="1">
      <alignment horizontal="center" vertical="center"/>
    </xf>
    <xf numFmtId="0" fontId="26" fillId="25" borderId="14" xfId="40" applyFont="1" applyFill="1" applyBorder="1" applyAlignment="1">
      <alignment horizontal="center" vertical="center"/>
    </xf>
    <xf numFmtId="0" fontId="23" fillId="0" borderId="0" xfId="40" applyFont="1" applyAlignment="1">
      <alignment vertical="top"/>
    </xf>
    <xf numFmtId="49" fontId="23" fillId="0" borderId="15" xfId="40" applyNumberFormat="1" applyFont="1" applyBorder="1" applyAlignment="1">
      <alignment vertical="top"/>
    </xf>
    <xf numFmtId="0" fontId="23" fillId="0" borderId="15" xfId="40" applyFont="1" applyBorder="1" applyAlignment="1">
      <alignment vertical="top"/>
    </xf>
    <xf numFmtId="15" fontId="23" fillId="0" borderId="15" xfId="40" applyNumberFormat="1" applyFont="1" applyBorder="1" applyAlignment="1">
      <alignment vertical="top"/>
    </xf>
    <xf numFmtId="164" fontId="23" fillId="0" borderId="16" xfId="40" applyNumberFormat="1" applyFont="1" applyBorder="1" applyAlignment="1">
      <alignment vertical="top"/>
    </xf>
    <xf numFmtId="0" fontId="23" fillId="0" borderId="17" xfId="40" applyFont="1" applyBorder="1" applyAlignment="1">
      <alignment vertical="top"/>
    </xf>
    <xf numFmtId="164" fontId="23" fillId="0" borderId="18" xfId="40" applyNumberFormat="1" applyFont="1" applyBorder="1" applyAlignment="1">
      <alignment vertical="top"/>
    </xf>
    <xf numFmtId="49" fontId="23" fillId="0" borderId="19" xfId="40" applyNumberFormat="1" applyFont="1" applyBorder="1" applyAlignment="1">
      <alignment vertical="top"/>
    </xf>
    <xf numFmtId="0" fontId="23" fillId="0" borderId="19" xfId="40" applyFont="1" applyBorder="1" applyAlignment="1">
      <alignment vertical="top"/>
    </xf>
    <xf numFmtId="0" fontId="23" fillId="0" borderId="20" xfId="40" applyFont="1" applyBorder="1" applyAlignment="1">
      <alignment vertical="top"/>
    </xf>
    <xf numFmtId="0" fontId="23" fillId="0" borderId="0" xfId="40" applyFont="1" applyAlignment="1">
      <alignment horizontal="left" indent="1"/>
    </xf>
    <xf numFmtId="1" fontId="23" fillId="24" borderId="0" xfId="40" applyNumberFormat="1" applyFont="1" applyFill="1" applyProtection="1">
      <protection hidden="1"/>
    </xf>
    <xf numFmtId="0" fontId="23" fillId="24" borderId="0" xfId="40" applyFont="1" applyFill="1" applyAlignment="1">
      <alignment horizontal="left"/>
    </xf>
    <xf numFmtId="0" fontId="23" fillId="24" borderId="0" xfId="40" applyFont="1" applyFill="1" applyAlignment="1">
      <alignment horizontal="left" wrapText="1"/>
    </xf>
    <xf numFmtId="0" fontId="22" fillId="24" borderId="0" xfId="40" applyFont="1" applyFill="1" applyAlignment="1">
      <alignment horizontal="left"/>
    </xf>
    <xf numFmtId="0" fontId="27" fillId="24" borderId="0" xfId="40" applyFont="1" applyFill="1" applyAlignment="1">
      <alignment horizontal="left"/>
    </xf>
    <xf numFmtId="0" fontId="28" fillId="24" borderId="0" xfId="40" applyFont="1" applyFill="1" applyAlignment="1">
      <alignment horizontal="left"/>
    </xf>
    <xf numFmtId="0" fontId="23" fillId="24" borderId="0" xfId="40" applyFont="1" applyFill="1" applyAlignment="1">
      <alignment wrapText="1"/>
    </xf>
    <xf numFmtId="1" fontId="24" fillId="24" borderId="0" xfId="40" applyNumberFormat="1" applyFont="1" applyFill="1"/>
    <xf numFmtId="1" fontId="26" fillId="26" borderId="12" xfId="40" applyNumberFormat="1" applyFont="1" applyFill="1" applyBorder="1" applyAlignment="1">
      <alignment horizontal="center" vertical="center"/>
    </xf>
    <xf numFmtId="1" fontId="26" fillId="26" borderId="21" xfId="40" applyNumberFormat="1" applyFont="1" applyFill="1" applyBorder="1" applyAlignment="1">
      <alignment horizontal="center" vertical="center"/>
    </xf>
    <xf numFmtId="0" fontId="26" fillId="26" borderId="13" xfId="40" applyFont="1" applyFill="1" applyBorder="1" applyAlignment="1">
      <alignment horizontal="center" vertical="center"/>
    </xf>
    <xf numFmtId="0" fontId="26" fillId="26" borderId="13" xfId="40" applyFont="1" applyFill="1" applyBorder="1" applyAlignment="1">
      <alignment horizontal="center" vertical="center" wrapText="1"/>
    </xf>
    <xf numFmtId="0" fontId="26" fillId="26" borderId="22" xfId="40" applyFont="1" applyFill="1" applyBorder="1" applyAlignment="1">
      <alignment horizontal="center" vertical="center"/>
    </xf>
    <xf numFmtId="0" fontId="26" fillId="26" borderId="14" xfId="40" applyFont="1" applyFill="1" applyBorder="1" applyAlignment="1">
      <alignment horizontal="center" vertical="center"/>
    </xf>
    <xf numFmtId="0" fontId="29" fillId="24" borderId="0" xfId="40" applyFont="1" applyFill="1" applyAlignment="1">
      <alignment horizontal="center"/>
    </xf>
    <xf numFmtId="1" fontId="23" fillId="24" borderId="23" xfId="40" applyNumberFormat="1" applyFont="1" applyFill="1" applyBorder="1" applyAlignment="1">
      <alignment vertical="center"/>
    </xf>
    <xf numFmtId="49" fontId="23" fillId="24" borderId="15" xfId="40" applyNumberFormat="1" applyFont="1" applyFill="1" applyBorder="1" applyAlignment="1">
      <alignment horizontal="left" vertical="center" wrapText="1"/>
    </xf>
    <xf numFmtId="0" fontId="30" fillId="24" borderId="15" xfId="34" applyNumberFormat="1" applyFont="1" applyFill="1" applyBorder="1" applyAlignment="1" applyProtection="1">
      <alignment horizontal="left" vertical="center"/>
    </xf>
    <xf numFmtId="0" fontId="23" fillId="24" borderId="17" xfId="40" applyFont="1" applyFill="1" applyBorder="1" applyAlignment="1">
      <alignment horizontal="left" vertical="center"/>
    </xf>
    <xf numFmtId="0" fontId="23" fillId="24" borderId="15" xfId="40" applyFont="1" applyFill="1" applyBorder="1" applyAlignment="1">
      <alignment horizontal="left" vertical="center"/>
    </xf>
    <xf numFmtId="1" fontId="23" fillId="24" borderId="24" xfId="40" applyNumberFormat="1" applyFont="1" applyFill="1" applyBorder="1" applyAlignment="1">
      <alignment vertical="center"/>
    </xf>
    <xf numFmtId="49" fontId="23" fillId="24" borderId="19" xfId="40" applyNumberFormat="1" applyFont="1" applyFill="1" applyBorder="1" applyAlignment="1">
      <alignment horizontal="left" vertical="center" wrapText="1"/>
    </xf>
    <xf numFmtId="0" fontId="23" fillId="24" borderId="19" xfId="40" applyFont="1" applyFill="1" applyBorder="1" applyAlignment="1">
      <alignment horizontal="left" vertical="center"/>
    </xf>
    <xf numFmtId="0" fontId="23" fillId="24" borderId="20" xfId="40" applyFont="1" applyFill="1" applyBorder="1" applyAlignment="1">
      <alignment horizontal="left" vertical="center"/>
    </xf>
    <xf numFmtId="1" fontId="23" fillId="24" borderId="0" xfId="40" applyNumberFormat="1" applyFont="1" applyFill="1"/>
    <xf numFmtId="0" fontId="29" fillId="24" borderId="0" xfId="38" applyFont="1" applyFill="1"/>
    <xf numFmtId="0" fontId="23" fillId="24" borderId="0" xfId="38" applyFont="1" applyFill="1"/>
    <xf numFmtId="164" fontId="23" fillId="24" borderId="0" xfId="38" applyNumberFormat="1" applyFont="1" applyFill="1"/>
    <xf numFmtId="0" fontId="24" fillId="24" borderId="0" xfId="40" applyFont="1" applyFill="1"/>
    <xf numFmtId="0" fontId="25" fillId="24" borderId="0" xfId="38" applyFont="1" applyFill="1"/>
    <xf numFmtId="0" fontId="26" fillId="25" borderId="21" xfId="40" applyFont="1" applyFill="1" applyBorder="1" applyAlignment="1">
      <alignment horizontal="center"/>
    </xf>
    <xf numFmtId="0" fontId="26" fillId="25" borderId="13" xfId="40" applyFont="1" applyFill="1" applyBorder="1" applyAlignment="1">
      <alignment horizontal="center"/>
    </xf>
    <xf numFmtId="0" fontId="26" fillId="25" borderId="13" xfId="40" applyFont="1" applyFill="1" applyBorder="1" applyAlignment="1">
      <alignment horizontal="center" wrapText="1"/>
    </xf>
    <xf numFmtId="0" fontId="26" fillId="25" borderId="22" xfId="40" applyFont="1" applyFill="1" applyBorder="1" applyAlignment="1">
      <alignment horizontal="center"/>
    </xf>
    <xf numFmtId="0" fontId="26" fillId="25" borderId="25" xfId="40" applyFont="1" applyFill="1" applyBorder="1" applyAlignment="1">
      <alignment horizontal="center" wrapText="1"/>
    </xf>
    <xf numFmtId="0" fontId="23" fillId="24" borderId="23" xfId="40" applyFont="1" applyFill="1" applyBorder="1" applyAlignment="1">
      <alignment horizontal="center"/>
    </xf>
    <xf numFmtId="0" fontId="23" fillId="24" borderId="15" xfId="40" applyFont="1" applyFill="1" applyBorder="1" applyAlignment="1">
      <alignment horizontal="center"/>
    </xf>
    <xf numFmtId="0" fontId="23" fillId="24" borderId="26" xfId="40" applyFont="1" applyFill="1" applyBorder="1" applyAlignment="1">
      <alignment horizontal="center"/>
    </xf>
    <xf numFmtId="0" fontId="31" fillId="25" borderId="24" xfId="40" applyFont="1" applyFill="1" applyBorder="1" applyAlignment="1">
      <alignment horizontal="center"/>
    </xf>
    <xf numFmtId="0" fontId="31" fillId="25" borderId="19" xfId="40" applyFont="1" applyFill="1" applyBorder="1" applyAlignment="1">
      <alignment horizontal="center"/>
    </xf>
    <xf numFmtId="0" fontId="23" fillId="24" borderId="0" xfId="40" applyFont="1" applyFill="1" applyAlignment="1">
      <alignment horizontal="center"/>
    </xf>
    <xf numFmtId="10" fontId="23" fillId="24" borderId="0" xfId="40" applyNumberFormat="1" applyFont="1" applyFill="1" applyAlignment="1">
      <alignment horizontal="center"/>
    </xf>
    <xf numFmtId="9" fontId="23" fillId="24" borderId="0" xfId="40" applyNumberFormat="1" applyFont="1" applyFill="1" applyAlignment="1">
      <alignment horizontal="center"/>
    </xf>
    <xf numFmtId="0" fontId="32" fillId="24" borderId="0" xfId="40" applyFont="1" applyFill="1" applyAlignment="1">
      <alignment horizontal="center" wrapText="1"/>
    </xf>
    <xf numFmtId="0" fontId="33" fillId="0" borderId="0" xfId="40" applyFont="1"/>
    <xf numFmtId="0" fontId="33" fillId="0" borderId="0" xfId="40" applyFont="1" applyAlignment="1">
      <alignment horizontal="right"/>
    </xf>
    <xf numFmtId="49" fontId="33" fillId="0" borderId="0" xfId="40" applyNumberFormat="1" applyFont="1"/>
    <xf numFmtId="0" fontId="33" fillId="0" borderId="27" xfId="40" applyFont="1" applyBorder="1"/>
    <xf numFmtId="0" fontId="34" fillId="0" borderId="0" xfId="40" applyFont="1" applyAlignment="1">
      <alignment horizontal="left"/>
    </xf>
    <xf numFmtId="0" fontId="34" fillId="0" borderId="0" xfId="40" applyFont="1"/>
    <xf numFmtId="0" fontId="34" fillId="27" borderId="28" xfId="40" applyFont="1" applyFill="1" applyBorder="1" applyAlignment="1">
      <alignment horizontal="left" vertical="top"/>
    </xf>
    <xf numFmtId="0" fontId="33" fillId="27" borderId="29" xfId="40" applyFont="1" applyFill="1" applyBorder="1" applyAlignment="1">
      <alignment horizontal="center" vertical="top"/>
    </xf>
    <xf numFmtId="0" fontId="33" fillId="27" borderId="30" xfId="40" applyFont="1" applyFill="1" applyBorder="1" applyAlignment="1">
      <alignment horizontal="right" vertical="top"/>
    </xf>
    <xf numFmtId="0" fontId="36" fillId="28" borderId="0" xfId="40" applyFont="1" applyFill="1" applyAlignment="1">
      <alignment horizontal="right"/>
    </xf>
    <xf numFmtId="0" fontId="33" fillId="0" borderId="0" xfId="40" applyFont="1" applyAlignment="1">
      <alignment vertical="top"/>
    </xf>
    <xf numFmtId="0" fontId="33" fillId="28" borderId="0" xfId="40" applyFont="1" applyFill="1" applyAlignment="1">
      <alignment horizontal="right"/>
    </xf>
    <xf numFmtId="0" fontId="34" fillId="27" borderId="33" xfId="40" applyFont="1" applyFill="1" applyBorder="1" applyAlignment="1">
      <alignment horizontal="left" vertical="top"/>
    </xf>
    <xf numFmtId="0" fontId="33" fillId="27" borderId="34" xfId="40" applyFont="1" applyFill="1" applyBorder="1" applyAlignment="1">
      <alignment horizontal="center" vertical="top"/>
    </xf>
    <xf numFmtId="0" fontId="33" fillId="27" borderId="35" xfId="40" applyFont="1" applyFill="1" applyBorder="1" applyAlignment="1">
      <alignment horizontal="right" vertical="top"/>
    </xf>
    <xf numFmtId="0" fontId="33" fillId="28" borderId="36" xfId="40" applyFont="1" applyFill="1" applyBorder="1" applyAlignment="1">
      <alignment horizontal="right"/>
    </xf>
    <xf numFmtId="0" fontId="34" fillId="27" borderId="38" xfId="40" applyFont="1" applyFill="1" applyBorder="1"/>
    <xf numFmtId="0" fontId="34" fillId="27" borderId="39" xfId="40" applyFont="1" applyFill="1" applyBorder="1"/>
    <xf numFmtId="0" fontId="33" fillId="27" borderId="40" xfId="40" applyFont="1" applyFill="1" applyBorder="1" applyAlignment="1">
      <alignment horizontal="right"/>
    </xf>
    <xf numFmtId="0" fontId="33" fillId="28" borderId="41" xfId="40" applyFont="1" applyFill="1" applyBorder="1" applyAlignment="1">
      <alignment horizontal="left"/>
    </xf>
    <xf numFmtId="0" fontId="34" fillId="27" borderId="28" xfId="40" applyFont="1" applyFill="1" applyBorder="1"/>
    <xf numFmtId="0" fontId="33" fillId="27" borderId="29" xfId="40" applyFont="1" applyFill="1" applyBorder="1"/>
    <xf numFmtId="0" fontId="33" fillId="27" borderId="30" xfId="40" applyFont="1" applyFill="1" applyBorder="1" applyAlignment="1">
      <alignment horizontal="right"/>
    </xf>
    <xf numFmtId="0" fontId="33" fillId="28" borderId="32" xfId="40" applyFont="1" applyFill="1" applyBorder="1" applyAlignment="1">
      <alignment horizontal="left"/>
    </xf>
    <xf numFmtId="0" fontId="33" fillId="28" borderId="32" xfId="40" applyFont="1" applyFill="1" applyBorder="1"/>
    <xf numFmtId="0" fontId="35" fillId="0" borderId="32" xfId="40" applyFont="1" applyBorder="1" applyAlignment="1">
      <alignment horizontal="left"/>
    </xf>
    <xf numFmtId="0" fontId="33" fillId="0" borderId="32" xfId="40" applyFont="1" applyBorder="1"/>
    <xf numFmtId="165" fontId="33" fillId="0" borderId="32" xfId="40" applyNumberFormat="1" applyFont="1" applyBorder="1" applyAlignment="1">
      <alignment vertical="top" textRotation="255"/>
    </xf>
    <xf numFmtId="0" fontId="40" fillId="0" borderId="11" xfId="40" applyFont="1" applyBorder="1" applyAlignment="1">
      <alignment horizontal="left" indent="1"/>
    </xf>
    <xf numFmtId="0" fontId="40" fillId="0" borderId="17" xfId="40" applyFont="1" applyBorder="1" applyAlignment="1">
      <alignment vertical="top" wrapText="1"/>
    </xf>
    <xf numFmtId="1" fontId="23" fillId="24" borderId="16" xfId="40" applyNumberFormat="1" applyFont="1" applyFill="1" applyBorder="1" applyAlignment="1">
      <alignment horizontal="center" vertical="center"/>
    </xf>
    <xf numFmtId="1" fontId="23" fillId="24" borderId="18" xfId="40" applyNumberFormat="1" applyFont="1" applyFill="1" applyBorder="1" applyAlignment="1">
      <alignment horizontal="center" vertical="center"/>
    </xf>
    <xf numFmtId="0" fontId="42" fillId="29" borderId="0" xfId="0" applyFont="1" applyFill="1" applyAlignment="1">
      <alignment horizontal="center"/>
    </xf>
    <xf numFmtId="0" fontId="43" fillId="29" borderId="0" xfId="0" applyFont="1" applyFill="1">
      <alignment vertical="center"/>
    </xf>
    <xf numFmtId="0" fontId="44" fillId="29" borderId="0" xfId="0" applyFont="1" applyFill="1">
      <alignment vertical="center"/>
    </xf>
    <xf numFmtId="0" fontId="45" fillId="29" borderId="0" xfId="0" applyFont="1" applyFill="1" applyAlignment="1">
      <alignment horizontal="justify"/>
    </xf>
    <xf numFmtId="0" fontId="46" fillId="29" borderId="0" xfId="0" applyFont="1" applyFill="1">
      <alignment vertical="center"/>
    </xf>
    <xf numFmtId="0" fontId="47" fillId="29" borderId="0" xfId="0" applyFont="1" applyFill="1" applyAlignment="1">
      <alignment horizontal="justify"/>
    </xf>
    <xf numFmtId="0" fontId="47" fillId="29" borderId="0" xfId="0" applyFont="1" applyFill="1">
      <alignment vertical="center"/>
    </xf>
    <xf numFmtId="0" fontId="45" fillId="29" borderId="0" xfId="0" quotePrefix="1" applyFont="1" applyFill="1" applyAlignment="1">
      <alignment horizontal="justify"/>
    </xf>
    <xf numFmtId="0" fontId="23" fillId="29" borderId="0" xfId="0" applyFont="1" applyFill="1" applyAlignment="1">
      <alignment horizontal="justify"/>
    </xf>
    <xf numFmtId="0" fontId="23" fillId="29" borderId="0" xfId="0" applyFont="1" applyFill="1" applyAlignment="1">
      <alignment horizontal="justify" wrapText="1"/>
    </xf>
    <xf numFmtId="0" fontId="23" fillId="29" borderId="0" xfId="0" applyFont="1" applyFill="1" applyAlignment="1">
      <alignment horizontal="left" wrapText="1"/>
    </xf>
    <xf numFmtId="0" fontId="29" fillId="29" borderId="0" xfId="0" applyFont="1" applyFill="1" applyAlignment="1">
      <alignment horizontal="justify"/>
    </xf>
    <xf numFmtId="0" fontId="40" fillId="29" borderId="0" xfId="0" applyFont="1" applyFill="1" applyAlignment="1">
      <alignment horizontal="justify"/>
    </xf>
    <xf numFmtId="0" fontId="48" fillId="29" borderId="0" xfId="0" applyFont="1" applyFill="1">
      <alignment vertical="center"/>
    </xf>
    <xf numFmtId="0" fontId="29" fillId="24" borderId="42" xfId="40" applyFont="1" applyFill="1" applyBorder="1" applyAlignment="1">
      <alignment horizontal="left"/>
    </xf>
    <xf numFmtId="0" fontId="29" fillId="0" borderId="0" xfId="40" applyFont="1"/>
    <xf numFmtId="0" fontId="29" fillId="0" borderId="0" xfId="40" applyFont="1" applyAlignment="1">
      <alignment horizontal="left"/>
    </xf>
    <xf numFmtId="49" fontId="41" fillId="24" borderId="15" xfId="34" applyNumberFormat="1" applyFont="1" applyFill="1" applyBorder="1"/>
    <xf numFmtId="0" fontId="49" fillId="30" borderId="0" xfId="0" applyFont="1" applyFill="1">
      <alignment vertical="center"/>
    </xf>
    <xf numFmtId="0" fontId="47" fillId="0" borderId="32" xfId="40" applyFont="1" applyBorder="1" applyAlignment="1">
      <alignment horizontal="center"/>
    </xf>
    <xf numFmtId="0" fontId="34" fillId="0" borderId="0" xfId="40" applyFont="1" applyAlignment="1">
      <alignment horizontal="center"/>
    </xf>
    <xf numFmtId="0" fontId="47" fillId="0" borderId="37" xfId="40" applyFont="1" applyBorder="1" applyAlignment="1">
      <alignment horizontal="center"/>
    </xf>
    <xf numFmtId="0" fontId="47" fillId="0" borderId="41" xfId="40" applyFont="1" applyBorder="1" applyAlignment="1">
      <alignment horizontal="center"/>
    </xf>
    <xf numFmtId="0" fontId="46" fillId="27" borderId="29" xfId="40" applyFont="1" applyFill="1" applyBorder="1"/>
    <xf numFmtId="0" fontId="33" fillId="0" borderId="32" xfId="40" applyFont="1" applyBorder="1" applyAlignment="1">
      <alignment horizontal="center"/>
    </xf>
    <xf numFmtId="0" fontId="36" fillId="24" borderId="43" xfId="39" applyFont="1" applyFill="1" applyBorder="1" applyAlignment="1">
      <alignment wrapText="1"/>
    </xf>
    <xf numFmtId="0" fontId="36" fillId="24" borderId="44" xfId="39" applyFont="1" applyFill="1" applyBorder="1" applyAlignment="1">
      <alignment wrapText="1"/>
    </xf>
    <xf numFmtId="0" fontId="33" fillId="24" borderId="45" xfId="40" applyFont="1" applyFill="1" applyBorder="1" applyAlignment="1">
      <alignment horizontal="center" vertical="center"/>
    </xf>
    <xf numFmtId="0" fontId="29" fillId="24" borderId="42" xfId="40" applyFont="1" applyFill="1" applyBorder="1" applyAlignment="1">
      <alignment horizontal="left" vertical="center"/>
    </xf>
    <xf numFmtId="0" fontId="29" fillId="24" borderId="42" xfId="40" applyFont="1" applyFill="1" applyBorder="1" applyAlignment="1">
      <alignment vertical="center"/>
    </xf>
    <xf numFmtId="0" fontId="29" fillId="24" borderId="0" xfId="40" applyFont="1" applyFill="1" applyAlignment="1">
      <alignment horizontal="left"/>
    </xf>
    <xf numFmtId="2" fontId="29" fillId="24" borderId="0" xfId="40" applyNumberFormat="1" applyFont="1" applyFill="1" applyAlignment="1">
      <alignment horizontal="right" wrapText="1"/>
    </xf>
    <xf numFmtId="0" fontId="34" fillId="27" borderId="46" xfId="40" applyFont="1" applyFill="1" applyBorder="1"/>
    <xf numFmtId="0" fontId="33" fillId="27" borderId="31" xfId="40" applyFont="1" applyFill="1" applyBorder="1"/>
    <xf numFmtId="0" fontId="33" fillId="27" borderId="47" xfId="40" applyFont="1" applyFill="1" applyBorder="1" applyAlignment="1">
      <alignment horizontal="right"/>
    </xf>
    <xf numFmtId="0" fontId="33" fillId="28" borderId="48" xfId="40" applyFont="1" applyFill="1" applyBorder="1" applyAlignment="1">
      <alignment horizontal="left"/>
    </xf>
    <xf numFmtId="0" fontId="47" fillId="0" borderId="48" xfId="40" applyFont="1" applyBorder="1" applyAlignment="1">
      <alignment horizontal="center"/>
    </xf>
    <xf numFmtId="0" fontId="33" fillId="0" borderId="49" xfId="40" applyFont="1" applyBorder="1" applyAlignment="1">
      <alignment horizontal="left"/>
    </xf>
    <xf numFmtId="0" fontId="33" fillId="0" borderId="49" xfId="40" applyFont="1" applyBorder="1" applyAlignment="1">
      <alignment horizontal="center"/>
    </xf>
    <xf numFmtId="0" fontId="50" fillId="0" borderId="0" xfId="40" applyFont="1" applyAlignment="1">
      <alignment vertical="top"/>
    </xf>
    <xf numFmtId="0" fontId="47" fillId="0" borderId="50" xfId="40" applyFont="1" applyBorder="1" applyAlignment="1">
      <alignment horizontal="center"/>
    </xf>
    <xf numFmtId="0" fontId="50" fillId="30" borderId="51" xfId="40" applyFont="1" applyFill="1" applyBorder="1" applyAlignment="1">
      <alignment vertical="center"/>
    </xf>
    <xf numFmtId="0" fontId="47" fillId="0" borderId="52" xfId="40" applyFont="1" applyBorder="1" applyAlignment="1">
      <alignment horizontal="center"/>
    </xf>
    <xf numFmtId="0" fontId="47" fillId="0" borderId="53" xfId="40" applyFont="1" applyBorder="1" applyAlignment="1">
      <alignment horizontal="center"/>
    </xf>
    <xf numFmtId="0" fontId="47" fillId="0" borderId="54" xfId="40" applyFont="1" applyBorder="1" applyAlignment="1">
      <alignment horizontal="center"/>
    </xf>
    <xf numFmtId="0" fontId="33" fillId="0" borderId="55" xfId="40" applyFont="1" applyBorder="1" applyAlignment="1">
      <alignment horizontal="center"/>
    </xf>
    <xf numFmtId="0" fontId="33" fillId="0" borderId="50" xfId="40" applyFont="1" applyBorder="1" applyAlignment="1">
      <alignment horizontal="center"/>
    </xf>
    <xf numFmtId="165" fontId="33" fillId="0" borderId="50" xfId="40" applyNumberFormat="1" applyFont="1" applyBorder="1" applyAlignment="1">
      <alignment vertical="top" textRotation="255"/>
    </xf>
    <xf numFmtId="0" fontId="33" fillId="0" borderId="37" xfId="40" applyFont="1" applyBorder="1"/>
    <xf numFmtId="0" fontId="33" fillId="0" borderId="37" xfId="40" applyFont="1" applyBorder="1" applyAlignment="1">
      <alignment textRotation="255"/>
    </xf>
    <xf numFmtId="0" fontId="33" fillId="0" borderId="52" xfId="40" applyFont="1" applyBorder="1" applyAlignment="1">
      <alignment textRotation="255"/>
    </xf>
    <xf numFmtId="0" fontId="50" fillId="30" borderId="51" xfId="40" applyFont="1" applyFill="1" applyBorder="1" applyAlignment="1">
      <alignment vertical="top"/>
    </xf>
    <xf numFmtId="0" fontId="50" fillId="30" borderId="56" xfId="40" applyFont="1" applyFill="1" applyBorder="1" applyAlignment="1">
      <alignment vertical="top"/>
    </xf>
    <xf numFmtId="0" fontId="50" fillId="30" borderId="56" xfId="40" applyFont="1" applyFill="1" applyBorder="1" applyAlignment="1">
      <alignment vertical="center"/>
    </xf>
    <xf numFmtId="0" fontId="34" fillId="27" borderId="38" xfId="40" applyFont="1" applyFill="1" applyBorder="1" applyAlignment="1">
      <alignment horizontal="left" vertical="top"/>
    </xf>
    <xf numFmtId="0" fontId="33" fillId="27" borderId="39" xfId="40" applyFont="1" applyFill="1" applyBorder="1" applyAlignment="1">
      <alignment horizontal="center" vertical="top"/>
    </xf>
    <xf numFmtId="0" fontId="33" fillId="27" borderId="40" xfId="40" applyFont="1" applyFill="1" applyBorder="1" applyAlignment="1">
      <alignment horizontal="right" vertical="top"/>
    </xf>
    <xf numFmtId="0" fontId="50" fillId="30" borderId="57" xfId="40" applyFont="1" applyFill="1" applyBorder="1" applyAlignment="1">
      <alignment vertical="top"/>
    </xf>
    <xf numFmtId="164" fontId="26" fillId="25" borderId="58" xfId="40" applyNumberFormat="1" applyFont="1" applyFill="1" applyBorder="1" applyAlignment="1">
      <alignment horizontal="center" vertical="center"/>
    </xf>
    <xf numFmtId="0" fontId="50" fillId="30" borderId="59" xfId="40" applyFont="1" applyFill="1" applyBorder="1" applyAlignment="1">
      <alignment horizontal="left"/>
    </xf>
    <xf numFmtId="0" fontId="51" fillId="30" borderId="59" xfId="40" applyFont="1" applyFill="1" applyBorder="1"/>
    <xf numFmtId="0" fontId="51" fillId="30" borderId="59" xfId="40" applyFont="1" applyFill="1" applyBorder="1" applyAlignment="1">
      <alignment horizontal="right"/>
    </xf>
    <xf numFmtId="0" fontId="50" fillId="30" borderId="59" xfId="40" applyFont="1" applyFill="1" applyBorder="1" applyAlignment="1">
      <alignment vertical="top" textRotation="180"/>
    </xf>
    <xf numFmtId="0" fontId="50" fillId="30" borderId="60" xfId="40" applyFont="1" applyFill="1" applyBorder="1" applyAlignment="1">
      <alignment vertical="top" textRotation="180"/>
    </xf>
    <xf numFmtId="0" fontId="12" fillId="24" borderId="15" xfId="34" applyNumberFormat="1" applyFill="1" applyBorder="1" applyAlignment="1" applyProtection="1">
      <alignment horizontal="left" vertical="center"/>
    </xf>
    <xf numFmtId="0" fontId="22" fillId="0" borderId="42" xfId="40" applyFont="1" applyBorder="1" applyAlignment="1">
      <alignment horizontal="center" vertical="center"/>
    </xf>
    <xf numFmtId="0" fontId="40" fillId="0" borderId="42" xfId="40" applyFont="1" applyBorder="1" applyAlignment="1">
      <alignment horizontal="left"/>
    </xf>
    <xf numFmtId="0" fontId="40" fillId="0" borderId="10" xfId="40" applyFont="1" applyBorder="1" applyAlignment="1">
      <alignment horizontal="left" vertical="center"/>
    </xf>
    <xf numFmtId="0" fontId="40" fillId="0" borderId="61" xfId="40" applyFont="1" applyBorder="1" applyAlignment="1">
      <alignment horizontal="left" vertical="center"/>
    </xf>
    <xf numFmtId="0" fontId="40" fillId="0" borderId="11" xfId="40" applyFont="1" applyBorder="1" applyAlignment="1">
      <alignment horizontal="left" vertical="center"/>
    </xf>
    <xf numFmtId="1" fontId="29" fillId="24" borderId="42" xfId="40" applyNumberFormat="1" applyFont="1" applyFill="1" applyBorder="1" applyAlignment="1">
      <alignment vertical="center" wrapText="1"/>
    </xf>
    <xf numFmtId="1" fontId="29" fillId="24" borderId="10" xfId="40" applyNumberFormat="1" applyFont="1" applyFill="1" applyBorder="1"/>
    <xf numFmtId="0" fontId="40" fillId="24" borderId="10" xfId="40" applyFont="1" applyFill="1" applyBorder="1" applyAlignment="1">
      <alignment horizontal="left"/>
    </xf>
    <xf numFmtId="0" fontId="40" fillId="24" borderId="61" xfId="40" applyFont="1" applyFill="1" applyBorder="1" applyAlignment="1">
      <alignment horizontal="left"/>
    </xf>
    <xf numFmtId="0" fontId="40" fillId="24" borderId="11" xfId="40" applyFont="1" applyFill="1" applyBorder="1" applyAlignment="1">
      <alignment horizontal="left"/>
    </xf>
    <xf numFmtId="0" fontId="40" fillId="24" borderId="10" xfId="40" applyFont="1" applyFill="1" applyBorder="1" applyAlignment="1">
      <alignment horizontal="left" vertical="top" wrapText="1"/>
    </xf>
    <xf numFmtId="0" fontId="40" fillId="24" borderId="61" xfId="40" applyFont="1" applyFill="1" applyBorder="1" applyAlignment="1">
      <alignment horizontal="left" vertical="top" wrapText="1"/>
    </xf>
    <xf numFmtId="0" fontId="40" fillId="24" borderId="11" xfId="40" applyFont="1" applyFill="1" applyBorder="1" applyAlignment="1">
      <alignment horizontal="left" vertical="top" wrapText="1"/>
    </xf>
    <xf numFmtId="0" fontId="22" fillId="24" borderId="0" xfId="38" applyFont="1" applyFill="1" applyAlignment="1">
      <alignment horizontal="center"/>
    </xf>
    <xf numFmtId="0" fontId="40" fillId="24" borderId="42" xfId="40" applyFont="1" applyFill="1" applyBorder="1" applyAlignment="1">
      <alignment horizontal="left"/>
    </xf>
    <xf numFmtId="0" fontId="29" fillId="24" borderId="42" xfId="40" applyFont="1" applyFill="1" applyBorder="1" applyAlignment="1">
      <alignment horizontal="left"/>
    </xf>
    <xf numFmtId="0" fontId="29" fillId="24" borderId="10" xfId="40" applyFont="1" applyFill="1" applyBorder="1" applyAlignment="1">
      <alignment horizontal="center"/>
    </xf>
    <xf numFmtId="0" fontId="29" fillId="24" borderId="61" xfId="40" applyFont="1" applyFill="1" applyBorder="1" applyAlignment="1">
      <alignment horizontal="center"/>
    </xf>
    <xf numFmtId="0" fontId="29" fillId="24" borderId="11" xfId="40" applyFont="1" applyFill="1" applyBorder="1" applyAlignment="1">
      <alignment horizontal="center"/>
    </xf>
    <xf numFmtId="14" fontId="40" fillId="24" borderId="10" xfId="40" applyNumberFormat="1" applyFont="1" applyFill="1" applyBorder="1" applyAlignment="1">
      <alignment horizontal="left" vertical="top"/>
    </xf>
    <xf numFmtId="14" fontId="40" fillId="24" borderId="61" xfId="40" applyNumberFormat="1" applyFont="1" applyFill="1" applyBorder="1" applyAlignment="1">
      <alignment horizontal="left" vertical="top"/>
    </xf>
    <xf numFmtId="14" fontId="40" fillId="24" borderId="11" xfId="40" applyNumberFormat="1" applyFont="1" applyFill="1" applyBorder="1" applyAlignment="1">
      <alignment horizontal="left" vertical="top"/>
    </xf>
    <xf numFmtId="0" fontId="40" fillId="24" borderId="42" xfId="38" applyFont="1" applyFill="1" applyBorder="1" applyAlignment="1">
      <alignment vertical="top"/>
    </xf>
    <xf numFmtId="0" fontId="34" fillId="24" borderId="62" xfId="39" applyFont="1" applyFill="1" applyBorder="1" applyAlignment="1">
      <alignment horizontal="left" wrapText="1"/>
    </xf>
    <xf numFmtId="0" fontId="34" fillId="24" borderId="63" xfId="39" applyFont="1" applyFill="1" applyBorder="1" applyAlignment="1">
      <alignment horizontal="left" wrapText="1"/>
    </xf>
    <xf numFmtId="49" fontId="36" fillId="24" borderId="64" xfId="39" applyNumberFormat="1" applyFont="1" applyFill="1" applyBorder="1" applyAlignment="1">
      <alignment horizontal="left" wrapText="1"/>
    </xf>
    <xf numFmtId="0" fontId="36" fillId="24" borderId="63" xfId="39" applyFont="1" applyFill="1" applyBorder="1" applyAlignment="1">
      <alignment horizontal="left" wrapText="1"/>
    </xf>
    <xf numFmtId="0" fontId="36" fillId="24" borderId="65" xfId="39" applyFont="1" applyFill="1" applyBorder="1" applyAlignment="1">
      <alignment horizontal="left" wrapText="1"/>
    </xf>
    <xf numFmtId="0" fontId="34" fillId="24" borderId="66" xfId="39" applyFont="1" applyFill="1" applyBorder="1" applyAlignment="1">
      <alignment horizontal="left" wrapText="1"/>
    </xf>
    <xf numFmtId="0" fontId="34" fillId="24" borderId="67" xfId="39" applyFont="1" applyFill="1" applyBorder="1" applyAlignment="1">
      <alignment horizontal="left" wrapText="1"/>
    </xf>
    <xf numFmtId="0" fontId="33" fillId="0" borderId="32" xfId="40" applyFont="1" applyBorder="1" applyAlignment="1">
      <alignment horizontal="left"/>
    </xf>
    <xf numFmtId="0" fontId="33" fillId="24" borderId="68" xfId="40" applyFont="1" applyFill="1" applyBorder="1" applyAlignment="1">
      <alignment horizontal="center" vertical="center"/>
    </xf>
    <xf numFmtId="0" fontId="33" fillId="24" borderId="69" xfId="40" applyFont="1" applyFill="1" applyBorder="1" applyAlignment="1">
      <alignment horizontal="center" vertical="center"/>
    </xf>
    <xf numFmtId="0" fontId="33" fillId="24" borderId="70" xfId="40" applyFont="1" applyFill="1" applyBorder="1" applyAlignment="1">
      <alignment horizontal="center" vertical="center"/>
    </xf>
    <xf numFmtId="0" fontId="33" fillId="24" borderId="71" xfId="40" applyFont="1" applyFill="1" applyBorder="1" applyAlignment="1">
      <alignment horizontal="center" vertical="center"/>
    </xf>
    <xf numFmtId="0" fontId="33" fillId="24" borderId="72" xfId="40" applyFont="1" applyFill="1" applyBorder="1" applyAlignment="1">
      <alignment horizontal="center" vertical="center"/>
    </xf>
    <xf numFmtId="0" fontId="34" fillId="24" borderId="73" xfId="39" applyFont="1" applyFill="1" applyBorder="1" applyAlignment="1">
      <alignment horizontal="left" wrapText="1"/>
    </xf>
    <xf numFmtId="0" fontId="34" fillId="24" borderId="11" xfId="39" applyFont="1" applyFill="1" applyBorder="1" applyAlignment="1">
      <alignment horizontal="left" wrapText="1"/>
    </xf>
    <xf numFmtId="0" fontId="33" fillId="0" borderId="32" xfId="40" applyFont="1" applyBorder="1" applyAlignment="1">
      <alignment horizontal="left" vertical="top"/>
    </xf>
    <xf numFmtId="0" fontId="33" fillId="0" borderId="37" xfId="40" applyFont="1" applyBorder="1" applyAlignment="1">
      <alignment horizontal="left" vertical="top"/>
    </xf>
    <xf numFmtId="0" fontId="33" fillId="0" borderId="49" xfId="40" applyFont="1" applyBorder="1" applyAlignment="1">
      <alignment horizontal="left"/>
    </xf>
    <xf numFmtId="0" fontId="36" fillId="24" borderId="74" xfId="39" applyFont="1" applyFill="1" applyBorder="1" applyAlignment="1">
      <alignment horizontal="left" wrapText="1"/>
    </xf>
    <xf numFmtId="0" fontId="36" fillId="24" borderId="43" xfId="39" applyFont="1" applyFill="1" applyBorder="1" applyAlignment="1">
      <alignment horizontal="left" wrapText="1"/>
    </xf>
    <xf numFmtId="0" fontId="36" fillId="24" borderId="75" xfId="39" applyFont="1" applyFill="1" applyBorder="1" applyAlignment="1">
      <alignment horizontal="left" wrapText="1"/>
    </xf>
    <xf numFmtId="0" fontId="33" fillId="0" borderId="0" xfId="40" applyFont="1" applyAlignment="1">
      <alignment horizontal="right"/>
    </xf>
    <xf numFmtId="0" fontId="34" fillId="24" borderId="73" xfId="40" applyFont="1" applyFill="1" applyBorder="1" applyAlignment="1">
      <alignment horizontal="center" vertical="center"/>
    </xf>
    <xf numFmtId="0" fontId="34" fillId="24" borderId="11" xfId="40" applyFont="1" applyFill="1" applyBorder="1" applyAlignment="1">
      <alignment horizontal="center" vertical="center"/>
    </xf>
    <xf numFmtId="0" fontId="36" fillId="24" borderId="76" xfId="39" applyFont="1" applyFill="1" applyBorder="1" applyAlignment="1">
      <alignment horizontal="left" wrapText="1"/>
    </xf>
    <xf numFmtId="0" fontId="36" fillId="24" borderId="77" xfId="39" applyFont="1" applyFill="1" applyBorder="1" applyAlignment="1">
      <alignment horizontal="left" wrapText="1"/>
    </xf>
    <xf numFmtId="0" fontId="34" fillId="24" borderId="61" xfId="40" applyFont="1" applyFill="1" applyBorder="1" applyAlignment="1">
      <alignment horizontal="center" vertical="center" wrapText="1"/>
    </xf>
    <xf numFmtId="0" fontId="33" fillId="24" borderId="45" xfId="40" applyFont="1" applyFill="1" applyBorder="1" applyAlignment="1">
      <alignment horizontal="center" vertical="center"/>
    </xf>
    <xf numFmtId="0" fontId="33" fillId="24" borderId="78" xfId="40" applyFont="1" applyFill="1" applyBorder="1" applyAlignment="1">
      <alignment horizontal="center" vertical="center"/>
    </xf>
    <xf numFmtId="0" fontId="34" fillId="24" borderId="79" xfId="40" applyFont="1" applyFill="1" applyBorder="1" applyAlignment="1">
      <alignment horizontal="center" vertical="center" wrapText="1"/>
    </xf>
    <xf numFmtId="0" fontId="34" fillId="24" borderId="80" xfId="40" applyFont="1" applyFill="1" applyBorder="1" applyAlignment="1">
      <alignment horizontal="center" vertical="center" wrapText="1"/>
    </xf>
    <xf numFmtId="49" fontId="33" fillId="24" borderId="64" xfId="39" applyNumberFormat="1" applyFont="1" applyFill="1" applyBorder="1" applyAlignment="1">
      <alignment horizontal="center" wrapText="1"/>
    </xf>
    <xf numFmtId="0" fontId="33" fillId="24" borderId="63" xfId="39" applyFont="1" applyFill="1" applyBorder="1" applyAlignment="1">
      <alignment horizontal="center" wrapText="1"/>
    </xf>
    <xf numFmtId="0" fontId="33" fillId="24" borderId="81" xfId="39" applyFont="1" applyFill="1" applyBorder="1" applyAlignment="1">
      <alignment horizontal="center" wrapText="1"/>
    </xf>
    <xf numFmtId="0" fontId="34" fillId="24" borderId="10" xfId="40" applyFont="1" applyFill="1" applyBorder="1" applyAlignment="1">
      <alignment horizontal="center" vertical="center" wrapText="1"/>
    </xf>
    <xf numFmtId="0" fontId="34" fillId="24" borderId="11" xfId="40" applyFont="1" applyFill="1" applyBorder="1" applyAlignment="1">
      <alignment horizontal="center" vertical="center" wrapText="1"/>
    </xf>
    <xf numFmtId="0" fontId="34" fillId="24" borderId="28" xfId="39" applyFont="1" applyFill="1" applyBorder="1" applyAlignment="1">
      <alignment horizontal="left" wrapText="1"/>
    </xf>
    <xf numFmtId="0" fontId="34" fillId="24" borderId="29" xfId="39" applyFont="1" applyFill="1" applyBorder="1" applyAlignment="1">
      <alignment horizontal="left" wrapText="1"/>
    </xf>
    <xf numFmtId="0" fontId="34" fillId="24" borderId="30" xfId="39" applyFont="1" applyFill="1" applyBorder="1" applyAlignment="1">
      <alignment horizontal="left" wrapText="1"/>
    </xf>
    <xf numFmtId="0" fontId="34" fillId="24" borderId="82" xfId="40" applyFont="1" applyFill="1" applyBorder="1" applyAlignment="1">
      <alignment horizontal="center" vertical="center" wrapText="1"/>
    </xf>
    <xf numFmtId="14" fontId="40" fillId="0" borderId="11" xfId="40" applyNumberFormat="1" applyFont="1" applyBorder="1"/>
    <xf numFmtId="14" fontId="40" fillId="0" borderId="16" xfId="40" applyNumberFormat="1" applyFont="1" applyBorder="1" applyAlignment="1">
      <alignment vertical="top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00000000-0005-0000-0000-000026000000}"/>
    <cellStyle name="Normal_Sheet1" xfId="39" xr:uid="{00000000-0005-0000-0000-000027000000}"/>
    <cellStyle name="Normal_Template_UnitTest Case_v0.9" xfId="40" xr:uid="{00000000-0005-0000-0000-000028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  <cellStyle name="標準_結合試験(AllOvertheWorld)" xfId="46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52597706106"/>
          <c:y val="3.90624490355071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8E0-4F94-97A9-BF90AA0AB46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E0-4F94-97A9-BF90AA0AB4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8E0-4F94-97A9-BF90AA0AB469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Statistics!$F$15:$H$15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E0-4F94-97A9-BF90AA0AB46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8E0-4F94-97A9-BF90AA0AB46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98E0-4F94-97A9-BF90AA0AB4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Statistics!$F$14:$H$14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98E0-4F94-97A9-BF90AA0AB469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8E0-4F94-97A9-BF90AA0AB46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98E0-4F94-97A9-BF90AA0AB46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E0-4F94-97A9-BF90AA0AB469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8E0-4F94-97A9-BF90AA0AB46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98E0-4F94-97A9-BF90AA0AB46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8E0-4F94-97A9-BF90AA0AB469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8E0-4F94-97A9-BF90AA0AB46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8E0-4F94-97A9-BF90AA0AB4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Statistics!$F$15:$H$15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8E0-4F94-97A9-BF90AA0A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628875379315023"/>
          <c:y val="0.39258581488369226"/>
          <c:w val="9.3461121337224201E-2"/>
          <c:h val="0.32096542973599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3695193905"/>
          <c:y val="3.95259978099783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175-42E3-9DD1-91E45CBDEC8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75-42E3-9DD1-91E45CBDEC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Statistics!$C$15:$E$15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75-42E3-9DD1-91E45CBDEC8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175-42E3-9DD1-91E45CBDEC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4175-42E3-9DD1-91E45CBDEC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Statistics!$C$14:$E$14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4175-42E3-9DD1-91E45CBDEC82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175-42E3-9DD1-91E45CBDEC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4175-42E3-9DD1-91E45CBDEC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75-42E3-9DD1-91E45CBDEC82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175-42E3-9DD1-91E45CBDEC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4175-42E3-9DD1-91E45CBDEC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175-42E3-9DD1-91E45CBDEC82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175-42E3-9DD1-91E45CBDEC8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175-42E3-9DD1-91E45CBDEC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Statistics!$C$15:$E$15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175-42E3-9DD1-91E45CBDE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164124585453397"/>
          <c:y val="0.43397747147987142"/>
          <c:w val="0.20881623566465188"/>
          <c:h val="0.304592883709474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1949450</xdr:colOff>
      <xdr:row>1</xdr:row>
      <xdr:rowOff>787400</xdr:rowOff>
    </xdr:to>
    <xdr:pic>
      <xdr:nvPicPr>
        <xdr:cNvPr id="1090" name="Picture 1">
          <a:extLst>
            <a:ext uri="{FF2B5EF4-FFF2-40B4-BE49-F238E27FC236}">
              <a16:creationId xmlns:a16="http://schemas.microsoft.com/office/drawing/2014/main" id="{6B284DEF-F3B3-A52F-8887-2FDCE3C06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"/>
          <a:ext cx="19494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22</xdr:row>
      <xdr:rowOff>0</xdr:rowOff>
    </xdr:from>
    <xdr:to>
      <xdr:col>9</xdr:col>
      <xdr:colOff>0</xdr:colOff>
      <xdr:row>37</xdr:row>
      <xdr:rowOff>12700</xdr:rowOff>
    </xdr:to>
    <xdr:graphicFrame macro="">
      <xdr:nvGraphicFramePr>
        <xdr:cNvPr id="2177" name="Chart 16">
          <a:extLst>
            <a:ext uri="{FF2B5EF4-FFF2-40B4-BE49-F238E27FC236}">
              <a16:creationId xmlns:a16="http://schemas.microsoft.com/office/drawing/2014/main" id="{02EB03EE-C413-FCB7-A25B-FE3BBB51E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22</xdr:row>
      <xdr:rowOff>25400</xdr:rowOff>
    </xdr:from>
    <xdr:to>
      <xdr:col>3</xdr:col>
      <xdr:colOff>215900</xdr:colOff>
      <xdr:row>37</xdr:row>
      <xdr:rowOff>0</xdr:rowOff>
    </xdr:to>
    <xdr:graphicFrame macro="">
      <xdr:nvGraphicFramePr>
        <xdr:cNvPr id="2178" name="Chart 17">
          <a:extLst>
            <a:ext uri="{FF2B5EF4-FFF2-40B4-BE49-F238E27FC236}">
              <a16:creationId xmlns:a16="http://schemas.microsoft.com/office/drawing/2014/main" id="{9D97D660-80B5-1D91-38DC-70F07F532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opLeftCell="A22" zoomScale="85" zoomScaleNormal="85" workbookViewId="0">
      <selection activeCell="A42" sqref="A42"/>
    </sheetView>
  </sheetViews>
  <sheetFormatPr defaultColWidth="9" defaultRowHeight="14"/>
  <cols>
    <col min="1" max="1" width="119.36328125" style="105" customWidth="1"/>
    <col min="2" max="16384" width="9" style="105"/>
  </cols>
  <sheetData>
    <row r="1" spans="1:1" s="102" customFormat="1" ht="22">
      <c r="A1" s="101" t="s">
        <v>66</v>
      </c>
    </row>
    <row r="2" spans="1:1" s="102" customFormat="1" ht="22">
      <c r="A2" s="101"/>
    </row>
    <row r="3" spans="1:1" s="103" customFormat="1" ht="17.5">
      <c r="A3" s="106" t="s">
        <v>81</v>
      </c>
    </row>
    <row r="4" spans="1:1" ht="15" customHeight="1">
      <c r="A4" s="109" t="s">
        <v>64</v>
      </c>
    </row>
    <row r="5" spans="1:1" ht="15" customHeight="1">
      <c r="A5" s="109" t="s">
        <v>86</v>
      </c>
    </row>
    <row r="6" spans="1:1" ht="37.5">
      <c r="A6" s="110" t="s">
        <v>98</v>
      </c>
    </row>
    <row r="7" spans="1:1" ht="29.25" customHeight="1">
      <c r="A7" s="110" t="s">
        <v>101</v>
      </c>
    </row>
    <row r="8" spans="1:1" ht="30" customHeight="1">
      <c r="A8" s="111" t="s">
        <v>88</v>
      </c>
    </row>
    <row r="9" spans="1:1" s="114" customFormat="1" ht="16.5" customHeight="1">
      <c r="A9" s="113" t="s">
        <v>99</v>
      </c>
    </row>
    <row r="10" spans="1:1" ht="16.5" customHeight="1">
      <c r="A10" s="104"/>
    </row>
    <row r="11" spans="1:1" s="103" customFormat="1" ht="17.5">
      <c r="A11" s="106" t="s">
        <v>65</v>
      </c>
    </row>
    <row r="12" spans="1:1" s="107" customFormat="1" ht="15">
      <c r="A12" s="112" t="s">
        <v>52</v>
      </c>
    </row>
    <row r="13" spans="1:1" ht="37.5">
      <c r="A13" s="109" t="s">
        <v>89</v>
      </c>
    </row>
    <row r="14" spans="1:1">
      <c r="A14" s="109" t="s">
        <v>90</v>
      </c>
    </row>
    <row r="15" spans="1:1" ht="25">
      <c r="A15" s="110" t="s">
        <v>91</v>
      </c>
    </row>
    <row r="16" spans="1:1">
      <c r="A16" s="104"/>
    </row>
    <row r="17" spans="1:4" s="107" customFormat="1" ht="15">
      <c r="A17" s="112" t="s">
        <v>67</v>
      </c>
    </row>
    <row r="18" spans="1:4">
      <c r="A18" s="109" t="s">
        <v>68</v>
      </c>
      <c r="B18" s="104"/>
    </row>
    <row r="19" spans="1:4">
      <c r="A19" s="112" t="s">
        <v>92</v>
      </c>
    </row>
    <row r="20" spans="1:4">
      <c r="A20" s="109" t="s">
        <v>69</v>
      </c>
      <c r="B20" s="104"/>
    </row>
    <row r="21" spans="1:4" ht="25">
      <c r="A21" s="110" t="s">
        <v>70</v>
      </c>
    </row>
    <row r="22" spans="1:4">
      <c r="A22" s="109" t="s">
        <v>71</v>
      </c>
      <c r="B22" s="108"/>
    </row>
    <row r="23" spans="1:4">
      <c r="A23" s="109" t="s">
        <v>72</v>
      </c>
      <c r="B23" s="104"/>
    </row>
    <row r="24" spans="1:4">
      <c r="A24" s="109" t="s">
        <v>102</v>
      </c>
      <c r="B24" s="104"/>
    </row>
    <row r="25" spans="1:4">
      <c r="A25" s="109" t="s">
        <v>73</v>
      </c>
      <c r="B25" s="104"/>
      <c r="C25" s="104" t="s">
        <v>48</v>
      </c>
      <c r="D25" s="104" t="s">
        <v>48</v>
      </c>
    </row>
    <row r="26" spans="1:4">
      <c r="A26" s="109" t="s">
        <v>49</v>
      </c>
    </row>
    <row r="27" spans="1:4">
      <c r="A27" s="109" t="s">
        <v>82</v>
      </c>
      <c r="B27" s="104"/>
    </row>
    <row r="28" spans="1:4">
      <c r="A28" s="109" t="s">
        <v>83</v>
      </c>
    </row>
    <row r="29" spans="1:4">
      <c r="A29" s="109" t="s">
        <v>84</v>
      </c>
    </row>
    <row r="30" spans="1:4">
      <c r="A30" s="109" t="s">
        <v>85</v>
      </c>
      <c r="B30" s="104"/>
      <c r="C30" s="104" t="s">
        <v>48</v>
      </c>
    </row>
    <row r="31" spans="1:4">
      <c r="A31" s="112" t="s">
        <v>93</v>
      </c>
    </row>
    <row r="32" spans="1:4" ht="30" customHeight="1">
      <c r="A32" s="110" t="s">
        <v>74</v>
      </c>
    </row>
    <row r="33" spans="1:2">
      <c r="A33" s="109" t="s">
        <v>50</v>
      </c>
    </row>
    <row r="34" spans="1:2">
      <c r="A34" s="109" t="s">
        <v>75</v>
      </c>
    </row>
    <row r="35" spans="1:2">
      <c r="A35" s="109" t="s">
        <v>76</v>
      </c>
      <c r="B35" s="104"/>
    </row>
    <row r="36" spans="1:2">
      <c r="A36" s="109" t="s">
        <v>77</v>
      </c>
      <c r="B36" s="104"/>
    </row>
    <row r="37" spans="1:2">
      <c r="A37" s="112" t="s">
        <v>94</v>
      </c>
    </row>
    <row r="38" spans="1:2">
      <c r="A38" s="109" t="s">
        <v>78</v>
      </c>
    </row>
    <row r="39" spans="1:2" ht="37.5">
      <c r="A39" s="111" t="s">
        <v>87</v>
      </c>
      <c r="B39" s="104"/>
    </row>
    <row r="40" spans="1:2">
      <c r="A40" s="111"/>
      <c r="B40" s="104"/>
    </row>
    <row r="41" spans="1:2" s="107" customFormat="1" ht="15">
      <c r="A41" s="112" t="s">
        <v>79</v>
      </c>
    </row>
    <row r="42" spans="1:2">
      <c r="A42" s="109" t="s">
        <v>115</v>
      </c>
    </row>
    <row r="43" spans="1:2">
      <c r="A43" s="109" t="s">
        <v>114</v>
      </c>
    </row>
    <row r="44" spans="1:2">
      <c r="A44" s="109" t="s">
        <v>95</v>
      </c>
    </row>
    <row r="45" spans="1:2">
      <c r="A45" s="109" t="s">
        <v>96</v>
      </c>
    </row>
    <row r="46" spans="1:2">
      <c r="A46" s="109" t="s">
        <v>97</v>
      </c>
    </row>
    <row r="47" spans="1:2">
      <c r="A47" s="104" t="s">
        <v>51</v>
      </c>
    </row>
    <row r="48" spans="1:2">
      <c r="A48" s="104"/>
    </row>
  </sheetData>
  <phoneticPr fontId="39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7"/>
  <sheetViews>
    <sheetView showGridLines="0" zoomScale="85" zoomScaleNormal="85" workbookViewId="0">
      <selection activeCell="E21" sqref="E21"/>
    </sheetView>
  </sheetViews>
  <sheetFormatPr defaultColWidth="9" defaultRowHeight="12.5"/>
  <cols>
    <col min="1" max="1" width="28.08984375" style="24" customWidth="1"/>
    <col min="2" max="2" width="10" style="3" customWidth="1"/>
    <col min="3" max="3" width="14.36328125" style="3" customWidth="1"/>
    <col min="4" max="4" width="8" style="3" customWidth="1"/>
    <col min="5" max="5" width="38" style="3" customWidth="1"/>
    <col min="6" max="6" width="48.08984375" style="3" customWidth="1"/>
    <col min="7" max="16384" width="9" style="3"/>
  </cols>
  <sheetData>
    <row r="2" spans="1:6" s="2" customFormat="1" ht="75.75" customHeight="1">
      <c r="A2" s="1"/>
      <c r="B2" s="166" t="s">
        <v>107</v>
      </c>
      <c r="C2" s="166"/>
      <c r="D2" s="166"/>
      <c r="E2" s="166"/>
      <c r="F2" s="166"/>
    </row>
    <row r="3" spans="1:6">
      <c r="A3" s="4"/>
      <c r="B3" s="5"/>
      <c r="E3" s="6"/>
    </row>
    <row r="4" spans="1:6" ht="14.25" customHeight="1">
      <c r="A4" s="115" t="s">
        <v>0</v>
      </c>
      <c r="B4" s="167" t="s">
        <v>117</v>
      </c>
      <c r="C4" s="167"/>
      <c r="D4" s="167"/>
      <c r="E4" s="115" t="s">
        <v>1</v>
      </c>
      <c r="F4" s="7" t="s">
        <v>118</v>
      </c>
    </row>
    <row r="5" spans="1:6" ht="14.25" customHeight="1">
      <c r="A5" s="115" t="s">
        <v>2</v>
      </c>
      <c r="B5" s="167" t="s">
        <v>119</v>
      </c>
      <c r="C5" s="167"/>
      <c r="D5" s="167"/>
      <c r="E5" s="115" t="s">
        <v>5</v>
      </c>
      <c r="F5" s="229">
        <v>46244.708333333336</v>
      </c>
    </row>
    <row r="6" spans="1:6" ht="15.75" customHeight="1">
      <c r="A6" s="130" t="s">
        <v>4</v>
      </c>
      <c r="B6" s="168" t="str">
        <f>B5&amp;"_"&amp;"XXX"&amp;"_"&amp;"vx.x"</f>
        <v>CLAWBOT_XXX_vx.x</v>
      </c>
      <c r="C6" s="169"/>
      <c r="D6" s="170"/>
      <c r="E6" s="115" t="s">
        <v>6</v>
      </c>
      <c r="F6" s="97" t="s">
        <v>120</v>
      </c>
    </row>
    <row r="7" spans="1:6">
      <c r="A7" s="116"/>
      <c r="B7" s="8"/>
      <c r="E7" s="9"/>
      <c r="F7" s="5"/>
    </row>
    <row r="8" spans="1:6">
      <c r="A8" s="3"/>
    </row>
    <row r="9" spans="1:6">
      <c r="A9" s="117" t="s">
        <v>7</v>
      </c>
    </row>
    <row r="10" spans="1:6" s="10" customFormat="1">
      <c r="A10" s="11" t="s">
        <v>8</v>
      </c>
      <c r="B10" s="12" t="s">
        <v>6</v>
      </c>
      <c r="C10" s="12" t="s">
        <v>9</v>
      </c>
      <c r="D10" s="12" t="s">
        <v>10</v>
      </c>
      <c r="E10" s="12" t="s">
        <v>11</v>
      </c>
      <c r="F10" s="13" t="s">
        <v>12</v>
      </c>
    </row>
    <row r="11" spans="1:6" s="14" customFormat="1" ht="26.25" customHeight="1">
      <c r="A11" s="230">
        <v>46244.708333333336</v>
      </c>
      <c r="B11" s="15" t="s">
        <v>120</v>
      </c>
      <c r="C11" s="16" t="s">
        <v>121</v>
      </c>
      <c r="D11" s="16" t="s">
        <v>42</v>
      </c>
      <c r="E11" s="17" t="s">
        <v>122</v>
      </c>
      <c r="F11" s="98"/>
    </row>
    <row r="12" spans="1:6" s="14" customFormat="1" ht="21.75" customHeight="1">
      <c r="A12" s="18"/>
      <c r="B12" s="15"/>
      <c r="C12" s="16"/>
      <c r="D12" s="16"/>
      <c r="E12" s="16"/>
      <c r="F12" s="19"/>
    </row>
    <row r="13" spans="1:6" s="14" customFormat="1" ht="19.5" customHeight="1">
      <c r="A13" s="18"/>
      <c r="B13" s="15"/>
      <c r="C13" s="16"/>
      <c r="D13" s="16"/>
      <c r="E13" s="16"/>
      <c r="F13" s="19"/>
    </row>
    <row r="14" spans="1:6" s="14" customFormat="1" ht="21.75" customHeight="1">
      <c r="A14" s="18"/>
      <c r="B14" s="15"/>
      <c r="C14" s="16"/>
      <c r="D14" s="16"/>
      <c r="E14" s="16"/>
      <c r="F14" s="19"/>
    </row>
    <row r="15" spans="1:6" s="14" customFormat="1" ht="19.5" customHeight="1">
      <c r="A15" s="18"/>
      <c r="B15" s="15"/>
      <c r="C15" s="16"/>
      <c r="D15" s="16"/>
      <c r="E15" s="16"/>
      <c r="F15" s="19"/>
    </row>
    <row r="16" spans="1:6" s="14" customFormat="1" ht="21.75" customHeight="1">
      <c r="A16" s="18"/>
      <c r="B16" s="15"/>
      <c r="C16" s="16"/>
      <c r="D16" s="16"/>
      <c r="E16" s="16"/>
      <c r="F16" s="19"/>
    </row>
    <row r="17" spans="1:6" s="14" customFormat="1" ht="19.5" customHeight="1">
      <c r="A17" s="20"/>
      <c r="B17" s="21"/>
      <c r="C17" s="22"/>
      <c r="D17" s="22"/>
      <c r="E17" s="22"/>
      <c r="F17" s="23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9"/>
  <sheetViews>
    <sheetView zoomScale="85" zoomScaleNormal="85" workbookViewId="0">
      <selection activeCell="D26" sqref="D26"/>
    </sheetView>
  </sheetViews>
  <sheetFormatPr defaultColWidth="9" defaultRowHeight="12.5"/>
  <cols>
    <col min="1" max="1" width="7.08984375" style="49" customWidth="1"/>
    <col min="2" max="2" width="28.7265625" style="49" customWidth="1"/>
    <col min="3" max="3" width="21" style="27" customWidth="1"/>
    <col min="4" max="4" width="14.36328125" style="26" customWidth="1"/>
    <col min="5" max="5" width="41.81640625" style="26" customWidth="1"/>
    <col min="6" max="6" width="51.36328125" style="26" customWidth="1"/>
    <col min="7" max="16384" width="9" style="6"/>
  </cols>
  <sheetData>
    <row r="2" spans="1:6" ht="24.5">
      <c r="A2" s="25"/>
      <c r="B2" s="25"/>
      <c r="C2" s="28" t="s">
        <v>116</v>
      </c>
      <c r="D2" s="28"/>
      <c r="E2" s="29"/>
    </row>
    <row r="3" spans="1:6" ht="13.5" customHeight="1">
      <c r="A3" s="25"/>
      <c r="B3" s="25"/>
      <c r="D3" s="30"/>
      <c r="E3" s="30"/>
    </row>
    <row r="4" spans="1:6" ht="14.25" customHeight="1">
      <c r="A4" s="172" t="s">
        <v>0</v>
      </c>
      <c r="B4" s="172"/>
      <c r="C4" s="173" t="str">
        <f>Cover!B4</f>
        <v>Clawbot</v>
      </c>
      <c r="D4" s="174"/>
      <c r="E4" s="174"/>
      <c r="F4" s="175"/>
    </row>
    <row r="5" spans="1:6" ht="14.25" customHeight="1">
      <c r="A5" s="172" t="s">
        <v>2</v>
      </c>
      <c r="B5" s="172"/>
      <c r="C5" s="173" t="str">
        <f>Cover!B5</f>
        <v>CLAWBOT</v>
      </c>
      <c r="D5" s="174"/>
      <c r="E5" s="174"/>
      <c r="F5" s="175"/>
    </row>
    <row r="6" spans="1:6" s="31" customFormat="1" ht="12.75" customHeight="1">
      <c r="A6" s="171" t="s">
        <v>13</v>
      </c>
      <c r="B6" s="171"/>
      <c r="C6" s="176" t="s">
        <v>14</v>
      </c>
      <c r="D6" s="177"/>
      <c r="E6" s="177"/>
      <c r="F6" s="178"/>
    </row>
    <row r="7" spans="1:6">
      <c r="A7" s="32"/>
      <c r="B7" s="32"/>
      <c r="C7" s="31"/>
      <c r="D7" s="6"/>
      <c r="E7" s="6"/>
      <c r="F7" s="6"/>
    </row>
    <row r="8" spans="1:6" s="39" customFormat="1" ht="24" customHeight="1">
      <c r="A8" s="33" t="s">
        <v>15</v>
      </c>
      <c r="B8" s="34" t="s">
        <v>110</v>
      </c>
      <c r="C8" s="36" t="s">
        <v>112</v>
      </c>
      <c r="D8" s="35" t="s">
        <v>16</v>
      </c>
      <c r="E8" s="37" t="s">
        <v>17</v>
      </c>
      <c r="F8" s="38" t="s">
        <v>18</v>
      </c>
    </row>
    <row r="9" spans="1:6" ht="13">
      <c r="A9" s="99">
        <v>1</v>
      </c>
      <c r="B9" s="40" t="s">
        <v>111</v>
      </c>
      <c r="C9" s="41" t="s">
        <v>113</v>
      </c>
      <c r="D9" s="165" t="s">
        <v>113</v>
      </c>
      <c r="E9" s="42"/>
      <c r="F9" s="43"/>
    </row>
    <row r="10" spans="1:6">
      <c r="A10" s="99"/>
      <c r="B10" s="40"/>
      <c r="C10" s="41"/>
      <c r="D10" s="42"/>
      <c r="E10" s="42"/>
      <c r="F10" s="43"/>
    </row>
    <row r="11" spans="1:6">
      <c r="A11" s="99"/>
      <c r="B11" s="40"/>
      <c r="C11" s="41"/>
      <c r="D11" s="42"/>
      <c r="E11" s="42"/>
      <c r="F11" s="43"/>
    </row>
    <row r="12" spans="1:6">
      <c r="A12" s="99"/>
      <c r="B12" s="40"/>
      <c r="C12" s="41"/>
      <c r="D12" s="44"/>
      <c r="E12" s="44"/>
      <c r="F12" s="43"/>
    </row>
    <row r="13" spans="1:6">
      <c r="A13" s="99"/>
      <c r="B13" s="40"/>
      <c r="C13" s="41"/>
      <c r="D13" s="44"/>
      <c r="E13" s="44"/>
      <c r="F13" s="43"/>
    </row>
    <row r="14" spans="1:6">
      <c r="A14" s="99"/>
      <c r="B14" s="40"/>
      <c r="C14" s="41"/>
      <c r="D14" s="44"/>
      <c r="E14" s="44"/>
      <c r="F14" s="43"/>
    </row>
    <row r="15" spans="1:6">
      <c r="A15" s="99"/>
      <c r="B15" s="40"/>
      <c r="C15" s="41"/>
      <c r="D15" s="44"/>
      <c r="E15" s="44"/>
      <c r="F15" s="43"/>
    </row>
    <row r="16" spans="1:6">
      <c r="A16" s="99"/>
      <c r="B16" s="40"/>
      <c r="C16" s="41"/>
      <c r="D16" s="44"/>
      <c r="E16" s="44"/>
      <c r="F16" s="43"/>
    </row>
    <row r="17" spans="1:6">
      <c r="A17" s="99"/>
      <c r="B17" s="40"/>
      <c r="C17" s="41"/>
      <c r="D17" s="44"/>
      <c r="E17" s="44"/>
      <c r="F17" s="43"/>
    </row>
    <row r="18" spans="1:6">
      <c r="A18" s="99"/>
      <c r="B18" s="40"/>
      <c r="C18" s="41"/>
      <c r="D18" s="44"/>
      <c r="E18" s="44"/>
      <c r="F18" s="43"/>
    </row>
    <row r="19" spans="1:6">
      <c r="A19" s="100"/>
      <c r="B19" s="45"/>
      <c r="C19" s="46"/>
      <c r="D19" s="47"/>
      <c r="E19" s="47"/>
      <c r="F19" s="48"/>
    </row>
  </sheetData>
  <mergeCells count="6">
    <mergeCell ref="A6:B6"/>
    <mergeCell ref="A4:B4"/>
    <mergeCell ref="A5:B5"/>
    <mergeCell ref="C4:F4"/>
    <mergeCell ref="C5:F5"/>
    <mergeCell ref="C6:F6"/>
  </mergeCells>
  <phoneticPr fontId="0" type="noConversion"/>
  <hyperlinks>
    <hyperlink ref="D9" location="methodName1!A1" display="methodName1" xr:uid="{00000000-0004-0000-0200-000000000000}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21"/>
  <sheetViews>
    <sheetView topLeftCell="A10" zoomScale="85" zoomScaleNormal="85" workbookViewId="0">
      <selection activeCell="A14" sqref="A14:IV14"/>
    </sheetView>
  </sheetViews>
  <sheetFormatPr defaultColWidth="9" defaultRowHeight="12.5"/>
  <cols>
    <col min="1" max="1" width="15.36328125" style="6" customWidth="1"/>
    <col min="2" max="2" width="26.6328125" style="6" customWidth="1"/>
    <col min="3" max="3" width="12.08984375" style="6" customWidth="1"/>
    <col min="4" max="4" width="9.6328125" style="6" customWidth="1"/>
    <col min="5" max="5" width="9.81640625" style="6" customWidth="1"/>
    <col min="6" max="8" width="5.08984375" style="6" customWidth="1"/>
    <col min="9" max="9" width="21" style="6" customWidth="1"/>
    <col min="10" max="10" width="33.08984375" style="6" customWidth="1"/>
    <col min="11" max="16384" width="9" style="6"/>
  </cols>
  <sheetData>
    <row r="2" spans="1:9" ht="25.5" customHeight="1">
      <c r="A2" s="179" t="s">
        <v>19</v>
      </c>
      <c r="B2" s="179"/>
      <c r="C2" s="179"/>
      <c r="D2" s="179"/>
      <c r="E2" s="179"/>
      <c r="F2" s="179"/>
      <c r="G2" s="179"/>
      <c r="H2" s="179"/>
      <c r="I2" s="179"/>
    </row>
    <row r="3" spans="1:9" ht="14.25" customHeight="1">
      <c r="A3" s="50"/>
      <c r="B3" s="51"/>
      <c r="C3" s="51"/>
      <c r="D3" s="51"/>
      <c r="E3" s="51"/>
      <c r="F3" s="51"/>
      <c r="G3" s="51"/>
      <c r="H3" s="51"/>
      <c r="I3" s="52"/>
    </row>
    <row r="4" spans="1:9" ht="13.5" customHeight="1">
      <c r="A4" s="129" t="s">
        <v>0</v>
      </c>
      <c r="B4" s="180" t="str">
        <f>Cover!B4</f>
        <v>Clawbot</v>
      </c>
      <c r="C4" s="180"/>
      <c r="D4" s="181" t="s">
        <v>1</v>
      </c>
      <c r="E4" s="181"/>
      <c r="F4" s="182" t="s">
        <v>118</v>
      </c>
      <c r="G4" s="183"/>
      <c r="H4" s="183"/>
      <c r="I4" s="184"/>
    </row>
    <row r="5" spans="1:9" ht="13.5" customHeight="1">
      <c r="A5" s="129" t="s">
        <v>2</v>
      </c>
      <c r="B5" s="180" t="str">
        <f>Cover!B5</f>
        <v>CLAWBOT</v>
      </c>
      <c r="C5" s="180"/>
      <c r="D5" s="181" t="s">
        <v>3</v>
      </c>
      <c r="E5" s="181"/>
      <c r="F5" s="182" t="s">
        <v>123</v>
      </c>
      <c r="G5" s="183"/>
      <c r="H5" s="183"/>
      <c r="I5" s="184"/>
    </row>
    <row r="6" spans="1:9" ht="12.75" customHeight="1">
      <c r="A6" s="130" t="s">
        <v>4</v>
      </c>
      <c r="B6" s="180" t="str">
        <f>B5&amp;"_"&amp;"Test Report"&amp;"_"&amp;"vx.x"</f>
        <v>CLAWBOT_Test Report_vx.x</v>
      </c>
      <c r="C6" s="180"/>
      <c r="D6" s="181" t="s">
        <v>5</v>
      </c>
      <c r="E6" s="181"/>
      <c r="F6" s="185">
        <v>46244.708333333336</v>
      </c>
      <c r="G6" s="186"/>
      <c r="H6" s="186"/>
      <c r="I6" s="187"/>
    </row>
    <row r="7" spans="1:9" ht="15.75" customHeight="1">
      <c r="A7" s="130" t="s">
        <v>20</v>
      </c>
      <c r="B7" s="188" t="s">
        <v>124</v>
      </c>
      <c r="C7" s="188"/>
      <c r="D7" s="188"/>
      <c r="E7" s="188"/>
      <c r="F7" s="188"/>
      <c r="G7" s="188"/>
      <c r="H7" s="188"/>
      <c r="I7" s="188"/>
    </row>
    <row r="8" spans="1:9" ht="14.25" customHeight="1">
      <c r="A8" s="53"/>
      <c r="B8" s="54"/>
      <c r="C8" s="51"/>
      <c r="D8" s="51"/>
      <c r="E8" s="51"/>
      <c r="F8" s="51"/>
      <c r="G8" s="51"/>
      <c r="H8" s="51"/>
      <c r="I8" s="52"/>
    </row>
    <row r="9" spans="1:9">
      <c r="A9" s="53"/>
      <c r="B9" s="54"/>
      <c r="C9" s="51"/>
      <c r="D9" s="51"/>
      <c r="E9" s="51"/>
      <c r="F9" s="51"/>
      <c r="G9" s="51"/>
      <c r="H9" s="51"/>
      <c r="I9" s="52"/>
    </row>
    <row r="11" spans="1:9" ht="14.25" customHeight="1">
      <c r="A11" s="55" t="s">
        <v>15</v>
      </c>
      <c r="B11" s="56" t="s">
        <v>100</v>
      </c>
      <c r="C11" s="57" t="s">
        <v>21</v>
      </c>
      <c r="D11" s="56" t="s">
        <v>22</v>
      </c>
      <c r="E11" s="58" t="s">
        <v>23</v>
      </c>
      <c r="F11" s="58" t="s">
        <v>40</v>
      </c>
      <c r="G11" s="58" t="s">
        <v>42</v>
      </c>
      <c r="H11" s="58" t="s">
        <v>41</v>
      </c>
      <c r="I11" s="59" t="s">
        <v>24</v>
      </c>
    </row>
    <row r="12" spans="1:9" ht="13">
      <c r="A12" s="60">
        <v>1</v>
      </c>
      <c r="B12" s="165" t="s">
        <v>113</v>
      </c>
      <c r="C12" s="61">
        <f>methodName1!A5</f>
        <v>2</v>
      </c>
      <c r="D12" s="61">
        <f>methodName1!C5</f>
        <v>0</v>
      </c>
      <c r="E12" s="61">
        <f>methodName1!F5</f>
        <v>0</v>
      </c>
      <c r="F12" s="62">
        <f>methodName1!L5</f>
        <v>1</v>
      </c>
      <c r="G12" s="61">
        <f>methodName1!M5</f>
        <v>1</v>
      </c>
      <c r="H12" s="61">
        <f>methodName1!N5</f>
        <v>0</v>
      </c>
      <c r="I12" s="61">
        <f>methodName1!O5</f>
        <v>2</v>
      </c>
    </row>
    <row r="13" spans="1:9" ht="14">
      <c r="A13" s="60"/>
      <c r="B13" s="118"/>
      <c r="C13" s="61"/>
      <c r="D13" s="61"/>
      <c r="E13" s="61"/>
      <c r="F13" s="62"/>
      <c r="G13" s="61"/>
      <c r="H13" s="61"/>
      <c r="I13" s="61"/>
    </row>
    <row r="14" spans="1:9" ht="14">
      <c r="A14" s="60"/>
      <c r="B14" s="118"/>
      <c r="C14" s="61"/>
      <c r="D14" s="61"/>
      <c r="E14" s="61"/>
      <c r="F14" s="62"/>
      <c r="G14" s="61"/>
      <c r="H14" s="61"/>
      <c r="I14" s="61"/>
    </row>
    <row r="15" spans="1:9" ht="14">
      <c r="A15" s="63"/>
      <c r="B15" s="119" t="s">
        <v>25</v>
      </c>
      <c r="C15" s="64">
        <f>SUM(C12:C12)</f>
        <v>2</v>
      </c>
      <c r="D15" s="64">
        <f>SUM(D12:D12)</f>
        <v>0</v>
      </c>
      <c r="E15" s="64">
        <f>SUM(E12:E12)</f>
        <v>0</v>
      </c>
      <c r="F15" s="64">
        <f>SUM(F12:F12)</f>
        <v>1</v>
      </c>
      <c r="G15" s="64">
        <f>SUM(G12:G12)</f>
        <v>1</v>
      </c>
      <c r="H15" s="64">
        <f>SUM(H12:H12)</f>
        <v>0</v>
      </c>
      <c r="I15" s="64">
        <f>SUM(I12:I12)</f>
        <v>2</v>
      </c>
    </row>
    <row r="16" spans="1:9">
      <c r="A16" s="65"/>
      <c r="C16" s="66"/>
      <c r="D16" s="67"/>
      <c r="E16" s="67"/>
      <c r="F16" s="67"/>
      <c r="G16" s="67"/>
      <c r="H16" s="67"/>
      <c r="I16" s="67"/>
    </row>
    <row r="17" spans="2:9">
      <c r="B17" s="131" t="s">
        <v>26</v>
      </c>
      <c r="D17" s="132">
        <f>(C15+D15)*100/(I15)</f>
        <v>100</v>
      </c>
      <c r="E17" s="6" t="s">
        <v>27</v>
      </c>
      <c r="I17" s="68"/>
    </row>
    <row r="18" spans="2:9">
      <c r="B18" s="131" t="s">
        <v>28</v>
      </c>
      <c r="D18" s="132">
        <f>C15*100/(I15)</f>
        <v>100</v>
      </c>
      <c r="E18" s="6" t="s">
        <v>27</v>
      </c>
      <c r="I18" s="68"/>
    </row>
    <row r="19" spans="2:9">
      <c r="B19" s="131" t="s">
        <v>29</v>
      </c>
      <c r="D19" s="132">
        <f>F15*100/I15</f>
        <v>50</v>
      </c>
      <c r="E19" s="6" t="s">
        <v>27</v>
      </c>
    </row>
    <row r="20" spans="2:9">
      <c r="B20" s="131" t="s">
        <v>30</v>
      </c>
      <c r="D20" s="132">
        <f>G15*100/I15</f>
        <v>50</v>
      </c>
      <c r="E20" s="6" t="s">
        <v>27</v>
      </c>
    </row>
    <row r="21" spans="2:9">
      <c r="B21" s="131" t="s">
        <v>31</v>
      </c>
      <c r="D21" s="132">
        <f>H15*100/I15</f>
        <v>0</v>
      </c>
      <c r="E21" s="6" t="s">
        <v>27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methodName1!A1" display="methodName1" xr:uid="{00000000-0004-0000-0300-000000000000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348C-9440-4502-BECB-5A0D77EF55AD}">
  <dimension ref="A1:V41"/>
  <sheetViews>
    <sheetView tabSelected="1"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69" customWidth="1"/>
    <col min="2" max="2" width="13.36328125" style="73" customWidth="1"/>
    <col min="3" max="3" width="10.81640625" style="69" customWidth="1"/>
    <col min="4" max="4" width="11.36328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16384" width="9" style="69"/>
  </cols>
  <sheetData>
    <row r="1" spans="1:22" ht="13.5" customHeight="1">
      <c r="A1" s="189" t="s">
        <v>108</v>
      </c>
      <c r="B1" s="190"/>
      <c r="C1" s="191" t="s">
        <v>111</v>
      </c>
      <c r="D1" s="192"/>
      <c r="E1" s="193"/>
      <c r="F1" s="194" t="s">
        <v>109</v>
      </c>
      <c r="G1" s="195"/>
      <c r="H1" s="195"/>
      <c r="I1" s="195"/>
      <c r="J1" s="195"/>
      <c r="K1" s="195"/>
      <c r="L1" s="220" t="s">
        <v>113</v>
      </c>
      <c r="M1" s="221"/>
      <c r="N1" s="221"/>
      <c r="O1" s="221"/>
      <c r="P1" s="221"/>
      <c r="Q1" s="221"/>
      <c r="R1" s="221"/>
      <c r="S1" s="221"/>
      <c r="T1" s="222"/>
      <c r="V1" s="71"/>
    </row>
    <row r="2" spans="1:22" ht="13.5" customHeight="1">
      <c r="A2" s="202" t="s">
        <v>54</v>
      </c>
      <c r="B2" s="203"/>
      <c r="C2" s="207" t="s">
        <v>32</v>
      </c>
      <c r="D2" s="208"/>
      <c r="E2" s="209"/>
      <c r="F2" s="225" t="s">
        <v>55</v>
      </c>
      <c r="G2" s="226"/>
      <c r="H2" s="226"/>
      <c r="I2" s="226"/>
      <c r="J2" s="226"/>
      <c r="K2" s="227"/>
      <c r="L2" s="208"/>
      <c r="M2" s="208"/>
      <c r="N2" s="208"/>
      <c r="O2" s="126"/>
      <c r="P2" s="126"/>
      <c r="Q2" s="126"/>
      <c r="R2" s="126"/>
      <c r="S2" s="126"/>
      <c r="T2" s="127"/>
    </row>
    <row r="3" spans="1:22" ht="13.5" customHeight="1">
      <c r="A3" s="202" t="s">
        <v>56</v>
      </c>
      <c r="B3" s="203"/>
      <c r="C3" s="213" t="s">
        <v>53</v>
      </c>
      <c r="D3" s="213"/>
      <c r="E3" s="213"/>
      <c r="F3" s="214"/>
      <c r="G3" s="214"/>
      <c r="H3" s="214"/>
      <c r="I3" s="214"/>
      <c r="J3" s="214"/>
      <c r="K3" s="214"/>
      <c r="L3" s="213"/>
      <c r="M3" s="213"/>
      <c r="N3" s="213"/>
      <c r="O3" s="213"/>
      <c r="P3" s="213"/>
      <c r="Q3" s="213"/>
      <c r="R3" s="213"/>
      <c r="S3" s="213"/>
      <c r="T3" s="213"/>
    </row>
    <row r="4" spans="1:22" ht="13.5" customHeight="1">
      <c r="A4" s="211" t="s">
        <v>21</v>
      </c>
      <c r="B4" s="212"/>
      <c r="C4" s="223" t="s">
        <v>22</v>
      </c>
      <c r="D4" s="215"/>
      <c r="E4" s="224"/>
      <c r="F4" s="223" t="s">
        <v>23</v>
      </c>
      <c r="G4" s="215"/>
      <c r="H4" s="215"/>
      <c r="I4" s="215"/>
      <c r="J4" s="215"/>
      <c r="K4" s="228"/>
      <c r="L4" s="215" t="s">
        <v>57</v>
      </c>
      <c r="M4" s="215"/>
      <c r="N4" s="215"/>
      <c r="O4" s="218" t="s">
        <v>24</v>
      </c>
      <c r="P4" s="215"/>
      <c r="Q4" s="215"/>
      <c r="R4" s="215"/>
      <c r="S4" s="215"/>
      <c r="T4" s="219"/>
      <c r="V4" s="71"/>
    </row>
    <row r="5" spans="1:22" ht="13.5" customHeight="1" thickBot="1">
      <c r="A5" s="201">
        <f>COUNTIF(F38:HQ38,"P")</f>
        <v>2</v>
      </c>
      <c r="B5" s="200"/>
      <c r="C5" s="197">
        <f>COUNTIF(F38:HQ38,"F")</f>
        <v>0</v>
      </c>
      <c r="D5" s="198"/>
      <c r="E5" s="200"/>
      <c r="F5" s="197">
        <f>SUM(O5,- A5,- C5)</f>
        <v>0</v>
      </c>
      <c r="G5" s="198"/>
      <c r="H5" s="198"/>
      <c r="I5" s="198"/>
      <c r="J5" s="198"/>
      <c r="K5" s="199"/>
      <c r="L5" s="128">
        <f>COUNTIF(E37:HQ37,"N")</f>
        <v>1</v>
      </c>
      <c r="M5" s="128">
        <f>COUNTIF(E37:HQ37,"A")</f>
        <v>1</v>
      </c>
      <c r="N5" s="128">
        <f>COUNTIF(E37:HQ37,"B")</f>
        <v>0</v>
      </c>
      <c r="O5" s="216">
        <f>COUNTA(E7:HT7)</f>
        <v>2</v>
      </c>
      <c r="P5" s="198"/>
      <c r="Q5" s="198"/>
      <c r="R5" s="198"/>
      <c r="S5" s="198"/>
      <c r="T5" s="217"/>
      <c r="U5" s="72"/>
    </row>
    <row r="6" spans="1:22" ht="10.5" thickBot="1"/>
    <row r="7" spans="1:22" ht="46.5" customHeight="1" thickTop="1" thickBot="1">
      <c r="A7" s="159"/>
      <c r="B7" s="160"/>
      <c r="C7" s="161"/>
      <c r="D7" s="162"/>
      <c r="E7" s="161"/>
      <c r="F7" s="163" t="s">
        <v>33</v>
      </c>
      <c r="G7" s="163" t="s">
        <v>34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4"/>
      <c r="U7" s="74"/>
      <c r="V7" s="71"/>
    </row>
    <row r="8" spans="1:22" ht="13.5" customHeight="1">
      <c r="A8" s="154" t="s">
        <v>58</v>
      </c>
      <c r="B8" s="155" t="s">
        <v>59</v>
      </c>
      <c r="C8" s="156"/>
      <c r="D8" s="157"/>
      <c r="E8" s="78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44"/>
    </row>
    <row r="9" spans="1:22" ht="13.5" customHeight="1">
      <c r="A9" s="142"/>
      <c r="B9" s="75"/>
      <c r="C9" s="76"/>
      <c r="D9" s="77" t="s">
        <v>35</v>
      </c>
      <c r="E9" s="78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41"/>
      <c r="V9" s="71"/>
    </row>
    <row r="10" spans="1:22" ht="13.5" customHeight="1">
      <c r="A10" s="142"/>
      <c r="B10" s="75"/>
      <c r="C10" s="76"/>
      <c r="D10" s="77"/>
      <c r="E10" s="78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41"/>
    </row>
    <row r="11" spans="1:22" ht="13.5" customHeight="1">
      <c r="A11" s="142"/>
      <c r="B11" s="75"/>
      <c r="C11" s="76"/>
      <c r="D11" s="77"/>
      <c r="E11" s="79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41"/>
    </row>
    <row r="12" spans="1:22" ht="13.5" customHeight="1">
      <c r="A12" s="142"/>
      <c r="B12" s="75" t="s">
        <v>103</v>
      </c>
      <c r="C12" s="76"/>
      <c r="D12" s="77"/>
      <c r="E12" s="8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41"/>
    </row>
    <row r="13" spans="1:22" ht="13.5" customHeight="1">
      <c r="A13" s="142"/>
      <c r="B13" s="75"/>
      <c r="C13" s="76"/>
      <c r="D13" s="77">
        <v>29</v>
      </c>
      <c r="E13" s="80"/>
      <c r="F13" s="120" t="s">
        <v>80</v>
      </c>
      <c r="G13" s="120" t="s">
        <v>80</v>
      </c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41"/>
    </row>
    <row r="14" spans="1:22" ht="13.5" customHeight="1">
      <c r="A14" s="142"/>
      <c r="B14" s="75"/>
      <c r="C14" s="76"/>
      <c r="D14" s="77">
        <v>30</v>
      </c>
      <c r="E14" s="8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41"/>
    </row>
    <row r="15" spans="1:22" ht="13.5" customHeight="1">
      <c r="A15" s="142"/>
      <c r="B15" s="75"/>
      <c r="C15" s="76"/>
      <c r="D15" s="77">
        <v>31</v>
      </c>
      <c r="E15" s="8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41"/>
      <c r="U15" s="121"/>
    </row>
    <row r="16" spans="1:22" ht="13.5" customHeight="1">
      <c r="A16" s="142"/>
      <c r="B16" s="75" t="s">
        <v>104</v>
      </c>
      <c r="C16" s="76"/>
      <c r="D16" s="77"/>
      <c r="E16" s="8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41"/>
      <c r="U16" s="121"/>
    </row>
    <row r="17" spans="1:20" ht="13.5" customHeight="1">
      <c r="A17" s="142"/>
      <c r="B17" s="75"/>
      <c r="C17" s="76"/>
      <c r="D17" s="210">
        <v>2</v>
      </c>
      <c r="E17" s="210"/>
      <c r="F17" s="120" t="s">
        <v>80</v>
      </c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41"/>
    </row>
    <row r="18" spans="1:20" ht="13.5" customHeight="1">
      <c r="A18" s="142"/>
      <c r="B18" s="75"/>
      <c r="C18" s="76"/>
      <c r="D18" s="77">
        <v>3</v>
      </c>
      <c r="E18" s="80"/>
      <c r="F18" s="120"/>
      <c r="G18" s="120" t="s">
        <v>80</v>
      </c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41"/>
    </row>
    <row r="19" spans="1:20" ht="13.5" customHeight="1">
      <c r="A19" s="142"/>
      <c r="B19" s="75"/>
      <c r="C19" s="76"/>
      <c r="D19" s="77">
        <v>4</v>
      </c>
      <c r="E19" s="8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41"/>
    </row>
    <row r="20" spans="1:20" ht="13.5" customHeight="1">
      <c r="A20" s="142"/>
      <c r="B20" s="75" t="s">
        <v>105</v>
      </c>
      <c r="C20" s="76"/>
      <c r="D20" s="77"/>
      <c r="E20" s="8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41"/>
    </row>
    <row r="21" spans="1:20" ht="13.5" customHeight="1">
      <c r="A21" s="142"/>
      <c r="B21" s="75"/>
      <c r="C21" s="76"/>
      <c r="D21" s="77">
        <v>2000</v>
      </c>
      <c r="E21" s="80"/>
      <c r="F21" s="120" t="s">
        <v>80</v>
      </c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41"/>
    </row>
    <row r="22" spans="1:20" ht="13.5" customHeight="1">
      <c r="A22" s="142"/>
      <c r="B22" s="75"/>
      <c r="C22" s="76"/>
      <c r="D22" s="77">
        <v>2009</v>
      </c>
      <c r="E22" s="80"/>
      <c r="F22" s="120"/>
      <c r="G22" s="120" t="s">
        <v>80</v>
      </c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41"/>
    </row>
    <row r="23" spans="1:20" ht="13.5" customHeight="1">
      <c r="A23" s="142"/>
      <c r="B23" s="75"/>
      <c r="C23" s="76"/>
      <c r="D23" s="77"/>
      <c r="E23" s="8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41"/>
    </row>
    <row r="24" spans="1:20" ht="13.5" customHeight="1">
      <c r="A24" s="142"/>
      <c r="B24" s="75"/>
      <c r="C24" s="76"/>
      <c r="D24" s="77"/>
      <c r="E24" s="8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41"/>
    </row>
    <row r="25" spans="1:20" ht="13.5" customHeight="1">
      <c r="A25" s="142"/>
      <c r="B25" s="75"/>
      <c r="C25" s="76"/>
      <c r="D25" s="77"/>
      <c r="E25" s="8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41"/>
    </row>
    <row r="26" spans="1:20" ht="13.5" customHeight="1">
      <c r="A26" s="142"/>
      <c r="B26" s="75"/>
      <c r="C26" s="76"/>
      <c r="D26" s="77"/>
      <c r="E26" s="8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41"/>
    </row>
    <row r="27" spans="1:20" ht="13.5" customHeight="1">
      <c r="A27" s="142"/>
      <c r="B27" s="75"/>
      <c r="C27" s="76"/>
      <c r="D27" s="77"/>
      <c r="E27" s="8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41"/>
    </row>
    <row r="28" spans="1:20" ht="13.5" customHeight="1" thickBot="1">
      <c r="A28" s="142"/>
      <c r="B28" s="81"/>
      <c r="C28" s="82"/>
      <c r="D28" s="83"/>
      <c r="E28" s="84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43"/>
    </row>
    <row r="29" spans="1:20" ht="13.5" customHeight="1" thickTop="1">
      <c r="A29" s="153" t="s">
        <v>60</v>
      </c>
      <c r="B29" s="85" t="s">
        <v>61</v>
      </c>
      <c r="C29" s="86"/>
      <c r="D29" s="87"/>
      <c r="E29" s="88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44"/>
    </row>
    <row r="30" spans="1:20" ht="13.5" customHeight="1">
      <c r="A30" s="152"/>
      <c r="B30" s="89"/>
      <c r="C30" s="90"/>
      <c r="D30" s="91" t="s">
        <v>106</v>
      </c>
      <c r="E30" s="92"/>
      <c r="F30" s="120" t="s">
        <v>80</v>
      </c>
      <c r="G30" s="120" t="s">
        <v>80</v>
      </c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41"/>
    </row>
    <row r="31" spans="1:20" ht="13.5" customHeight="1">
      <c r="A31" s="152"/>
      <c r="B31" s="89"/>
      <c r="C31" s="124"/>
      <c r="D31" s="91" t="s">
        <v>45</v>
      </c>
      <c r="E31" s="93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41"/>
    </row>
    <row r="32" spans="1:20" ht="13.5" customHeight="1">
      <c r="A32" s="152"/>
      <c r="B32" s="89" t="s">
        <v>62</v>
      </c>
      <c r="C32" s="124"/>
      <c r="D32" s="91"/>
      <c r="E32" s="93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41"/>
    </row>
    <row r="33" spans="1:20" ht="13.5" customHeight="1">
      <c r="A33" s="152"/>
      <c r="B33" s="89"/>
      <c r="C33" s="124"/>
      <c r="D33" s="91"/>
      <c r="E33" s="93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41"/>
    </row>
    <row r="34" spans="1:20" ht="13.5" customHeight="1">
      <c r="A34" s="152"/>
      <c r="B34" s="89" t="s">
        <v>63</v>
      </c>
      <c r="C34" s="124"/>
      <c r="D34" s="91"/>
      <c r="E34" s="93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41"/>
    </row>
    <row r="35" spans="1:20" ht="13.5" customHeight="1">
      <c r="A35" s="152"/>
      <c r="B35" s="89"/>
      <c r="C35" s="124"/>
      <c r="D35" s="91" t="s">
        <v>36</v>
      </c>
      <c r="E35" s="93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41"/>
    </row>
    <row r="36" spans="1:20" ht="13.5" customHeight="1" thickBot="1">
      <c r="A36" s="152"/>
      <c r="B36" s="133"/>
      <c r="C36" s="134"/>
      <c r="D36" s="135" t="s">
        <v>37</v>
      </c>
      <c r="E36" s="136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45"/>
    </row>
    <row r="37" spans="1:20" ht="13.5" customHeight="1" thickTop="1">
      <c r="A37" s="153" t="s">
        <v>38</v>
      </c>
      <c r="B37" s="206" t="s">
        <v>39</v>
      </c>
      <c r="C37" s="206"/>
      <c r="D37" s="206"/>
      <c r="E37" s="138"/>
      <c r="F37" s="139" t="s">
        <v>42</v>
      </c>
      <c r="G37" s="139" t="s">
        <v>40</v>
      </c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46"/>
    </row>
    <row r="38" spans="1:20" ht="13.5" customHeight="1">
      <c r="A38" s="152"/>
      <c r="B38" s="196" t="s">
        <v>43</v>
      </c>
      <c r="C38" s="196"/>
      <c r="D38" s="196"/>
      <c r="E38" s="94"/>
      <c r="F38" s="125" t="s">
        <v>44</v>
      </c>
      <c r="G38" s="125" t="s">
        <v>44</v>
      </c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47"/>
    </row>
    <row r="39" spans="1:20" ht="13.5" customHeight="1">
      <c r="A39" s="152"/>
      <c r="B39" s="204" t="s">
        <v>46</v>
      </c>
      <c r="C39" s="204"/>
      <c r="D39" s="204"/>
      <c r="E39" s="95"/>
      <c r="F39" s="96">
        <v>39138.708333333336</v>
      </c>
      <c r="G39" s="96">
        <v>39138.708333333336</v>
      </c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148"/>
    </row>
    <row r="40" spans="1:20" ht="10.5" thickBot="1">
      <c r="A40" s="158"/>
      <c r="B40" s="205" t="s">
        <v>47</v>
      </c>
      <c r="C40" s="205"/>
      <c r="D40" s="205"/>
      <c r="E40" s="149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1"/>
    </row>
    <row r="41" spans="1:20" ht="10.5" thickTop="1">
      <c r="A41" s="140"/>
    </row>
  </sheetData>
  <mergeCells count="24">
    <mergeCell ref="B38:D38"/>
    <mergeCell ref="B39:D39"/>
    <mergeCell ref="B40:D40"/>
    <mergeCell ref="A5:B5"/>
    <mergeCell ref="C5:E5"/>
    <mergeCell ref="F5:K5"/>
    <mergeCell ref="O5:T5"/>
    <mergeCell ref="D17:E17"/>
    <mergeCell ref="B37:D37"/>
    <mergeCell ref="A3:B3"/>
    <mergeCell ref="C3:T3"/>
    <mergeCell ref="A4:B4"/>
    <mergeCell ref="C4:E4"/>
    <mergeCell ref="F4:K4"/>
    <mergeCell ref="L4:N4"/>
    <mergeCell ref="O4:T4"/>
    <mergeCell ref="A1:B1"/>
    <mergeCell ref="C1:E1"/>
    <mergeCell ref="F1:K1"/>
    <mergeCell ref="L1:T1"/>
    <mergeCell ref="A2:B2"/>
    <mergeCell ref="C2:E2"/>
    <mergeCell ref="F2:K2"/>
    <mergeCell ref="L2:N2"/>
  </mergeCells>
  <dataValidations count="3">
    <dataValidation type="list" allowBlank="1" showInputMessage="1" showErrorMessage="1" sqref="F8:T36" xr:uid="{018F1DCB-019A-4A11-AFA1-DE85B62700F4}">
      <formula1>"O, "</formula1>
    </dataValidation>
    <dataValidation type="list" allowBlank="1" showInputMessage="1" showErrorMessage="1" sqref="F38:T38" xr:uid="{5731CF70-27F0-4DD5-A71F-6AE64F8ECCB2}">
      <formula1>"P,F, "</formula1>
    </dataValidation>
    <dataValidation type="list" allowBlank="1" showInputMessage="1" showErrorMessage="1" sqref="F37:T37" xr:uid="{89ACF91E-2B87-4BAF-AB3A-0F1679E7095C}">
      <formula1>"N,A,B,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Guideline</vt:lpstr>
      <vt:lpstr>Cover</vt:lpstr>
      <vt:lpstr>MethodList</vt:lpstr>
      <vt:lpstr>Statistics</vt:lpstr>
      <vt:lpstr>methodName1</vt:lpstr>
      <vt:lpstr>Guideline!Print_Area</vt:lpstr>
      <vt:lpstr>MethodList!Print_Area</vt:lpstr>
      <vt:lpstr>methodName1!Print_Area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Võ Thành Đạt</cp:lastModifiedBy>
  <cp:lastPrinted>2008-03-12T04:05:49Z</cp:lastPrinted>
  <dcterms:created xsi:type="dcterms:W3CDTF">2007-10-09T09:39:48Z</dcterms:created>
  <dcterms:modified xsi:type="dcterms:W3CDTF">2026-08-12T08:37:35Z</dcterms:modified>
</cp:coreProperties>
</file>