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àn hình &amp; Dialog" sheetId="1" state="visible" r:id="rId3"/>
    <sheet name="Phi chức năng (NFR)" sheetId="2" state="visible" r:id="rId4"/>
    <sheet name="Docs-Test-Quản lý" sheetId="3" state="visible" r:id="rId5"/>
    <sheet name="Tổng hợ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<sst xmlns="http://schemas.openxmlformats.org/spreadsheetml/2006/main" count="626" uniqueCount="343">
  <si>
    <t xml:space="preserve">ID</t>
  </si>
  <si>
    <t xml:space="preserve">Actor</t>
  </si>
  <si>
    <t xml:space="preserve">Module</t>
  </si>
  <si>
    <t xml:space="preserve">Tên</t>
  </si>
  <si>
    <t xml:space="preserve">Loại</t>
  </si>
  <si>
    <t xml:space="preserve">Mô tả</t>
  </si>
  <si>
    <t xml:space="preserve">Độ khó</t>
  </si>
  <si>
    <t xml:space="preserve">Người-ngày</t>
  </si>
  <si>
    <t xml:space="preserve">S01</t>
  </si>
  <si>
    <t xml:space="preserve">Chung</t>
  </si>
  <si>
    <t xml:space="preserve">Auth</t>
  </si>
  <si>
    <t xml:space="preserve">Đăng nhập</t>
  </si>
  <si>
    <t xml:space="preserve">Màn</t>
  </si>
  <si>
    <t xml:space="preserve">Đăng nhập quản trị (JWT).</t>
  </si>
  <si>
    <t xml:space="preserve">Dễ</t>
  </si>
  <si>
    <t xml:space="preserve">S02</t>
  </si>
  <si>
    <t xml:space="preserve">Quên / đặt lại mật khẩu</t>
  </si>
  <si>
    <t xml:space="preserve">Gửi link/OTP đặt lại mật khẩu.</t>
  </si>
  <si>
    <t xml:space="preserve">S03</t>
  </si>
  <si>
    <t xml:space="preserve">Hồ sơ cá nhân</t>
  </si>
  <si>
    <t xml:space="preserve">Xem &amp; cập nhật tài khoản.</t>
  </si>
  <si>
    <t xml:space="preserve">D01</t>
  </si>
  <si>
    <t xml:space="preserve">Dialog đổi mật khẩu</t>
  </si>
  <si>
    <t xml:space="preserve">Dialog</t>
  </si>
  <si>
    <t xml:space="preserve">Modal đổi mật khẩu trong hồ sơ.</t>
  </si>
  <si>
    <t xml:space="preserve">S04</t>
  </si>
  <si>
    <t xml:space="preserve">Layout</t>
  </si>
  <si>
    <t xml:space="preserve">Dashboard tổng quan</t>
  </si>
  <si>
    <t xml:space="preserve">KPI nhanh, shortcut, trạng thái hệ.</t>
  </si>
  <si>
    <t xml:space="preserve">TB</t>
  </si>
  <si>
    <t xml:space="preserve">S05</t>
  </si>
  <si>
    <t xml:space="preserve">Notification center</t>
  </si>
  <si>
    <t xml:space="preserve">DS thông báo, đánh dấu đã đọc.</t>
  </si>
  <si>
    <t xml:space="preserve">S06</t>
  </si>
  <si>
    <t xml:space="preserve">Admin</t>
  </si>
  <si>
    <t xml:space="preserve">Người dùng</t>
  </si>
  <si>
    <t xml:space="preserve">DS người dùng</t>
  </si>
  <si>
    <t xml:space="preserve">DS user, lọc/tìm, trạng thái.</t>
  </si>
  <si>
    <t xml:space="preserve">S07</t>
  </si>
  <si>
    <t xml:space="preserve">Form thêm/sửa người dùng</t>
  </si>
  <si>
    <t xml:space="preserve">Form tạo &amp; sửa (chung).</t>
  </si>
  <si>
    <t xml:space="preserve">S08</t>
  </si>
  <si>
    <t xml:space="preserve">Chi tiết người dùng</t>
  </si>
  <si>
    <t xml:space="preserve">Chi tiết + lịch sử hoạt động.</t>
  </si>
  <si>
    <t xml:space="preserve">D02</t>
  </si>
  <si>
    <t xml:space="preserve">Dialog xóa người dùng</t>
  </si>
  <si>
    <t xml:space="preserve">Xác nhận xóa.</t>
  </si>
  <si>
    <t xml:space="preserve">S09</t>
  </si>
  <si>
    <t xml:space="preserve">Phân quyền</t>
  </si>
  <si>
    <t xml:space="preserve">DS vai trò</t>
  </si>
  <si>
    <t xml:space="preserve">DS role.</t>
  </si>
  <si>
    <t xml:space="preserve">S10</t>
  </si>
  <si>
    <t xml:space="preserve">Form thêm/sửa vai trò</t>
  </si>
  <si>
    <t xml:space="preserve">Tạo/sửa role.</t>
  </si>
  <si>
    <t xml:space="preserve">D03</t>
  </si>
  <si>
    <t xml:space="preserve">Dialog gán quyền</t>
  </si>
  <si>
    <t xml:space="preserve">Modal chọn permission theo module.</t>
  </si>
  <si>
    <t xml:space="preserve">D04</t>
  </si>
  <si>
    <t xml:space="preserve">Dialog xóa vai trò</t>
  </si>
  <si>
    <t xml:space="preserve">Xác nhận xóa role.</t>
  </si>
  <si>
    <t xml:space="preserve">S11</t>
  </si>
  <si>
    <t xml:space="preserve">Cấu hình LLM</t>
  </si>
  <si>
    <t xml:space="preserve">DS cấu hình LLM / API key</t>
  </si>
  <si>
    <t xml:space="preserve">DS provider/model/key.</t>
  </si>
  <si>
    <t xml:space="preserve">S12</t>
  </si>
  <si>
    <t xml:space="preserve">Form thêm/sửa cấu hình LLM</t>
  </si>
  <si>
    <t xml:space="preserve">Provider, model, key, tham số.</t>
  </si>
  <si>
    <t xml:space="preserve">S13</t>
  </si>
  <si>
    <t xml:space="preserve">Chi tiết LLM + log token</t>
  </si>
  <si>
    <t xml:space="preserve">Chi tiết, log dùng token.</t>
  </si>
  <si>
    <t xml:space="preserve">D05</t>
  </si>
  <si>
    <t xml:space="preserve">Dialog test prompt</t>
  </si>
  <si>
    <t xml:space="preserve">Modal chạy thử prompt với model.</t>
  </si>
  <si>
    <t xml:space="preserve">D06</t>
  </si>
  <si>
    <t xml:space="preserve">Dialog xóa cấu hình</t>
  </si>
  <si>
    <t xml:space="preserve">S14</t>
  </si>
  <si>
    <t xml:space="preserve">Kênh Pancake</t>
  </si>
  <si>
    <t xml:space="preserve">DS kết nối kênh</t>
  </si>
  <si>
    <t xml:space="preserve">Kênh đã kết nối qua Pancake.</t>
  </si>
  <si>
    <t xml:space="preserve">S15</t>
  </si>
  <si>
    <t xml:space="preserve">Form cấu hình kết nối Pancake</t>
  </si>
  <si>
    <t xml:space="preserve">API key, chọn page/kênh, webhook.</t>
  </si>
  <si>
    <t xml:space="preserve">Khó</t>
  </si>
  <si>
    <t xml:space="preserve">S16</t>
  </si>
  <si>
    <t xml:space="preserve">Chi tiết kênh + trạng thái webhook</t>
  </si>
  <si>
    <t xml:space="preserve">Trạng thái, log webhook.</t>
  </si>
  <si>
    <t xml:space="preserve">D07</t>
  </si>
  <si>
    <t xml:space="preserve">Dialog gửi tin thử</t>
  </si>
  <si>
    <t xml:space="preserve">Modal gửi tin test qua kênh.</t>
  </si>
  <si>
    <t xml:space="preserve">D08</t>
  </si>
  <si>
    <t xml:space="preserve">Dialog ngắt kết nối kênh</t>
  </si>
  <si>
    <t xml:space="preserve">Xác nhận ngắt.</t>
  </si>
  <si>
    <t xml:space="preserve">S17</t>
  </si>
  <si>
    <t xml:space="preserve">Vận hành</t>
  </si>
  <si>
    <t xml:space="preserve">Hội thoại</t>
  </si>
  <si>
    <t xml:space="preserve">Inbox hội thoại đa kênh</t>
  </si>
  <si>
    <t xml:space="preserve">DS hội thoại mọi kênh, lọc.</t>
  </si>
  <si>
    <t xml:space="preserve">S18</t>
  </si>
  <si>
    <t xml:space="preserve">Chi tiết hội thoại + chat realtime</t>
  </si>
  <si>
    <t xml:space="preserve">Chat, lịch sử, gợi ý trả lời.</t>
  </si>
  <si>
    <t xml:space="preserve">S19</t>
  </si>
  <si>
    <t xml:space="preserve">Hàng chờ duyệt câu trả lời AI</t>
  </si>
  <si>
    <t xml:space="preserve">Human-in-the-loop duyệt/sửa.</t>
  </si>
  <si>
    <t xml:space="preserve">S20</t>
  </si>
  <si>
    <t xml:space="preserve">Cấu hình auto-chat</t>
  </si>
  <si>
    <t xml:space="preserve">Bật/tắt auto-reply, ngưỡng, fallback.</t>
  </si>
  <si>
    <t xml:space="preserve">D09</t>
  </si>
  <si>
    <t xml:space="preserve">Dialog gán hội thoại cho người</t>
  </si>
  <si>
    <t xml:space="preserve">Chuyển hội thoại sang nhân viên.</t>
  </si>
  <si>
    <t xml:space="preserve">D10</t>
  </si>
  <si>
    <t xml:space="preserve">Dialog sửa câu trả lời AI</t>
  </si>
  <si>
    <t xml:space="preserve">Modal chỉnh trước khi gửi.</t>
  </si>
  <si>
    <t xml:space="preserve">S21</t>
  </si>
  <si>
    <t xml:space="preserve">Agent</t>
  </si>
  <si>
    <t xml:space="preserve">DS agent</t>
  </si>
  <si>
    <t xml:space="preserve">DS agent, bật/tắt.</t>
  </si>
  <si>
    <t xml:space="preserve">S22</t>
  </si>
  <si>
    <t xml:space="preserve">Form thêm/sửa agent</t>
  </si>
  <si>
    <t xml:space="preserve">Vai trò, prompt, tool, model.</t>
  </si>
  <si>
    <t xml:space="preserve">S23</t>
  </si>
  <si>
    <t xml:space="preserve">Chi tiết agent + lịch sử chạy</t>
  </si>
  <si>
    <t xml:space="preserve">Thông tin, các lần chạy, lỗi.</t>
  </si>
  <si>
    <t xml:space="preserve">D11</t>
  </si>
  <si>
    <t xml:space="preserve">Dialog xóa/tắt agent</t>
  </si>
  <si>
    <t xml:space="preserve">Xác nhận.</t>
  </si>
  <si>
    <t xml:space="preserve">S24</t>
  </si>
  <si>
    <t xml:space="preserve">Orchestrator</t>
  </si>
  <si>
    <t xml:space="preserve">Plan board hằng ngày</t>
  </si>
  <si>
    <t xml:space="preserve">Plan tự sinh: task, agent, tiến độ.</t>
  </si>
  <si>
    <t xml:space="preserve">S25</t>
  </si>
  <si>
    <t xml:space="preserve">Chi tiết phiên điều phối (trace)</t>
  </si>
  <si>
    <t xml:space="preserve">Trace plan→dispatch→observe→replan.</t>
  </si>
  <si>
    <t xml:space="preserve">S26</t>
  </si>
  <si>
    <t xml:space="preserve">Cấu hình orchestrator</t>
  </si>
  <si>
    <t xml:space="preserve">Lịch chạy, mục tiêu, ngân sách token.</t>
  </si>
  <si>
    <t xml:space="preserve">D12</t>
  </si>
  <si>
    <t xml:space="preserve">Dialog chạy plan thủ công</t>
  </si>
  <si>
    <t xml:space="preserve">Trigger orchestrate ngay.</t>
  </si>
  <si>
    <t xml:space="preserve">S27</t>
  </si>
  <si>
    <t xml:space="preserve">Content</t>
  </si>
  <si>
    <t xml:space="preserve">DS nội dung / bài viết</t>
  </si>
  <si>
    <t xml:space="preserve">Bài AI/người, trạng thái.</t>
  </si>
  <si>
    <t xml:space="preserve">S28</t>
  </si>
  <si>
    <t xml:space="preserve">Soạn/sửa nội dung</t>
  </si>
  <si>
    <t xml:space="preserve">Editor, brief, gọi Agent-Content.</t>
  </si>
  <si>
    <t xml:space="preserve">S29</t>
  </si>
  <si>
    <t xml:space="preserve">Chi tiết &amp; lịch đăng</t>
  </si>
  <si>
    <t xml:space="preserve">Xem bài, lên lịch/đăng.</t>
  </si>
  <si>
    <t xml:space="preserve">D13</t>
  </si>
  <si>
    <t xml:space="preserve">Dialog lên lịch đăng</t>
  </si>
  <si>
    <t xml:space="preserve">Chọn kênh + thời gian đăng.</t>
  </si>
  <si>
    <t xml:space="preserve">D14</t>
  </si>
  <si>
    <t xml:space="preserve">Dialog xóa nội dung</t>
  </si>
  <si>
    <t xml:space="preserve">S30</t>
  </si>
  <si>
    <t xml:space="preserve">Lead</t>
  </si>
  <si>
    <t xml:space="preserve">DS lead</t>
  </si>
  <si>
    <t xml:space="preserve">DS lead, điểm, nguồn, lọc.</t>
  </si>
  <si>
    <t xml:space="preserve">S31</t>
  </si>
  <si>
    <t xml:space="preserve">Chi tiết lead + lịch sử</t>
  </si>
  <si>
    <t xml:space="preserve">Hồ sơ, hội thoại, scoring + lý do.</t>
  </si>
  <si>
    <t xml:space="preserve">S32</t>
  </si>
  <si>
    <t xml:space="preserve">Cấu hình tiêu chí scoring</t>
  </si>
  <si>
    <t xml:space="preserve">Trọng số/tiêu chí cho Agent-Lead.</t>
  </si>
  <si>
    <t xml:space="preserve">D15</t>
  </si>
  <si>
    <t xml:space="preserve">Dialog gán lead cho sale</t>
  </si>
  <si>
    <t xml:space="preserve">Phân công lead.</t>
  </si>
  <si>
    <t xml:space="preserve">S33</t>
  </si>
  <si>
    <t xml:space="preserve">Knowledge</t>
  </si>
  <si>
    <t xml:space="preserve">DS tài liệu KB</t>
  </si>
  <si>
    <t xml:space="preserve">Tài liệu upload, trạng thái embed.</t>
  </si>
  <si>
    <t xml:space="preserve">S34</t>
  </si>
  <si>
    <t xml:space="preserve">Upload / quản lý tài liệu</t>
  </si>
  <si>
    <t xml:space="preserve">Upload, gắn nhãn, re-embed.</t>
  </si>
  <si>
    <t xml:space="preserve">S35</t>
  </si>
  <si>
    <t xml:space="preserve">Chi tiết tài liệu + chunks</t>
  </si>
  <si>
    <t xml:space="preserve">Nội dung trích, chunk, nguồn.</t>
  </si>
  <si>
    <t xml:space="preserve">S36</t>
  </si>
  <si>
    <t xml:space="preserve">DS Q&amp;A / kịch bản mẫu</t>
  </si>
  <si>
    <t xml:space="preserve">DS câu trả lời mẫu seed.</t>
  </si>
  <si>
    <t xml:space="preserve">S37</t>
  </si>
  <si>
    <t xml:space="preserve">Form thêm/sửa Q&amp;A</t>
  </si>
  <si>
    <t xml:space="preserve">Tạo/sửa Q&amp;A mẫu.</t>
  </si>
  <si>
    <t xml:space="preserve">D16</t>
  </si>
  <si>
    <t xml:space="preserve">Dialog xóa tài liệu</t>
  </si>
  <si>
    <t xml:space="preserve">Xác nhận xóa + cảnh báo re-embed.</t>
  </si>
  <si>
    <t xml:space="preserve">S38</t>
  </si>
  <si>
    <t xml:space="preserve">Báo cáo</t>
  </si>
  <si>
    <t xml:space="preserve">Báo cáo hội thoại</t>
  </si>
  <si>
    <t xml:space="preserve">Số hội thoại, tỉ lệ tự động, thời gian.</t>
  </si>
  <si>
    <t xml:space="preserve">S39</t>
  </si>
  <si>
    <t xml:space="preserve">Báo cáo hiệu suất agent</t>
  </si>
  <si>
    <t xml:space="preserve">Task done, chính xác RAG, can thiệp.</t>
  </si>
  <si>
    <t xml:space="preserve">S40</t>
  </si>
  <si>
    <t xml:space="preserve">Báo cáo lead &amp; chuyển đổi</t>
  </si>
  <si>
    <t xml:space="preserve">Lead mới, phân bố điểm, chuyển đổi.</t>
  </si>
  <si>
    <t xml:space="preserve">S41</t>
  </si>
  <si>
    <t xml:space="preserve">Giám sát</t>
  </si>
  <si>
    <t xml:space="preserve">Giám sát hệ thống / log</t>
  </si>
  <si>
    <t xml:space="preserve">Dịch vụ, hàng đợi, lỗi, token/chi phí.</t>
  </si>
  <si>
    <t xml:space="preserve">S42</t>
  </si>
  <si>
    <t xml:space="preserve">Cấu hình hệ thống chung</t>
  </si>
  <si>
    <t xml:space="preserve">Ngưỡng, timeout, thông báo, môi trường.</t>
  </si>
  <si>
    <t xml:space="preserve">D17</t>
  </si>
  <si>
    <t xml:space="preserve">Dialog export báo cáo</t>
  </si>
  <si>
    <t xml:space="preserve">Chọn định dạng/khoảng thời gian xuất.</t>
  </si>
  <si>
    <t xml:space="preserve">S43</t>
  </si>
  <si>
    <t xml:space="preserve">Khách</t>
  </si>
  <si>
    <t xml:space="preserve">Widget</t>
  </si>
  <si>
    <t xml:space="preserve">Web chat widget</t>
  </si>
  <si>
    <t xml:space="preserve">Khung chat nhúng cho khách.</t>
  </si>
  <si>
    <t xml:space="preserve">S44</t>
  </si>
  <si>
    <t xml:space="preserve">Trang FAQ / trạng thái public</t>
  </si>
  <si>
    <t xml:space="preserve">FAQ tĩnh / trạng thái dịch vụ.</t>
  </si>
  <si>
    <t xml:space="preserve">TỔNG</t>
  </si>
  <si>
    <t xml:space="preserve">• Số màn hình</t>
  </si>
  <si>
    <t xml:space="preserve">• Số dialog</t>
  </si>
  <si>
    <t xml:space="preserve">Yêu cầu</t>
  </si>
  <si>
    <t xml:space="preserve">Mô tả / Tiêu chí</t>
  </si>
  <si>
    <t xml:space="preserve">N01</t>
  </si>
  <si>
    <t xml:space="preserve">Hiệu năng</t>
  </si>
  <si>
    <t xml:space="preserve">Latency phản hồi</t>
  </si>
  <si>
    <t xml:space="preserve">p95 first-token &lt;2s, trọn câu &lt;8s; streaming.</t>
  </si>
  <si>
    <t xml:space="preserve">N02</t>
  </si>
  <si>
    <t xml:space="preserve">Throughput</t>
  </si>
  <si>
    <t xml:space="preserve">~vài trăm phiên đồng thời; việc nặng qua queue.</t>
  </si>
  <si>
    <t xml:space="preserve">N03</t>
  </si>
  <si>
    <t xml:space="preserve">Context caching LLM</t>
  </si>
  <si>
    <t xml:space="preserve">Giảm chi phí + latency cho RAG lặp context.</t>
  </si>
  <si>
    <t xml:space="preserve">N04</t>
  </si>
  <si>
    <t xml:space="preserve">Độ tin cậy</t>
  </si>
  <si>
    <t xml:space="preserve">Chịu lỗi external call</t>
  </si>
  <si>
    <t xml:space="preserve">Polly retry/timeout/circuit breaker.</t>
  </si>
  <si>
    <t xml:space="preserve">N05</t>
  </si>
  <si>
    <t xml:space="preserve">Graceful degradation</t>
  </si>
  <si>
    <t xml:space="preserve">1 agent lỗi không sập hệ; fallback sang người.</t>
  </si>
  <si>
    <t xml:space="preserve">N06</t>
  </si>
  <si>
    <t xml:space="preserve">Health check + auto-restart</t>
  </si>
  <si>
    <t xml:space="preserve">Recovery &lt;10s.</t>
  </si>
  <si>
    <t xml:space="preserve">N07</t>
  </si>
  <si>
    <t xml:space="preserve">Hàng đợi &amp; retry</t>
  </si>
  <si>
    <t xml:space="preserve">RabbitMQ tách việc nặng, retry, DLQ tùy chọn.</t>
  </si>
  <si>
    <t xml:space="preserve">N08</t>
  </si>
  <si>
    <t xml:space="preserve">Bảo mật</t>
  </si>
  <si>
    <t xml:space="preserve">Xác thực &amp; phân quyền</t>
  </si>
  <si>
    <t xml:space="preserve">JWT + RBAC theo vai trò/module.</t>
  </si>
  <si>
    <t xml:space="preserve">N09</t>
  </si>
  <si>
    <t xml:space="preserve">Quản lý secret</t>
  </si>
  <si>
    <t xml:space="preserve">API key mã hóa, không lộ client.</t>
  </si>
  <si>
    <t xml:space="preserve">N10</t>
  </si>
  <si>
    <t xml:space="preserve">Xác thực webhook</t>
  </si>
  <si>
    <t xml:space="preserve">Verify chữ ký webhook Pancake.</t>
  </si>
  <si>
    <t xml:space="preserve">N11</t>
  </si>
  <si>
    <t xml:space="preserve">Audit log</t>
  </si>
  <si>
    <t xml:space="preserve">Ghi vết thao tác quản trị.</t>
  </si>
  <si>
    <t xml:space="preserve">N12</t>
  </si>
  <si>
    <t xml:space="preserve">Dữ liệu</t>
  </si>
  <si>
    <t xml:space="preserve">Sao lưu &amp; phục hồi</t>
  </si>
  <si>
    <t xml:space="preserve">Backup DB hằng ngày; file gốc bền.</t>
  </si>
  <si>
    <t xml:space="preserve">N13</t>
  </si>
  <si>
    <t xml:space="preserve">Riêng tư dữ liệu</t>
  </si>
  <si>
    <t xml:space="preserve">Xử lý dữ liệu khách; cô lập tổ chức.</t>
  </si>
  <si>
    <t xml:space="preserve">N14</t>
  </si>
  <si>
    <t xml:space="preserve">Khả mở rộng</t>
  </si>
  <si>
    <t xml:space="preserve">Stateless / horizontal-ready</t>
  </si>
  <si>
    <t xml:space="preserve">State ở Redis/DB → scale ngang.</t>
  </si>
  <si>
    <t xml:space="preserve">N15</t>
  </si>
  <si>
    <t xml:space="preserve">Logging tập trung</t>
  </si>
  <si>
    <t xml:space="preserve">Serilog; truy vết theo request/phiên.</t>
  </si>
  <si>
    <t xml:space="preserve">N16</t>
  </si>
  <si>
    <t xml:space="preserve">Giám sát &amp; cảnh báo</t>
  </si>
  <si>
    <t xml:space="preserve">Metrics + cảnh báo lỗi/đầy queue.</t>
  </si>
  <si>
    <t xml:space="preserve">N17</t>
  </si>
  <si>
    <t xml:space="preserve">Khả dụng</t>
  </si>
  <si>
    <t xml:space="preserve">Đa ngôn ngữ / UX</t>
  </si>
  <si>
    <t xml:space="preserve">UI tiếng Việt, responsive, lỗi rõ ràng.</t>
  </si>
  <si>
    <t xml:space="preserve">N18</t>
  </si>
  <si>
    <t xml:space="preserve">Tương thích</t>
  </si>
  <si>
    <t xml:space="preserve">Adapter kênh</t>
  </si>
  <si>
    <t xml:space="preserve">Đổi/thêm kênh không sửa lõi.</t>
  </si>
  <si>
    <t xml:space="preserve">Hạng mục</t>
  </si>
  <si>
    <t xml:space="preserve">O01</t>
  </si>
  <si>
    <t xml:space="preserve">Tài liệu</t>
  </si>
  <si>
    <t xml:space="preserve">Đặc tả yêu cầu (SRS)</t>
  </si>
  <si>
    <t xml:space="preserve">FR + NFR, use case.</t>
  </si>
  <si>
    <t xml:space="preserve">O02</t>
  </si>
  <si>
    <t xml:space="preserve">Thiết kế (SDD)</t>
  </si>
  <si>
    <t xml:space="preserve">Kiến trúc, sơ đồ, DB, API spec.</t>
  </si>
  <si>
    <t xml:space="preserve">O03</t>
  </si>
  <si>
    <t xml:space="preserve">Hướng dẫn sử dụng</t>
  </si>
  <si>
    <t xml:space="preserve">Cho người dùng cuối.</t>
  </si>
  <si>
    <t xml:space="preserve">O04</t>
  </si>
  <si>
    <t xml:space="preserve">Triển khai / vận hành</t>
  </si>
  <si>
    <t xml:space="preserve">Cài đặt, deploy, runbook.</t>
  </si>
  <si>
    <t xml:space="preserve">O05</t>
  </si>
  <si>
    <t xml:space="preserve">Kiểm thử</t>
  </si>
  <si>
    <t xml:space="preserve">Unit test</t>
  </si>
  <si>
    <t xml:space="preserve">Lõi: orchestrator, adapter, RAG.</t>
  </si>
  <si>
    <t xml:space="preserve">O06</t>
  </si>
  <si>
    <t xml:space="preserve">Integration test</t>
  </si>
  <si>
    <t xml:space="preserve">Luồng end-to-end.</t>
  </si>
  <si>
    <t xml:space="preserve">O07</t>
  </si>
  <si>
    <t xml:space="preserve">Test API</t>
  </si>
  <si>
    <t xml:space="preserve">Bộ test REST API.</t>
  </si>
  <si>
    <t xml:space="preserve">O08</t>
  </si>
  <si>
    <t xml:space="preserve">Kiểm thử tải nhẹ</t>
  </si>
  <si>
    <t xml:space="preserve">Xác minh NFR throughput/latency.</t>
  </si>
  <si>
    <t xml:space="preserve">O09</t>
  </si>
  <si>
    <t xml:space="preserve">UAT &amp; sửa lỗi</t>
  </si>
  <si>
    <t xml:space="preserve">Nghiệm thu + vòng fix bug.</t>
  </si>
  <si>
    <t xml:space="preserve">O10</t>
  </si>
  <si>
    <t xml:space="preserve">Quản lý</t>
  </si>
  <si>
    <t xml:space="preserve">Thiết kế UI/UX</t>
  </si>
  <si>
    <t xml:space="preserve">Wireframe→mockup cho toàn bộ màn + dialog.</t>
  </si>
  <si>
    <t xml:space="preserve">O11</t>
  </si>
  <si>
    <t xml:space="preserve">Quản lý dự án &amp; họp</t>
  </si>
  <si>
    <t xml:space="preserve">Điều phối, review, báo cáo.</t>
  </si>
  <si>
    <t xml:space="preserve">TỔNG HỢP KHỐI LƯỢNG — ClawBot (đầy đủ)</t>
  </si>
  <si>
    <t xml:space="preserve">Số lượng</t>
  </si>
  <si>
    <t xml:space="preserve">Màn hình + Dialog</t>
  </si>
  <si>
    <t xml:space="preserve">Phi chức năng (NFR)</t>
  </si>
  <si>
    <t xml:space="preserve">Docs / Test / Quản lý</t>
  </si>
  <si>
    <t xml:space="preserve">TỔNG CỘNG</t>
  </si>
  <si>
    <t xml:space="preserve">Chi tiết UI</t>
  </si>
  <si>
    <t xml:space="preserve">Số màn hình (full page)</t>
  </si>
  <si>
    <t xml:space="preserve">Số dialog / popup</t>
  </si>
  <si>
    <t xml:space="preserve">QUY ĐỔI LỊCH (toàn bộ)</t>
  </si>
  <si>
    <t xml:space="preserve">Người-ngày = 1 người làm 1 ngày. Nhiều người có hệ số phối hợp.</t>
  </si>
  <si>
    <t xml:space="preserve">Quy mô đội</t>
  </si>
  <si>
    <t xml:space="preserve">Hiệu suất/tuần</t>
  </si>
  <si>
    <t xml:space="preserve">Số tuần</t>
  </si>
  <si>
    <t xml:space="preserve">Ghi chú</t>
  </si>
  <si>
    <t xml:space="preserve">2 người</t>
  </si>
  <si>
    <t xml:space="preserve">Toàn thời gian</t>
  </si>
  <si>
    <t xml:space="preserve">3 người</t>
  </si>
  <si>
    <t xml:space="preserve">Hệ số ~0.8</t>
  </si>
  <si>
    <t xml:space="preserve">5 người</t>
  </si>
  <si>
    <t xml:space="preserve">Hệ số ~0.7</t>
  </si>
  <si>
    <t xml:space="preserve">GHI CHÚ</t>
  </si>
  <si>
    <t xml:space="preserve">• CRUD = 3 màn (List + Form Add/Edit chung + Detail); Delete &amp; modal nhỏ tính là Dialog riêng.</t>
  </si>
  <si>
    <t xml:space="preserve">• Dialog ước lượng thấp (0.3–1.5 ngày) vì tái dùng component; vẫn đếm vào tổng số mục UI.</t>
  </si>
  <si>
    <t xml:space="preserve">• Người-ngày của UI gồm code FE+BE, CHƯA gồm thiết kế UI/UX (tách O10).</t>
  </si>
  <si>
    <t xml:space="preserve">• Mục 'Khó' (orchestrator, inbox, plan board) dễ vượt 1.5–2x — làm prototype sớm.</t>
  </si>
  <si>
    <t xml:space="preserve">• Tổng CHƯA nhân buffer rủi ro; khuyến nghị +20–30% cho dự án lần đầu làm multi-agent.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</si>
</sst>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CCFFFF"/>
      </patternFill>
    </fill>
    <fill>
      <patternFill patternType="solid">
        <fgColor rgb="FFC6EFCE"/>
        <bgColor rgb="FFDDEBF7"/>
      </patternFill>
    </fill>
    <fill>
      <patternFill patternType="solid">
        <fgColor rgb="FFFCE4D6"/>
        <bgColor rgb="FFFFEB9C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404040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42"/>
    <col collapsed="false" customWidth="true" hidden="false" outlineLevel="0" max="7" min="7" style="0" width="8"/>
    <col collapsed="false" customWidth="true" hidden="false" outlineLevel="0" max="8" min="8" style="0" width="1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5" t="s">
        <v>14</v>
      </c>
      <c r="H2" s="2" t="n">
        <v>1</v>
      </c>
    </row>
    <row r="3" customFormat="false" ht="15" hidden="false" customHeight="false" outlineLevel="0" collapsed="false">
      <c r="A3" s="2" t="s">
        <v>15</v>
      </c>
      <c r="B3" s="3" t="s">
        <v>9</v>
      </c>
      <c r="C3" s="3" t="s">
        <v>10</v>
      </c>
      <c r="D3" s="3" t="s">
        <v>16</v>
      </c>
      <c r="E3" s="4" t="s">
        <v>12</v>
      </c>
      <c r="F3" s="3" t="s">
        <v>17</v>
      </c>
      <c r="G3" s="5" t="s">
        <v>14</v>
      </c>
      <c r="H3" s="2" t="n">
        <v>1</v>
      </c>
    </row>
    <row r="4" customFormat="false" ht="15" hidden="false" customHeight="false" outlineLevel="0" collapsed="false">
      <c r="A4" s="2" t="s">
        <v>18</v>
      </c>
      <c r="B4" s="3" t="s">
        <v>9</v>
      </c>
      <c r="C4" s="3" t="s">
        <v>10</v>
      </c>
      <c r="D4" s="3" t="s">
        <v>19</v>
      </c>
      <c r="E4" s="4" t="s">
        <v>12</v>
      </c>
      <c r="F4" s="3" t="s">
        <v>20</v>
      </c>
      <c r="G4" s="5" t="s">
        <v>14</v>
      </c>
      <c r="H4" s="2" t="n">
        <v>1</v>
      </c>
    </row>
    <row r="5" customFormat="false" ht="15" hidden="false" customHeight="false" outlineLevel="0" collapsed="false">
      <c r="A5" s="2" t="s">
        <v>21</v>
      </c>
      <c r="B5" s="3" t="s">
        <v>9</v>
      </c>
      <c r="C5" s="3" t="s">
        <v>10</v>
      </c>
      <c r="D5" s="3" t="s">
        <v>22</v>
      </c>
      <c r="E5" s="6" t="s">
        <v>23</v>
      </c>
      <c r="F5" s="3" t="s">
        <v>24</v>
      </c>
      <c r="G5" s="5" t="s">
        <v>14</v>
      </c>
      <c r="H5" s="2" t="n">
        <v>0.5</v>
      </c>
    </row>
    <row r="6" customFormat="false" ht="15" hidden="false" customHeight="false" outlineLevel="0" collapsed="false">
      <c r="A6" s="2" t="s">
        <v>25</v>
      </c>
      <c r="B6" s="3" t="s">
        <v>9</v>
      </c>
      <c r="C6" s="3" t="s">
        <v>26</v>
      </c>
      <c r="D6" s="3" t="s">
        <v>27</v>
      </c>
      <c r="E6" s="4" t="s">
        <v>12</v>
      </c>
      <c r="F6" s="3" t="s">
        <v>28</v>
      </c>
      <c r="G6" s="7" t="s">
        <v>29</v>
      </c>
      <c r="H6" s="2" t="n">
        <v>2.5</v>
      </c>
    </row>
    <row r="7" customFormat="false" ht="15" hidden="false" customHeight="false" outlineLevel="0" collapsed="false">
      <c r="A7" s="2" t="s">
        <v>30</v>
      </c>
      <c r="B7" s="3" t="s">
        <v>9</v>
      </c>
      <c r="C7" s="3" t="s">
        <v>26</v>
      </c>
      <c r="D7" s="3" t="s">
        <v>31</v>
      </c>
      <c r="E7" s="4" t="s">
        <v>12</v>
      </c>
      <c r="F7" s="3" t="s">
        <v>32</v>
      </c>
      <c r="G7" s="5" t="s">
        <v>14</v>
      </c>
      <c r="H7" s="2" t="n">
        <v>1.5</v>
      </c>
    </row>
    <row r="8" customFormat="false" ht="15" hidden="false" customHeight="false" outlineLevel="0" collapsed="false">
      <c r="A8" s="2" t="s">
        <v>33</v>
      </c>
      <c r="B8" s="3" t="s">
        <v>34</v>
      </c>
      <c r="C8" s="3" t="s">
        <v>35</v>
      </c>
      <c r="D8" s="3" t="s">
        <v>36</v>
      </c>
      <c r="E8" s="4" t="s">
        <v>12</v>
      </c>
      <c r="F8" s="3" t="s">
        <v>37</v>
      </c>
      <c r="G8" s="5" t="s">
        <v>14</v>
      </c>
      <c r="H8" s="2" t="n">
        <v>1.5</v>
      </c>
    </row>
    <row r="9" customFormat="false" ht="15" hidden="false" customHeight="false" outlineLevel="0" collapsed="false">
      <c r="A9" s="2" t="s">
        <v>38</v>
      </c>
      <c r="B9" s="3" t="s">
        <v>34</v>
      </c>
      <c r="C9" s="3" t="s">
        <v>35</v>
      </c>
      <c r="D9" s="3" t="s">
        <v>39</v>
      </c>
      <c r="E9" s="4" t="s">
        <v>12</v>
      </c>
      <c r="F9" s="3" t="s">
        <v>40</v>
      </c>
      <c r="G9" s="5" t="s">
        <v>14</v>
      </c>
      <c r="H9" s="2" t="n">
        <v>1.5</v>
      </c>
    </row>
    <row r="10" customFormat="false" ht="15" hidden="false" customHeight="false" outlineLevel="0" collapsed="false">
      <c r="A10" s="2" t="s">
        <v>41</v>
      </c>
      <c r="B10" s="3" t="s">
        <v>34</v>
      </c>
      <c r="C10" s="3" t="s">
        <v>35</v>
      </c>
      <c r="D10" s="3" t="s">
        <v>42</v>
      </c>
      <c r="E10" s="4" t="s">
        <v>12</v>
      </c>
      <c r="F10" s="3" t="s">
        <v>43</v>
      </c>
      <c r="G10" s="5" t="s">
        <v>14</v>
      </c>
      <c r="H10" s="2" t="n">
        <v>1</v>
      </c>
    </row>
    <row r="11" customFormat="false" ht="15" hidden="false" customHeight="false" outlineLevel="0" collapsed="false">
      <c r="A11" s="2" t="s">
        <v>44</v>
      </c>
      <c r="B11" s="3" t="s">
        <v>34</v>
      </c>
      <c r="C11" s="3" t="s">
        <v>35</v>
      </c>
      <c r="D11" s="3" t="s">
        <v>45</v>
      </c>
      <c r="E11" s="6" t="s">
        <v>23</v>
      </c>
      <c r="F11" s="3" t="s">
        <v>46</v>
      </c>
      <c r="G11" s="5" t="s">
        <v>14</v>
      </c>
      <c r="H11" s="2" t="n">
        <v>0.3</v>
      </c>
    </row>
    <row r="12" customFormat="false" ht="15" hidden="false" customHeight="false" outlineLevel="0" collapsed="false">
      <c r="A12" s="2" t="s">
        <v>47</v>
      </c>
      <c r="B12" s="3" t="s">
        <v>34</v>
      </c>
      <c r="C12" s="3" t="s">
        <v>48</v>
      </c>
      <c r="D12" s="3" t="s">
        <v>49</v>
      </c>
      <c r="E12" s="4" t="s">
        <v>12</v>
      </c>
      <c r="F12" s="3" t="s">
        <v>50</v>
      </c>
      <c r="G12" s="5" t="s">
        <v>14</v>
      </c>
      <c r="H12" s="2" t="n">
        <v>1</v>
      </c>
    </row>
    <row r="13" customFormat="false" ht="15" hidden="false" customHeight="false" outlineLevel="0" collapsed="false">
      <c r="A13" s="2" t="s">
        <v>51</v>
      </c>
      <c r="B13" s="3" t="s">
        <v>34</v>
      </c>
      <c r="C13" s="3" t="s">
        <v>48</v>
      </c>
      <c r="D13" s="3" t="s">
        <v>52</v>
      </c>
      <c r="E13" s="4" t="s">
        <v>12</v>
      </c>
      <c r="F13" s="3" t="s">
        <v>53</v>
      </c>
      <c r="G13" s="7" t="s">
        <v>29</v>
      </c>
      <c r="H13" s="2" t="n">
        <v>2</v>
      </c>
    </row>
    <row r="14" customFormat="false" ht="15" hidden="false" customHeight="false" outlineLevel="0" collapsed="false">
      <c r="A14" s="2" t="s">
        <v>54</v>
      </c>
      <c r="B14" s="3" t="s">
        <v>34</v>
      </c>
      <c r="C14" s="3" t="s">
        <v>48</v>
      </c>
      <c r="D14" s="3" t="s">
        <v>55</v>
      </c>
      <c r="E14" s="6" t="s">
        <v>23</v>
      </c>
      <c r="F14" s="3" t="s">
        <v>56</v>
      </c>
      <c r="G14" s="7" t="s">
        <v>29</v>
      </c>
      <c r="H14" s="2" t="n">
        <v>1.5</v>
      </c>
    </row>
    <row r="15" customFormat="false" ht="15" hidden="false" customHeight="false" outlineLevel="0" collapsed="false">
      <c r="A15" s="2" t="s">
        <v>57</v>
      </c>
      <c r="B15" s="3" t="s">
        <v>34</v>
      </c>
      <c r="C15" s="3" t="s">
        <v>48</v>
      </c>
      <c r="D15" s="3" t="s">
        <v>58</v>
      </c>
      <c r="E15" s="6" t="s">
        <v>23</v>
      </c>
      <c r="F15" s="3" t="s">
        <v>59</v>
      </c>
      <c r="G15" s="5" t="s">
        <v>14</v>
      </c>
      <c r="H15" s="2" t="n">
        <v>0.3</v>
      </c>
    </row>
    <row r="16" customFormat="false" ht="15" hidden="false" customHeight="false" outlineLevel="0" collapsed="false">
      <c r="A16" s="2" t="s">
        <v>60</v>
      </c>
      <c r="B16" s="3" t="s">
        <v>34</v>
      </c>
      <c r="C16" s="3" t="s">
        <v>61</v>
      </c>
      <c r="D16" s="3" t="s">
        <v>62</v>
      </c>
      <c r="E16" s="4" t="s">
        <v>12</v>
      </c>
      <c r="F16" s="3" t="s">
        <v>63</v>
      </c>
      <c r="G16" s="5" t="s">
        <v>14</v>
      </c>
      <c r="H16" s="2" t="n">
        <v>1.5</v>
      </c>
    </row>
    <row r="17" customFormat="false" ht="15" hidden="false" customHeight="false" outlineLevel="0" collapsed="false">
      <c r="A17" s="2" t="s">
        <v>64</v>
      </c>
      <c r="B17" s="3" t="s">
        <v>34</v>
      </c>
      <c r="C17" s="3" t="s">
        <v>61</v>
      </c>
      <c r="D17" s="3" t="s">
        <v>65</v>
      </c>
      <c r="E17" s="4" t="s">
        <v>12</v>
      </c>
      <c r="F17" s="3" t="s">
        <v>66</v>
      </c>
      <c r="G17" s="7" t="s">
        <v>29</v>
      </c>
      <c r="H17" s="2" t="n">
        <v>2</v>
      </c>
    </row>
    <row r="18" customFormat="false" ht="15" hidden="false" customHeight="false" outlineLevel="0" collapsed="false">
      <c r="A18" s="2" t="s">
        <v>67</v>
      </c>
      <c r="B18" s="3" t="s">
        <v>34</v>
      </c>
      <c r="C18" s="3" t="s">
        <v>61</v>
      </c>
      <c r="D18" s="3" t="s">
        <v>68</v>
      </c>
      <c r="E18" s="4" t="s">
        <v>12</v>
      </c>
      <c r="F18" s="3" t="s">
        <v>69</v>
      </c>
      <c r="G18" s="7" t="s">
        <v>29</v>
      </c>
      <c r="H18" s="2" t="n">
        <v>1.5</v>
      </c>
    </row>
    <row r="19" customFormat="false" ht="15" hidden="false" customHeight="false" outlineLevel="0" collapsed="false">
      <c r="A19" s="2" t="s">
        <v>70</v>
      </c>
      <c r="B19" s="3" t="s">
        <v>34</v>
      </c>
      <c r="C19" s="3" t="s">
        <v>61</v>
      </c>
      <c r="D19" s="3" t="s">
        <v>71</v>
      </c>
      <c r="E19" s="6" t="s">
        <v>23</v>
      </c>
      <c r="F19" s="3" t="s">
        <v>72</v>
      </c>
      <c r="G19" s="7" t="s">
        <v>29</v>
      </c>
      <c r="H19" s="2" t="n">
        <v>1.5</v>
      </c>
    </row>
    <row r="20" customFormat="false" ht="15" hidden="false" customHeight="false" outlineLevel="0" collapsed="false">
      <c r="A20" s="2" t="s">
        <v>73</v>
      </c>
      <c r="B20" s="3" t="s">
        <v>34</v>
      </c>
      <c r="C20" s="3" t="s">
        <v>61</v>
      </c>
      <c r="D20" s="3" t="s">
        <v>74</v>
      </c>
      <c r="E20" s="6" t="s">
        <v>23</v>
      </c>
      <c r="F20" s="3" t="s">
        <v>46</v>
      </c>
      <c r="G20" s="5" t="s">
        <v>14</v>
      </c>
      <c r="H20" s="2" t="n">
        <v>0.3</v>
      </c>
    </row>
    <row r="21" customFormat="false" ht="15" hidden="false" customHeight="false" outlineLevel="0" collapsed="false">
      <c r="A21" s="2" t="s">
        <v>75</v>
      </c>
      <c r="B21" s="3" t="s">
        <v>34</v>
      </c>
      <c r="C21" s="3" t="s">
        <v>76</v>
      </c>
      <c r="D21" s="3" t="s">
        <v>77</v>
      </c>
      <c r="E21" s="4" t="s">
        <v>12</v>
      </c>
      <c r="F21" s="3" t="s">
        <v>78</v>
      </c>
      <c r="G21" s="7" t="s">
        <v>29</v>
      </c>
      <c r="H21" s="2" t="n">
        <v>2</v>
      </c>
    </row>
    <row r="22" customFormat="false" ht="15" hidden="false" customHeight="false" outlineLevel="0" collapsed="false">
      <c r="A22" s="2" t="s">
        <v>79</v>
      </c>
      <c r="B22" s="3" t="s">
        <v>34</v>
      </c>
      <c r="C22" s="3" t="s">
        <v>76</v>
      </c>
      <c r="D22" s="3" t="s">
        <v>80</v>
      </c>
      <c r="E22" s="4" t="s">
        <v>12</v>
      </c>
      <c r="F22" s="3" t="s">
        <v>81</v>
      </c>
      <c r="G22" s="8" t="s">
        <v>82</v>
      </c>
      <c r="H22" s="2" t="n">
        <v>3</v>
      </c>
    </row>
    <row r="23" customFormat="false" ht="15" hidden="false" customHeight="false" outlineLevel="0" collapsed="false">
      <c r="A23" s="2" t="s">
        <v>83</v>
      </c>
      <c r="B23" s="3" t="s">
        <v>34</v>
      </c>
      <c r="C23" s="3" t="s">
        <v>76</v>
      </c>
      <c r="D23" s="3" t="s">
        <v>84</v>
      </c>
      <c r="E23" s="4" t="s">
        <v>12</v>
      </c>
      <c r="F23" s="3" t="s">
        <v>85</v>
      </c>
      <c r="G23" s="7" t="s">
        <v>29</v>
      </c>
      <c r="H23" s="2" t="n">
        <v>2</v>
      </c>
    </row>
    <row r="24" customFormat="false" ht="15" hidden="false" customHeight="false" outlineLevel="0" collapsed="false">
      <c r="A24" s="2" t="s">
        <v>86</v>
      </c>
      <c r="B24" s="3" t="s">
        <v>34</v>
      </c>
      <c r="C24" s="3" t="s">
        <v>76</v>
      </c>
      <c r="D24" s="3" t="s">
        <v>87</v>
      </c>
      <c r="E24" s="6" t="s">
        <v>23</v>
      </c>
      <c r="F24" s="3" t="s">
        <v>88</v>
      </c>
      <c r="G24" s="7" t="s">
        <v>29</v>
      </c>
      <c r="H24" s="2" t="n">
        <v>1</v>
      </c>
    </row>
    <row r="25" customFormat="false" ht="15" hidden="false" customHeight="false" outlineLevel="0" collapsed="false">
      <c r="A25" s="2" t="s">
        <v>89</v>
      </c>
      <c r="B25" s="3" t="s">
        <v>34</v>
      </c>
      <c r="C25" s="3" t="s">
        <v>76</v>
      </c>
      <c r="D25" s="3" t="s">
        <v>90</v>
      </c>
      <c r="E25" s="6" t="s">
        <v>23</v>
      </c>
      <c r="F25" s="3" t="s">
        <v>91</v>
      </c>
      <c r="G25" s="5" t="s">
        <v>14</v>
      </c>
      <c r="H25" s="2" t="n">
        <v>0.3</v>
      </c>
    </row>
    <row r="26" customFormat="false" ht="15" hidden="false" customHeight="false" outlineLevel="0" collapsed="false">
      <c r="A26" s="2" t="s">
        <v>92</v>
      </c>
      <c r="B26" s="3" t="s">
        <v>93</v>
      </c>
      <c r="C26" s="3" t="s">
        <v>94</v>
      </c>
      <c r="D26" s="3" t="s">
        <v>95</v>
      </c>
      <c r="E26" s="4" t="s">
        <v>12</v>
      </c>
      <c r="F26" s="3" t="s">
        <v>96</v>
      </c>
      <c r="G26" s="8" t="s">
        <v>82</v>
      </c>
      <c r="H26" s="2" t="n">
        <v>3.5</v>
      </c>
    </row>
    <row r="27" customFormat="false" ht="15" hidden="false" customHeight="false" outlineLevel="0" collapsed="false">
      <c r="A27" s="2" t="s">
        <v>97</v>
      </c>
      <c r="B27" s="3" t="s">
        <v>93</v>
      </c>
      <c r="C27" s="3" t="s">
        <v>94</v>
      </c>
      <c r="D27" s="3" t="s">
        <v>98</v>
      </c>
      <c r="E27" s="4" t="s">
        <v>12</v>
      </c>
      <c r="F27" s="3" t="s">
        <v>99</v>
      </c>
      <c r="G27" s="8" t="s">
        <v>82</v>
      </c>
      <c r="H27" s="2" t="n">
        <v>4</v>
      </c>
    </row>
    <row r="28" customFormat="false" ht="15" hidden="false" customHeight="false" outlineLevel="0" collapsed="false">
      <c r="A28" s="2" t="s">
        <v>100</v>
      </c>
      <c r="B28" s="3" t="s">
        <v>93</v>
      </c>
      <c r="C28" s="3" t="s">
        <v>94</v>
      </c>
      <c r="D28" s="3" t="s">
        <v>101</v>
      </c>
      <c r="E28" s="4" t="s">
        <v>12</v>
      </c>
      <c r="F28" s="3" t="s">
        <v>102</v>
      </c>
      <c r="G28" s="7" t="s">
        <v>29</v>
      </c>
      <c r="H28" s="2" t="n">
        <v>3</v>
      </c>
    </row>
    <row r="29" customFormat="false" ht="15" hidden="false" customHeight="false" outlineLevel="0" collapsed="false">
      <c r="A29" s="2" t="s">
        <v>103</v>
      </c>
      <c r="B29" s="3" t="s">
        <v>93</v>
      </c>
      <c r="C29" s="3" t="s">
        <v>94</v>
      </c>
      <c r="D29" s="3" t="s">
        <v>104</v>
      </c>
      <c r="E29" s="4" t="s">
        <v>12</v>
      </c>
      <c r="F29" s="3" t="s">
        <v>105</v>
      </c>
      <c r="G29" s="7" t="s">
        <v>29</v>
      </c>
      <c r="H29" s="2" t="n">
        <v>2.5</v>
      </c>
    </row>
    <row r="30" customFormat="false" ht="15" hidden="false" customHeight="false" outlineLevel="0" collapsed="false">
      <c r="A30" s="2" t="s">
        <v>106</v>
      </c>
      <c r="B30" s="3" t="s">
        <v>93</v>
      </c>
      <c r="C30" s="3" t="s">
        <v>94</v>
      </c>
      <c r="D30" s="3" t="s">
        <v>107</v>
      </c>
      <c r="E30" s="6" t="s">
        <v>23</v>
      </c>
      <c r="F30" s="3" t="s">
        <v>108</v>
      </c>
      <c r="G30" s="5" t="s">
        <v>14</v>
      </c>
      <c r="H30" s="2" t="n">
        <v>0.5</v>
      </c>
    </row>
    <row r="31" customFormat="false" ht="15" hidden="false" customHeight="false" outlineLevel="0" collapsed="false">
      <c r="A31" s="2" t="s">
        <v>109</v>
      </c>
      <c r="B31" s="3" t="s">
        <v>93</v>
      </c>
      <c r="C31" s="3" t="s">
        <v>94</v>
      </c>
      <c r="D31" s="3" t="s">
        <v>110</v>
      </c>
      <c r="E31" s="6" t="s">
        <v>23</v>
      </c>
      <c r="F31" s="3" t="s">
        <v>111</v>
      </c>
      <c r="G31" s="7" t="s">
        <v>29</v>
      </c>
      <c r="H31" s="2" t="n">
        <v>1</v>
      </c>
    </row>
    <row r="32" customFormat="false" ht="15" hidden="false" customHeight="false" outlineLevel="0" collapsed="false">
      <c r="A32" s="2" t="s">
        <v>112</v>
      </c>
      <c r="B32" s="3" t="s">
        <v>93</v>
      </c>
      <c r="C32" s="3" t="s">
        <v>113</v>
      </c>
      <c r="D32" s="3" t="s">
        <v>114</v>
      </c>
      <c r="E32" s="4" t="s">
        <v>12</v>
      </c>
      <c r="F32" s="3" t="s">
        <v>115</v>
      </c>
      <c r="G32" s="7" t="s">
        <v>29</v>
      </c>
      <c r="H32" s="2" t="n">
        <v>2</v>
      </c>
    </row>
    <row r="33" customFormat="false" ht="15" hidden="false" customHeight="false" outlineLevel="0" collapsed="false">
      <c r="A33" s="2" t="s">
        <v>116</v>
      </c>
      <c r="B33" s="3" t="s">
        <v>93</v>
      </c>
      <c r="C33" s="3" t="s">
        <v>113</v>
      </c>
      <c r="D33" s="3" t="s">
        <v>117</v>
      </c>
      <c r="E33" s="4" t="s">
        <v>12</v>
      </c>
      <c r="F33" s="3" t="s">
        <v>118</v>
      </c>
      <c r="G33" s="8" t="s">
        <v>82</v>
      </c>
      <c r="H33" s="2" t="n">
        <v>3</v>
      </c>
    </row>
    <row r="34" customFormat="false" ht="15" hidden="false" customHeight="false" outlineLevel="0" collapsed="false">
      <c r="A34" s="2" t="s">
        <v>119</v>
      </c>
      <c r="B34" s="3" t="s">
        <v>93</v>
      </c>
      <c r="C34" s="3" t="s">
        <v>113</v>
      </c>
      <c r="D34" s="3" t="s">
        <v>120</v>
      </c>
      <c r="E34" s="4" t="s">
        <v>12</v>
      </c>
      <c r="F34" s="3" t="s">
        <v>121</v>
      </c>
      <c r="G34" s="7" t="s">
        <v>29</v>
      </c>
      <c r="H34" s="2" t="n">
        <v>2.5</v>
      </c>
    </row>
    <row r="35" customFormat="false" ht="15" hidden="false" customHeight="false" outlineLevel="0" collapsed="false">
      <c r="A35" s="2" t="s">
        <v>122</v>
      </c>
      <c r="B35" s="3" t="s">
        <v>93</v>
      </c>
      <c r="C35" s="3" t="s">
        <v>113</v>
      </c>
      <c r="D35" s="3" t="s">
        <v>123</v>
      </c>
      <c r="E35" s="6" t="s">
        <v>23</v>
      </c>
      <c r="F35" s="3" t="s">
        <v>124</v>
      </c>
      <c r="G35" s="5" t="s">
        <v>14</v>
      </c>
      <c r="H35" s="2" t="n">
        <v>0.3</v>
      </c>
    </row>
    <row r="36" customFormat="false" ht="15" hidden="false" customHeight="false" outlineLevel="0" collapsed="false">
      <c r="A36" s="2" t="s">
        <v>125</v>
      </c>
      <c r="B36" s="3" t="s">
        <v>93</v>
      </c>
      <c r="C36" s="3" t="s">
        <v>126</v>
      </c>
      <c r="D36" s="3" t="s">
        <v>127</v>
      </c>
      <c r="E36" s="4" t="s">
        <v>12</v>
      </c>
      <c r="F36" s="3" t="s">
        <v>128</v>
      </c>
      <c r="G36" s="8" t="s">
        <v>82</v>
      </c>
      <c r="H36" s="2" t="n">
        <v>4</v>
      </c>
    </row>
    <row r="37" customFormat="false" ht="15" hidden="false" customHeight="false" outlineLevel="0" collapsed="false">
      <c r="A37" s="2" t="s">
        <v>129</v>
      </c>
      <c r="B37" s="3" t="s">
        <v>93</v>
      </c>
      <c r="C37" s="3" t="s">
        <v>126</v>
      </c>
      <c r="D37" s="3" t="s">
        <v>130</v>
      </c>
      <c r="E37" s="4" t="s">
        <v>12</v>
      </c>
      <c r="F37" s="3" t="s">
        <v>131</v>
      </c>
      <c r="G37" s="8" t="s">
        <v>82</v>
      </c>
      <c r="H37" s="2" t="n">
        <v>3.5</v>
      </c>
    </row>
    <row r="38" customFormat="false" ht="15" hidden="false" customHeight="false" outlineLevel="0" collapsed="false">
      <c r="A38" s="2" t="s">
        <v>132</v>
      </c>
      <c r="B38" s="3" t="s">
        <v>93</v>
      </c>
      <c r="C38" s="3" t="s">
        <v>126</v>
      </c>
      <c r="D38" s="3" t="s">
        <v>133</v>
      </c>
      <c r="E38" s="4" t="s">
        <v>12</v>
      </c>
      <c r="F38" s="3" t="s">
        <v>134</v>
      </c>
      <c r="G38" s="7" t="s">
        <v>29</v>
      </c>
      <c r="H38" s="2" t="n">
        <v>2.5</v>
      </c>
    </row>
    <row r="39" customFormat="false" ht="15" hidden="false" customHeight="false" outlineLevel="0" collapsed="false">
      <c r="A39" s="2" t="s">
        <v>135</v>
      </c>
      <c r="B39" s="3" t="s">
        <v>93</v>
      </c>
      <c r="C39" s="3" t="s">
        <v>126</v>
      </c>
      <c r="D39" s="3" t="s">
        <v>136</v>
      </c>
      <c r="E39" s="6" t="s">
        <v>23</v>
      </c>
      <c r="F39" s="3" t="s">
        <v>137</v>
      </c>
      <c r="G39" s="7" t="s">
        <v>29</v>
      </c>
      <c r="H39" s="2" t="n">
        <v>1</v>
      </c>
    </row>
    <row r="40" customFormat="false" ht="15" hidden="false" customHeight="false" outlineLevel="0" collapsed="false">
      <c r="A40" s="2" t="s">
        <v>138</v>
      </c>
      <c r="B40" s="3" t="s">
        <v>93</v>
      </c>
      <c r="C40" s="3" t="s">
        <v>139</v>
      </c>
      <c r="D40" s="3" t="s">
        <v>140</v>
      </c>
      <c r="E40" s="4" t="s">
        <v>12</v>
      </c>
      <c r="F40" s="3" t="s">
        <v>141</v>
      </c>
      <c r="G40" s="7" t="s">
        <v>29</v>
      </c>
      <c r="H40" s="2" t="n">
        <v>2</v>
      </c>
    </row>
    <row r="41" customFormat="false" ht="15" hidden="false" customHeight="false" outlineLevel="0" collapsed="false">
      <c r="A41" s="2" t="s">
        <v>142</v>
      </c>
      <c r="B41" s="3" t="s">
        <v>93</v>
      </c>
      <c r="C41" s="3" t="s">
        <v>139</v>
      </c>
      <c r="D41" s="3" t="s">
        <v>143</v>
      </c>
      <c r="E41" s="4" t="s">
        <v>12</v>
      </c>
      <c r="F41" s="3" t="s">
        <v>144</v>
      </c>
      <c r="G41" s="7" t="s">
        <v>29</v>
      </c>
      <c r="H41" s="2" t="n">
        <v>3</v>
      </c>
    </row>
    <row r="42" customFormat="false" ht="15" hidden="false" customHeight="false" outlineLevel="0" collapsed="false">
      <c r="A42" s="2" t="s">
        <v>145</v>
      </c>
      <c r="B42" s="3" t="s">
        <v>93</v>
      </c>
      <c r="C42" s="3" t="s">
        <v>139</v>
      </c>
      <c r="D42" s="3" t="s">
        <v>146</v>
      </c>
      <c r="E42" s="4" t="s">
        <v>12</v>
      </c>
      <c r="F42" s="3" t="s">
        <v>147</v>
      </c>
      <c r="G42" s="7" t="s">
        <v>29</v>
      </c>
      <c r="H42" s="2" t="n">
        <v>2</v>
      </c>
    </row>
    <row r="43" customFormat="false" ht="15" hidden="false" customHeight="false" outlineLevel="0" collapsed="false">
      <c r="A43" s="2" t="s">
        <v>148</v>
      </c>
      <c r="B43" s="3" t="s">
        <v>93</v>
      </c>
      <c r="C43" s="3" t="s">
        <v>139</v>
      </c>
      <c r="D43" s="3" t="s">
        <v>149</v>
      </c>
      <c r="E43" s="6" t="s">
        <v>23</v>
      </c>
      <c r="F43" s="3" t="s">
        <v>150</v>
      </c>
      <c r="G43" s="7" t="s">
        <v>29</v>
      </c>
      <c r="H43" s="2" t="n">
        <v>1</v>
      </c>
    </row>
    <row r="44" customFormat="false" ht="15" hidden="false" customHeight="false" outlineLevel="0" collapsed="false">
      <c r="A44" s="2" t="s">
        <v>151</v>
      </c>
      <c r="B44" s="3" t="s">
        <v>93</v>
      </c>
      <c r="C44" s="3" t="s">
        <v>139</v>
      </c>
      <c r="D44" s="3" t="s">
        <v>152</v>
      </c>
      <c r="E44" s="6" t="s">
        <v>23</v>
      </c>
      <c r="F44" s="3" t="s">
        <v>46</v>
      </c>
      <c r="G44" s="5" t="s">
        <v>14</v>
      </c>
      <c r="H44" s="2" t="n">
        <v>0.3</v>
      </c>
    </row>
    <row r="45" customFormat="false" ht="15" hidden="false" customHeight="false" outlineLevel="0" collapsed="false">
      <c r="A45" s="2" t="s">
        <v>153</v>
      </c>
      <c r="B45" s="3" t="s">
        <v>93</v>
      </c>
      <c r="C45" s="3" t="s">
        <v>154</v>
      </c>
      <c r="D45" s="3" t="s">
        <v>155</v>
      </c>
      <c r="E45" s="4" t="s">
        <v>12</v>
      </c>
      <c r="F45" s="3" t="s">
        <v>156</v>
      </c>
      <c r="G45" s="7" t="s">
        <v>29</v>
      </c>
      <c r="H45" s="2" t="n">
        <v>2</v>
      </c>
    </row>
    <row r="46" customFormat="false" ht="15" hidden="false" customHeight="false" outlineLevel="0" collapsed="false">
      <c r="A46" s="2" t="s">
        <v>157</v>
      </c>
      <c r="B46" s="3" t="s">
        <v>93</v>
      </c>
      <c r="C46" s="3" t="s">
        <v>154</v>
      </c>
      <c r="D46" s="3" t="s">
        <v>158</v>
      </c>
      <c r="E46" s="4" t="s">
        <v>12</v>
      </c>
      <c r="F46" s="3" t="s">
        <v>159</v>
      </c>
      <c r="G46" s="7" t="s">
        <v>29</v>
      </c>
      <c r="H46" s="2" t="n">
        <v>2.5</v>
      </c>
    </row>
    <row r="47" customFormat="false" ht="15" hidden="false" customHeight="false" outlineLevel="0" collapsed="false">
      <c r="A47" s="2" t="s">
        <v>160</v>
      </c>
      <c r="B47" s="3" t="s">
        <v>93</v>
      </c>
      <c r="C47" s="3" t="s">
        <v>154</v>
      </c>
      <c r="D47" s="3" t="s">
        <v>161</v>
      </c>
      <c r="E47" s="4" t="s">
        <v>12</v>
      </c>
      <c r="F47" s="3" t="s">
        <v>162</v>
      </c>
      <c r="G47" s="7" t="s">
        <v>29</v>
      </c>
      <c r="H47" s="2" t="n">
        <v>2</v>
      </c>
    </row>
    <row r="48" customFormat="false" ht="15" hidden="false" customHeight="false" outlineLevel="0" collapsed="false">
      <c r="A48" s="2" t="s">
        <v>163</v>
      </c>
      <c r="B48" s="3" t="s">
        <v>93</v>
      </c>
      <c r="C48" s="3" t="s">
        <v>154</v>
      </c>
      <c r="D48" s="3" t="s">
        <v>164</v>
      </c>
      <c r="E48" s="6" t="s">
        <v>23</v>
      </c>
      <c r="F48" s="3" t="s">
        <v>165</v>
      </c>
      <c r="G48" s="5" t="s">
        <v>14</v>
      </c>
      <c r="H48" s="2" t="n">
        <v>0.5</v>
      </c>
    </row>
    <row r="49" customFormat="false" ht="15" hidden="false" customHeight="false" outlineLevel="0" collapsed="false">
      <c r="A49" s="2" t="s">
        <v>166</v>
      </c>
      <c r="B49" s="3" t="s">
        <v>93</v>
      </c>
      <c r="C49" s="3" t="s">
        <v>167</v>
      </c>
      <c r="D49" s="3" t="s">
        <v>168</v>
      </c>
      <c r="E49" s="4" t="s">
        <v>12</v>
      </c>
      <c r="F49" s="3" t="s">
        <v>169</v>
      </c>
      <c r="G49" s="7" t="s">
        <v>29</v>
      </c>
      <c r="H49" s="2" t="n">
        <v>2</v>
      </c>
    </row>
    <row r="50" customFormat="false" ht="15" hidden="false" customHeight="false" outlineLevel="0" collapsed="false">
      <c r="A50" s="2" t="s">
        <v>170</v>
      </c>
      <c r="B50" s="3" t="s">
        <v>93</v>
      </c>
      <c r="C50" s="3" t="s">
        <v>167</v>
      </c>
      <c r="D50" s="3" t="s">
        <v>171</v>
      </c>
      <c r="E50" s="4" t="s">
        <v>12</v>
      </c>
      <c r="F50" s="3" t="s">
        <v>172</v>
      </c>
      <c r="G50" s="7" t="s">
        <v>29</v>
      </c>
      <c r="H50" s="2" t="n">
        <v>2.5</v>
      </c>
    </row>
    <row r="51" customFormat="false" ht="15" hidden="false" customHeight="false" outlineLevel="0" collapsed="false">
      <c r="A51" s="2" t="s">
        <v>173</v>
      </c>
      <c r="B51" s="3" t="s">
        <v>93</v>
      </c>
      <c r="C51" s="3" t="s">
        <v>167</v>
      </c>
      <c r="D51" s="3" t="s">
        <v>174</v>
      </c>
      <c r="E51" s="4" t="s">
        <v>12</v>
      </c>
      <c r="F51" s="3" t="s">
        <v>175</v>
      </c>
      <c r="G51" s="7" t="s">
        <v>29</v>
      </c>
      <c r="H51" s="2" t="n">
        <v>2</v>
      </c>
    </row>
    <row r="52" customFormat="false" ht="15" hidden="false" customHeight="false" outlineLevel="0" collapsed="false">
      <c r="A52" s="2" t="s">
        <v>176</v>
      </c>
      <c r="B52" s="3" t="s">
        <v>93</v>
      </c>
      <c r="C52" s="3" t="s">
        <v>167</v>
      </c>
      <c r="D52" s="3" t="s">
        <v>177</v>
      </c>
      <c r="E52" s="4" t="s">
        <v>12</v>
      </c>
      <c r="F52" s="3" t="s">
        <v>178</v>
      </c>
      <c r="G52" s="7" t="s">
        <v>29</v>
      </c>
      <c r="H52" s="2" t="n">
        <v>1.5</v>
      </c>
    </row>
    <row r="53" customFormat="false" ht="15" hidden="false" customHeight="false" outlineLevel="0" collapsed="false">
      <c r="A53" s="2" t="s">
        <v>179</v>
      </c>
      <c r="B53" s="3" t="s">
        <v>93</v>
      </c>
      <c r="C53" s="3" t="s">
        <v>167</v>
      </c>
      <c r="D53" s="3" t="s">
        <v>180</v>
      </c>
      <c r="E53" s="4" t="s">
        <v>12</v>
      </c>
      <c r="F53" s="3" t="s">
        <v>181</v>
      </c>
      <c r="G53" s="5" t="s">
        <v>14</v>
      </c>
      <c r="H53" s="2" t="n">
        <v>1.5</v>
      </c>
    </row>
    <row r="54" customFormat="false" ht="15" hidden="false" customHeight="false" outlineLevel="0" collapsed="false">
      <c r="A54" s="2" t="s">
        <v>182</v>
      </c>
      <c r="B54" s="3" t="s">
        <v>93</v>
      </c>
      <c r="C54" s="3" t="s">
        <v>167</v>
      </c>
      <c r="D54" s="3" t="s">
        <v>183</v>
      </c>
      <c r="E54" s="6" t="s">
        <v>23</v>
      </c>
      <c r="F54" s="3" t="s">
        <v>184</v>
      </c>
      <c r="G54" s="5" t="s">
        <v>14</v>
      </c>
      <c r="H54" s="2" t="n">
        <v>0.5</v>
      </c>
    </row>
    <row r="55" customFormat="false" ht="15" hidden="false" customHeight="false" outlineLevel="0" collapsed="false">
      <c r="A55" s="2" t="s">
        <v>185</v>
      </c>
      <c r="B55" s="3" t="s">
        <v>93</v>
      </c>
      <c r="C55" s="3" t="s">
        <v>186</v>
      </c>
      <c r="D55" s="3" t="s">
        <v>187</v>
      </c>
      <c r="E55" s="4" t="s">
        <v>12</v>
      </c>
      <c r="F55" s="3" t="s">
        <v>188</v>
      </c>
      <c r="G55" s="7" t="s">
        <v>29</v>
      </c>
      <c r="H55" s="2" t="n">
        <v>2.5</v>
      </c>
    </row>
    <row r="56" customFormat="false" ht="15" hidden="false" customHeight="false" outlineLevel="0" collapsed="false">
      <c r="A56" s="2" t="s">
        <v>189</v>
      </c>
      <c r="B56" s="3" t="s">
        <v>93</v>
      </c>
      <c r="C56" s="3" t="s">
        <v>186</v>
      </c>
      <c r="D56" s="3" t="s">
        <v>190</v>
      </c>
      <c r="E56" s="4" t="s">
        <v>12</v>
      </c>
      <c r="F56" s="3" t="s">
        <v>191</v>
      </c>
      <c r="G56" s="8" t="s">
        <v>82</v>
      </c>
      <c r="H56" s="2" t="n">
        <v>3</v>
      </c>
    </row>
    <row r="57" customFormat="false" ht="15" hidden="false" customHeight="false" outlineLevel="0" collapsed="false">
      <c r="A57" s="2" t="s">
        <v>192</v>
      </c>
      <c r="B57" s="3" t="s">
        <v>93</v>
      </c>
      <c r="C57" s="3" t="s">
        <v>186</v>
      </c>
      <c r="D57" s="3" t="s">
        <v>193</v>
      </c>
      <c r="E57" s="4" t="s">
        <v>12</v>
      </c>
      <c r="F57" s="3" t="s">
        <v>194</v>
      </c>
      <c r="G57" s="7" t="s">
        <v>29</v>
      </c>
      <c r="H57" s="2" t="n">
        <v>2.5</v>
      </c>
    </row>
    <row r="58" customFormat="false" ht="15" hidden="false" customHeight="false" outlineLevel="0" collapsed="false">
      <c r="A58" s="2" t="s">
        <v>195</v>
      </c>
      <c r="B58" s="3" t="s">
        <v>34</v>
      </c>
      <c r="C58" s="3" t="s">
        <v>196</v>
      </c>
      <c r="D58" s="3" t="s">
        <v>197</v>
      </c>
      <c r="E58" s="4" t="s">
        <v>12</v>
      </c>
      <c r="F58" s="3" t="s">
        <v>198</v>
      </c>
      <c r="G58" s="7" t="s">
        <v>29</v>
      </c>
      <c r="H58" s="2" t="n">
        <v>3</v>
      </c>
    </row>
    <row r="59" customFormat="false" ht="15" hidden="false" customHeight="false" outlineLevel="0" collapsed="false">
      <c r="A59" s="2" t="s">
        <v>199</v>
      </c>
      <c r="B59" s="3" t="s">
        <v>34</v>
      </c>
      <c r="C59" s="3" t="s">
        <v>196</v>
      </c>
      <c r="D59" s="3" t="s">
        <v>200</v>
      </c>
      <c r="E59" s="4" t="s">
        <v>12</v>
      </c>
      <c r="F59" s="3" t="s">
        <v>201</v>
      </c>
      <c r="G59" s="5" t="s">
        <v>14</v>
      </c>
      <c r="H59" s="2" t="n">
        <v>1.5</v>
      </c>
    </row>
    <row r="60" customFormat="false" ht="15" hidden="false" customHeight="false" outlineLevel="0" collapsed="false">
      <c r="A60" s="2" t="s">
        <v>202</v>
      </c>
      <c r="B60" s="3" t="s">
        <v>93</v>
      </c>
      <c r="C60" s="3" t="s">
        <v>186</v>
      </c>
      <c r="D60" s="3" t="s">
        <v>203</v>
      </c>
      <c r="E60" s="6" t="s">
        <v>23</v>
      </c>
      <c r="F60" s="3" t="s">
        <v>204</v>
      </c>
      <c r="G60" s="5" t="s">
        <v>14</v>
      </c>
      <c r="H60" s="2" t="n">
        <v>0.8</v>
      </c>
    </row>
    <row r="61" customFormat="false" ht="15" hidden="false" customHeight="false" outlineLevel="0" collapsed="false">
      <c r="A61" s="2" t="s">
        <v>205</v>
      </c>
      <c r="B61" s="3" t="s">
        <v>206</v>
      </c>
      <c r="C61" s="3" t="s">
        <v>207</v>
      </c>
      <c r="D61" s="3" t="s">
        <v>208</v>
      </c>
      <c r="E61" s="4" t="s">
        <v>12</v>
      </c>
      <c r="F61" s="3" t="s">
        <v>209</v>
      </c>
      <c r="G61" s="7" t="s">
        <v>29</v>
      </c>
      <c r="H61" s="2" t="n">
        <v>3</v>
      </c>
    </row>
    <row r="62" customFormat="false" ht="15" hidden="false" customHeight="false" outlineLevel="0" collapsed="false">
      <c r="A62" s="2" t="s">
        <v>210</v>
      </c>
      <c r="B62" s="3" t="s">
        <v>206</v>
      </c>
      <c r="C62" s="3" t="s">
        <v>207</v>
      </c>
      <c r="D62" s="3" t="s">
        <v>211</v>
      </c>
      <c r="E62" s="4" t="s">
        <v>12</v>
      </c>
      <c r="F62" s="3" t="s">
        <v>212</v>
      </c>
      <c r="G62" s="5" t="s">
        <v>14</v>
      </c>
      <c r="H62" s="2" t="n">
        <v>1</v>
      </c>
    </row>
    <row r="63" customFormat="false" ht="15" hidden="false" customHeight="false" outlineLevel="0" collapsed="false">
      <c r="A63" s="9" t="n">
        <f aca="false">COUNTA(A2:A62)</f>
        <v>61</v>
      </c>
      <c r="D63" s="9" t="s">
        <v>213</v>
      </c>
      <c r="H63" s="9" t="n">
        <f aca="false">SUM(H2:H62)</f>
        <v>107.6</v>
      </c>
    </row>
    <row r="64" customFormat="false" ht="15" hidden="false" customHeight="false" outlineLevel="0" collapsed="false">
      <c r="D64" s="10" t="s">
        <v>214</v>
      </c>
      <c r="E64" s="11" t="n">
        <f aca="false">COUNTIF(E2:E62,"Màn")</f>
        <v>44</v>
      </c>
    </row>
    <row r="65" customFormat="false" ht="15" hidden="false" customHeight="false" outlineLevel="0" collapsed="false">
      <c r="D65" s="10" t="s">
        <v>215</v>
      </c>
      <c r="E65" s="11" t="n">
        <f aca="false">COUNTIF(E2:E62,"Dialog")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7.75" hidden="false" customHeight="true" outlineLevel="0" collapsed="false">
      <c r="A1" s="1" t="s">
        <v>0</v>
      </c>
      <c r="B1" s="1" t="s">
        <v>4</v>
      </c>
      <c r="C1" s="1" t="s">
        <v>216</v>
      </c>
      <c r="D1" s="1" t="s">
        <v>217</v>
      </c>
      <c r="E1" s="1" t="s">
        <v>6</v>
      </c>
      <c r="F1" s="1" t="s">
        <v>7</v>
      </c>
    </row>
    <row r="2" customFormat="false" ht="15" hidden="false" customHeight="false" outlineLevel="0" collapsed="false">
      <c r="A2" s="2" t="s">
        <v>218</v>
      </c>
      <c r="B2" s="3" t="s">
        <v>219</v>
      </c>
      <c r="C2" s="3" t="s">
        <v>220</v>
      </c>
      <c r="D2" s="3" t="s">
        <v>221</v>
      </c>
      <c r="E2" s="8" t="s">
        <v>82</v>
      </c>
      <c r="F2" s="2" t="n">
        <v>3</v>
      </c>
    </row>
    <row r="3" customFormat="false" ht="15" hidden="false" customHeight="false" outlineLevel="0" collapsed="false">
      <c r="A3" s="2" t="s">
        <v>222</v>
      </c>
      <c r="B3" s="3" t="s">
        <v>219</v>
      </c>
      <c r="C3" s="3" t="s">
        <v>223</v>
      </c>
      <c r="D3" s="3" t="s">
        <v>224</v>
      </c>
      <c r="E3" s="7" t="s">
        <v>29</v>
      </c>
      <c r="F3" s="2" t="n">
        <v>3</v>
      </c>
    </row>
    <row r="4" customFormat="false" ht="15" hidden="false" customHeight="false" outlineLevel="0" collapsed="false">
      <c r="A4" s="2" t="s">
        <v>225</v>
      </c>
      <c r="B4" s="3" t="s">
        <v>219</v>
      </c>
      <c r="C4" s="3" t="s">
        <v>226</v>
      </c>
      <c r="D4" s="3" t="s">
        <v>227</v>
      </c>
      <c r="E4" s="7" t="s">
        <v>29</v>
      </c>
      <c r="F4" s="2" t="n">
        <v>2</v>
      </c>
    </row>
    <row r="5" customFormat="false" ht="15" hidden="false" customHeight="false" outlineLevel="0" collapsed="false">
      <c r="A5" s="2" t="s">
        <v>228</v>
      </c>
      <c r="B5" s="3" t="s">
        <v>229</v>
      </c>
      <c r="C5" s="3" t="s">
        <v>230</v>
      </c>
      <c r="D5" s="3" t="s">
        <v>231</v>
      </c>
      <c r="E5" s="7" t="s">
        <v>29</v>
      </c>
      <c r="F5" s="2" t="n">
        <v>3</v>
      </c>
    </row>
    <row r="6" customFormat="false" ht="15" hidden="false" customHeight="false" outlineLevel="0" collapsed="false">
      <c r="A6" s="2" t="s">
        <v>232</v>
      </c>
      <c r="B6" s="3" t="s">
        <v>229</v>
      </c>
      <c r="C6" s="3" t="s">
        <v>233</v>
      </c>
      <c r="D6" s="3" t="s">
        <v>234</v>
      </c>
      <c r="E6" s="8" t="s">
        <v>82</v>
      </c>
      <c r="F6" s="2" t="n">
        <v>3</v>
      </c>
    </row>
    <row r="7" customFormat="false" ht="15" hidden="false" customHeight="false" outlineLevel="0" collapsed="false">
      <c r="A7" s="2" t="s">
        <v>235</v>
      </c>
      <c r="B7" s="3" t="s">
        <v>229</v>
      </c>
      <c r="C7" s="3" t="s">
        <v>236</v>
      </c>
      <c r="D7" s="3" t="s">
        <v>237</v>
      </c>
      <c r="E7" s="5" t="s">
        <v>14</v>
      </c>
      <c r="F7" s="2" t="n">
        <v>1.5</v>
      </c>
    </row>
    <row r="8" customFormat="false" ht="15" hidden="false" customHeight="false" outlineLevel="0" collapsed="false">
      <c r="A8" s="2" t="s">
        <v>238</v>
      </c>
      <c r="B8" s="3" t="s">
        <v>229</v>
      </c>
      <c r="C8" s="3" t="s">
        <v>239</v>
      </c>
      <c r="D8" s="3" t="s">
        <v>240</v>
      </c>
      <c r="E8" s="7" t="s">
        <v>29</v>
      </c>
      <c r="F8" s="2" t="n">
        <v>3</v>
      </c>
    </row>
    <row r="9" customFormat="false" ht="15" hidden="false" customHeight="false" outlineLevel="0" collapsed="false">
      <c r="A9" s="2" t="s">
        <v>241</v>
      </c>
      <c r="B9" s="3" t="s">
        <v>242</v>
      </c>
      <c r="C9" s="3" t="s">
        <v>243</v>
      </c>
      <c r="D9" s="3" t="s">
        <v>244</v>
      </c>
      <c r="E9" s="7" t="s">
        <v>29</v>
      </c>
      <c r="F9" s="2" t="n">
        <v>3</v>
      </c>
    </row>
    <row r="10" customFormat="false" ht="15" hidden="false" customHeight="false" outlineLevel="0" collapsed="false">
      <c r="A10" s="2" t="s">
        <v>245</v>
      </c>
      <c r="B10" s="3" t="s">
        <v>242</v>
      </c>
      <c r="C10" s="3" t="s">
        <v>246</v>
      </c>
      <c r="D10" s="3" t="s">
        <v>247</v>
      </c>
      <c r="E10" s="7" t="s">
        <v>29</v>
      </c>
      <c r="F10" s="2" t="n">
        <v>2</v>
      </c>
    </row>
    <row r="11" customFormat="false" ht="15" hidden="false" customHeight="false" outlineLevel="0" collapsed="false">
      <c r="A11" s="2" t="s">
        <v>248</v>
      </c>
      <c r="B11" s="3" t="s">
        <v>242</v>
      </c>
      <c r="C11" s="3" t="s">
        <v>249</v>
      </c>
      <c r="D11" s="3" t="s">
        <v>250</v>
      </c>
      <c r="E11" s="7" t="s">
        <v>29</v>
      </c>
      <c r="F11" s="2" t="n">
        <v>1.5</v>
      </c>
    </row>
    <row r="12" customFormat="false" ht="15" hidden="false" customHeight="false" outlineLevel="0" collapsed="false">
      <c r="A12" s="2" t="s">
        <v>251</v>
      </c>
      <c r="B12" s="3" t="s">
        <v>242</v>
      </c>
      <c r="C12" s="3" t="s">
        <v>252</v>
      </c>
      <c r="D12" s="3" t="s">
        <v>253</v>
      </c>
      <c r="E12" s="5" t="s">
        <v>14</v>
      </c>
      <c r="F12" s="2" t="n">
        <v>2</v>
      </c>
    </row>
    <row r="13" customFormat="false" ht="15" hidden="false" customHeight="false" outlineLevel="0" collapsed="false">
      <c r="A13" s="2" t="s">
        <v>254</v>
      </c>
      <c r="B13" s="3" t="s">
        <v>255</v>
      </c>
      <c r="C13" s="3" t="s">
        <v>256</v>
      </c>
      <c r="D13" s="3" t="s">
        <v>257</v>
      </c>
      <c r="E13" s="7" t="s">
        <v>29</v>
      </c>
      <c r="F13" s="2" t="n">
        <v>2</v>
      </c>
    </row>
    <row r="14" customFormat="false" ht="15" hidden="false" customHeight="false" outlineLevel="0" collapsed="false">
      <c r="A14" s="2" t="s">
        <v>258</v>
      </c>
      <c r="B14" s="3" t="s">
        <v>255</v>
      </c>
      <c r="C14" s="3" t="s">
        <v>259</v>
      </c>
      <c r="D14" s="3" t="s">
        <v>260</v>
      </c>
      <c r="E14" s="7" t="s">
        <v>29</v>
      </c>
      <c r="F14" s="2" t="n">
        <v>3</v>
      </c>
    </row>
    <row r="15" customFormat="false" ht="15" hidden="false" customHeight="false" outlineLevel="0" collapsed="false">
      <c r="A15" s="2" t="s">
        <v>261</v>
      </c>
      <c r="B15" s="3" t="s">
        <v>262</v>
      </c>
      <c r="C15" s="3" t="s">
        <v>263</v>
      </c>
      <c r="D15" s="3" t="s">
        <v>264</v>
      </c>
      <c r="E15" s="8" t="s">
        <v>82</v>
      </c>
      <c r="F15" s="2" t="n">
        <v>3</v>
      </c>
    </row>
    <row r="16" customFormat="false" ht="15" hidden="false" customHeight="false" outlineLevel="0" collapsed="false">
      <c r="A16" s="2" t="s">
        <v>265</v>
      </c>
      <c r="B16" s="3" t="s">
        <v>93</v>
      </c>
      <c r="C16" s="3" t="s">
        <v>266</v>
      </c>
      <c r="D16" s="3" t="s">
        <v>267</v>
      </c>
      <c r="E16" s="5" t="s">
        <v>14</v>
      </c>
      <c r="F16" s="2" t="n">
        <v>2</v>
      </c>
    </row>
    <row r="17" customFormat="false" ht="15" hidden="false" customHeight="false" outlineLevel="0" collapsed="false">
      <c r="A17" s="2" t="s">
        <v>268</v>
      </c>
      <c r="B17" s="3" t="s">
        <v>93</v>
      </c>
      <c r="C17" s="3" t="s">
        <v>269</v>
      </c>
      <c r="D17" s="3" t="s">
        <v>270</v>
      </c>
      <c r="E17" s="7" t="s">
        <v>29</v>
      </c>
      <c r="F17" s="2" t="n">
        <v>3</v>
      </c>
    </row>
    <row r="18" customFormat="false" ht="15" hidden="false" customHeight="false" outlineLevel="0" collapsed="false">
      <c r="A18" s="2" t="s">
        <v>271</v>
      </c>
      <c r="B18" s="3" t="s">
        <v>272</v>
      </c>
      <c r="C18" s="3" t="s">
        <v>273</v>
      </c>
      <c r="D18" s="3" t="s">
        <v>274</v>
      </c>
      <c r="E18" s="7" t="s">
        <v>29</v>
      </c>
      <c r="F18" s="2" t="n">
        <v>2.5</v>
      </c>
    </row>
    <row r="19" customFormat="false" ht="15" hidden="false" customHeight="false" outlineLevel="0" collapsed="false">
      <c r="A19" s="2" t="s">
        <v>275</v>
      </c>
      <c r="B19" s="3" t="s">
        <v>276</v>
      </c>
      <c r="C19" s="3" t="s">
        <v>277</v>
      </c>
      <c r="D19" s="3" t="s">
        <v>278</v>
      </c>
      <c r="E19" s="8" t="s">
        <v>82</v>
      </c>
      <c r="F19" s="2" t="n">
        <v>3</v>
      </c>
    </row>
    <row r="20" customFormat="false" ht="15" hidden="false" customHeight="false" outlineLevel="0" collapsed="false">
      <c r="D20" s="9" t="s">
        <v>213</v>
      </c>
      <c r="F20" s="9" t="n">
        <f aca="false">SUM(F2:F19)</f>
        <v>45.5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7.75" hidden="false" customHeight="true" outlineLevel="0" collapsed="false">
      <c r="A1" s="1" t="s">
        <v>0</v>
      </c>
      <c r="B1" s="1" t="s">
        <v>4</v>
      </c>
      <c r="C1" s="1" t="s">
        <v>279</v>
      </c>
      <c r="D1" s="1" t="s">
        <v>5</v>
      </c>
      <c r="E1" s="1" t="s">
        <v>6</v>
      </c>
      <c r="F1" s="1" t="s">
        <v>7</v>
      </c>
    </row>
    <row r="2" customFormat="false" ht="15" hidden="false" customHeight="false" outlineLevel="0" collapsed="false">
      <c r="A2" s="2" t="s">
        <v>280</v>
      </c>
      <c r="B2" s="3" t="s">
        <v>281</v>
      </c>
      <c r="C2" s="3" t="s">
        <v>282</v>
      </c>
      <c r="D2" s="3" t="s">
        <v>283</v>
      </c>
      <c r="E2" s="7" t="s">
        <v>29</v>
      </c>
      <c r="F2" s="2" t="n">
        <v>4</v>
      </c>
    </row>
    <row r="3" customFormat="false" ht="15" hidden="false" customHeight="false" outlineLevel="0" collapsed="false">
      <c r="A3" s="2" t="s">
        <v>284</v>
      </c>
      <c r="B3" s="3" t="s">
        <v>281</v>
      </c>
      <c r="C3" s="3" t="s">
        <v>285</v>
      </c>
      <c r="D3" s="3" t="s">
        <v>286</v>
      </c>
      <c r="E3" s="7" t="s">
        <v>29</v>
      </c>
      <c r="F3" s="2" t="n">
        <v>4</v>
      </c>
    </row>
    <row r="4" customFormat="false" ht="15" hidden="false" customHeight="false" outlineLevel="0" collapsed="false">
      <c r="A4" s="2" t="s">
        <v>287</v>
      </c>
      <c r="B4" s="3" t="s">
        <v>281</v>
      </c>
      <c r="C4" s="3" t="s">
        <v>288</v>
      </c>
      <c r="D4" s="3" t="s">
        <v>289</v>
      </c>
      <c r="E4" s="5" t="s">
        <v>14</v>
      </c>
      <c r="F4" s="2" t="n">
        <v>2</v>
      </c>
    </row>
    <row r="5" customFormat="false" ht="15" hidden="false" customHeight="false" outlineLevel="0" collapsed="false">
      <c r="A5" s="2" t="s">
        <v>290</v>
      </c>
      <c r="B5" s="3" t="s">
        <v>281</v>
      </c>
      <c r="C5" s="3" t="s">
        <v>291</v>
      </c>
      <c r="D5" s="3" t="s">
        <v>292</v>
      </c>
      <c r="E5" s="5" t="s">
        <v>14</v>
      </c>
      <c r="F5" s="2" t="n">
        <v>2</v>
      </c>
    </row>
    <row r="6" customFormat="false" ht="15" hidden="false" customHeight="false" outlineLevel="0" collapsed="false">
      <c r="A6" s="2" t="s">
        <v>293</v>
      </c>
      <c r="B6" s="3" t="s">
        <v>294</v>
      </c>
      <c r="C6" s="3" t="s">
        <v>295</v>
      </c>
      <c r="D6" s="3" t="s">
        <v>296</v>
      </c>
      <c r="E6" s="7" t="s">
        <v>29</v>
      </c>
      <c r="F6" s="2" t="n">
        <v>6</v>
      </c>
    </row>
    <row r="7" customFormat="false" ht="15" hidden="false" customHeight="false" outlineLevel="0" collapsed="false">
      <c r="A7" s="2" t="s">
        <v>297</v>
      </c>
      <c r="B7" s="3" t="s">
        <v>294</v>
      </c>
      <c r="C7" s="3" t="s">
        <v>298</v>
      </c>
      <c r="D7" s="3" t="s">
        <v>299</v>
      </c>
      <c r="E7" s="7" t="s">
        <v>29</v>
      </c>
      <c r="F7" s="2" t="n">
        <v>5</v>
      </c>
    </row>
    <row r="8" customFormat="false" ht="15" hidden="false" customHeight="false" outlineLevel="0" collapsed="false">
      <c r="A8" s="2" t="s">
        <v>300</v>
      </c>
      <c r="B8" s="3" t="s">
        <v>294</v>
      </c>
      <c r="C8" s="3" t="s">
        <v>301</v>
      </c>
      <c r="D8" s="3" t="s">
        <v>302</v>
      </c>
      <c r="E8" s="7" t="s">
        <v>29</v>
      </c>
      <c r="F8" s="2" t="n">
        <v>3</v>
      </c>
    </row>
    <row r="9" customFormat="false" ht="15" hidden="false" customHeight="false" outlineLevel="0" collapsed="false">
      <c r="A9" s="2" t="s">
        <v>303</v>
      </c>
      <c r="B9" s="3" t="s">
        <v>294</v>
      </c>
      <c r="C9" s="3" t="s">
        <v>304</v>
      </c>
      <c r="D9" s="3" t="s">
        <v>305</v>
      </c>
      <c r="E9" s="7" t="s">
        <v>29</v>
      </c>
      <c r="F9" s="2" t="n">
        <v>3</v>
      </c>
    </row>
    <row r="10" customFormat="false" ht="15" hidden="false" customHeight="false" outlineLevel="0" collapsed="false">
      <c r="A10" s="2" t="s">
        <v>306</v>
      </c>
      <c r="B10" s="3" t="s">
        <v>294</v>
      </c>
      <c r="C10" s="3" t="s">
        <v>307</v>
      </c>
      <c r="D10" s="3" t="s">
        <v>308</v>
      </c>
      <c r="E10" s="7" t="s">
        <v>29</v>
      </c>
      <c r="F10" s="2" t="n">
        <v>5</v>
      </c>
    </row>
    <row r="11" customFormat="false" ht="15" hidden="false" customHeight="false" outlineLevel="0" collapsed="false">
      <c r="A11" s="2" t="s">
        <v>309</v>
      </c>
      <c r="B11" s="3" t="s">
        <v>310</v>
      </c>
      <c r="C11" s="3" t="s">
        <v>311</v>
      </c>
      <c r="D11" s="3" t="s">
        <v>312</v>
      </c>
      <c r="E11" s="8" t="s">
        <v>82</v>
      </c>
      <c r="F11" s="2" t="n">
        <v>9</v>
      </c>
    </row>
    <row r="12" customFormat="false" ht="15" hidden="false" customHeight="false" outlineLevel="0" collapsed="false">
      <c r="A12" s="2" t="s">
        <v>313</v>
      </c>
      <c r="B12" s="3" t="s">
        <v>310</v>
      </c>
      <c r="C12" s="3" t="s">
        <v>314</v>
      </c>
      <c r="D12" s="3" t="s">
        <v>315</v>
      </c>
      <c r="E12" s="7" t="s">
        <v>29</v>
      </c>
      <c r="F12" s="2" t="n">
        <v>6</v>
      </c>
    </row>
    <row r="13" customFormat="false" ht="15" hidden="false" customHeight="false" outlineLevel="0" collapsed="false">
      <c r="D13" s="9" t="s">
        <v>213</v>
      </c>
      <c r="F13" s="9" t="n">
        <f aca="false">SUM(F2:F12)</f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2" t="s">
        <v>316</v>
      </c>
    </row>
    <row r="3" customFormat="false" ht="15" hidden="false" customHeight="false" outlineLevel="0" collapsed="false">
      <c r="A3" s="1" t="s">
        <v>279</v>
      </c>
      <c r="B3" s="1" t="s">
        <v>317</v>
      </c>
      <c r="C3" s="1" t="s">
        <v>7</v>
      </c>
    </row>
    <row r="4" customFormat="false" ht="15" hidden="false" customHeight="false" outlineLevel="0" collapsed="false">
      <c r="A4" s="13" t="s">
        <v>318</v>
      </c>
      <c r="B4" s="14" t="n">
        <v>61</v>
      </c>
      <c r="C4" s="14" t="n">
        <f aca="false">'Màn hình &amp; Dialog'!H63</f>
        <v>107.6</v>
      </c>
    </row>
    <row r="5" customFormat="false" ht="15" hidden="false" customHeight="false" outlineLevel="0" collapsed="false">
      <c r="A5" s="13" t="s">
        <v>319</v>
      </c>
      <c r="B5" s="14" t="n">
        <v>18</v>
      </c>
      <c r="C5" s="14" t="n">
        <f aca="false">'Phi chức năng (NFR)'!F20</f>
        <v>45.5</v>
      </c>
    </row>
    <row r="6" customFormat="false" ht="15" hidden="false" customHeight="false" outlineLevel="0" collapsed="false">
      <c r="A6" s="13" t="s">
        <v>320</v>
      </c>
      <c r="B6" s="14" t="n">
        <v>11</v>
      </c>
      <c r="C6" s="14" t="n">
        <f aca="false">'Docs-Test-Quản lý'!F13</f>
        <v>49</v>
      </c>
    </row>
    <row r="7" customFormat="false" ht="15" hidden="false" customHeight="false" outlineLevel="0" collapsed="false">
      <c r="A7" s="15" t="s">
        <v>321</v>
      </c>
      <c r="B7" s="16" t="n">
        <f aca="false">SUM(B4:B6)</f>
        <v>90</v>
      </c>
      <c r="C7" s="16" t="n">
        <f aca="false">SUM(C4:C6)</f>
        <v>202.1</v>
      </c>
    </row>
    <row r="9" customFormat="false" ht="15" hidden="false" customHeight="false" outlineLevel="0" collapsed="false">
      <c r="A9" s="17" t="s">
        <v>322</v>
      </c>
    </row>
    <row r="10" customFormat="false" ht="15" hidden="false" customHeight="false" outlineLevel="0" collapsed="false">
      <c r="A10" s="18" t="s">
        <v>323</v>
      </c>
      <c r="B10" s="11" t="n">
        <f aca="false">'Màn hình &amp; Dialog'!E64</f>
        <v>44</v>
      </c>
    </row>
    <row r="11" customFormat="false" ht="15" hidden="false" customHeight="false" outlineLevel="0" collapsed="false">
      <c r="A11" s="18" t="s">
        <v>324</v>
      </c>
      <c r="B11" s="11" t="n">
        <f aca="false">'Màn hình &amp; Dialog'!E65</f>
        <v>17</v>
      </c>
    </row>
    <row r="13" customFormat="false" ht="15" hidden="false" customHeight="false" outlineLevel="0" collapsed="false">
      <c r="A13" s="19" t="s">
        <v>325</v>
      </c>
    </row>
    <row r="14" customFormat="false" ht="15" hidden="false" customHeight="false" outlineLevel="0" collapsed="false">
      <c r="A14" s="20" t="s">
        <v>326</v>
      </c>
    </row>
    <row r="16" customFormat="false" ht="15" hidden="false" customHeight="false" outlineLevel="0" collapsed="false">
      <c r="A16" s="21" t="s">
        <v>327</v>
      </c>
      <c r="B16" s="21" t="s">
        <v>328</v>
      </c>
      <c r="C16" s="21" t="s">
        <v>329</v>
      </c>
      <c r="D16" s="21" t="s">
        <v>330</v>
      </c>
    </row>
    <row r="17" customFormat="false" ht="15" hidden="false" customHeight="false" outlineLevel="0" collapsed="false">
      <c r="A17" s="13" t="s">
        <v>331</v>
      </c>
      <c r="B17" s="14" t="n">
        <v>10</v>
      </c>
      <c r="C17" s="14" t="n">
        <f aca="false">ROUND(C7/B17,1)</f>
        <v>20.2</v>
      </c>
      <c r="D17" s="13" t="s">
        <v>332</v>
      </c>
    </row>
    <row r="18" customFormat="false" ht="15" hidden="false" customHeight="false" outlineLevel="0" collapsed="false">
      <c r="A18" s="13" t="s">
        <v>333</v>
      </c>
      <c r="B18" s="14" t="n">
        <v>12</v>
      </c>
      <c r="C18" s="14" t="n">
        <f aca="false">ROUND(C7/B18,1)</f>
        <v>16.8</v>
      </c>
      <c r="D18" s="13" t="s">
        <v>334</v>
      </c>
    </row>
    <row r="19" customFormat="false" ht="15" hidden="false" customHeight="false" outlineLevel="0" collapsed="false">
      <c r="A19" s="13" t="s">
        <v>335</v>
      </c>
      <c r="B19" s="14" t="n">
        <v>17.5</v>
      </c>
      <c r="C19" s="14" t="n">
        <f aca="false">ROUND(C7/B19,1)</f>
        <v>11.5</v>
      </c>
      <c r="D19" s="13" t="s">
        <v>336</v>
      </c>
    </row>
    <row r="21" customFormat="false" ht="15" hidden="false" customHeight="false" outlineLevel="0" collapsed="false">
      <c r="A21" s="22" t="s">
        <v>337</v>
      </c>
    </row>
    <row r="22" customFormat="false" ht="15" hidden="false" customHeight="false" outlineLevel="0" collapsed="false">
      <c r="A22" s="23" t="s">
        <v>338</v>
      </c>
      <c r="B22" s="23"/>
      <c r="C22" s="23"/>
      <c r="D22" s="23"/>
    </row>
    <row r="23" customFormat="false" ht="15" hidden="false" customHeight="false" outlineLevel="0" collapsed="false">
      <c r="A23" s="23" t="s">
        <v>339</v>
      </c>
      <c r="B23" s="23"/>
      <c r="C23" s="23"/>
      <c r="D23" s="23"/>
    </row>
    <row r="24" customFormat="false" ht="15" hidden="false" customHeight="false" outlineLevel="0" collapsed="false">
      <c r="A24" s="23" t="s">
        <v>340</v>
      </c>
      <c r="B24" s="23"/>
      <c r="C24" s="23"/>
      <c r="D24" s="23"/>
    </row>
    <row r="25" customFormat="false" ht="15" hidden="false" customHeight="false" outlineLevel="0" collapsed="false">
      <c r="A25" s="23" t="s">
        <v>341</v>
      </c>
      <c r="B25" s="23"/>
      <c r="C25" s="23"/>
      <c r="D25" s="23"/>
    </row>
    <row r="26" customFormat="false" ht="15" hidden="false" customHeight="false" outlineLevel="0" collapsed="false">
      <c r="A26" s="23" t="s">
        <v>342</v>
      </c>
      <c r="B26" s="23"/>
      <c r="C26" s="23"/>
      <c r="D26" s="23"/>
    </row>
  </sheetData>
  <mergeCells count="5"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2026-05-25T06:46:30Z</dcterms:created>
  <dc:creator>openpyxl</dc:creator>
  <dc:description/>
  <dc:language>en-US</dc:language>
  <cp:lastModifiedBy/>
  <dcterms:modified xsi:type="dcterms:W3CDTF">2026-05-25T06:46:30Z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